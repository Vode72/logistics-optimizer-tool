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053365cd39567d92/Traffic_Coordinator_tools/logistics_optimizer/"/>
    </mc:Choice>
  </mc:AlternateContent>
  <xr:revisionPtr revIDLastSave="16" documentId="8_{420D2427-20D6-4D2F-99AB-706F83FD7643}" xr6:coauthVersionLast="47" xr6:coauthVersionMax="47" xr10:uidLastSave="{08A5C46B-D4E1-4FA4-9B7E-2D36E0EEC033}"/>
  <bookViews>
    <workbookView xWindow="-108" yWindow="-108" windowWidth="23256" windowHeight="12456" xr2:uid="{00000000-000D-0000-FFFF-FFFF00000000}"/>
  </bookViews>
  <sheets>
    <sheet name="Lähetykset" sheetId="1" r:id="rId1"/>
    <sheet name="Reittivaihtoehdot" sheetId="2" r:id="rId2"/>
    <sheet name="Painotukset" sheetId="3" r:id="rId3"/>
    <sheet name="Optimointi" sheetId="4" r:id="rId4"/>
    <sheet name="Kuormaoptimointi" sheetId="5" r:id="rId5"/>
    <sheet name="Trailer Layout" sheetId="6" r:id="rId6"/>
    <sheet name="ETA" sheetId="7" r:id="rId7"/>
    <sheet name="Riskit" sheetId="8" r:id="rId8"/>
    <sheet name="Kustannukset" sheetId="9" r:id="rId9"/>
    <sheet name="Reittihistoria" sheetId="10" r:id="rId10"/>
    <sheet name="Power BI Data" sheetId="11" r:id="rId11"/>
    <sheet name="Dashboard" sheetId="12" r:id="rId12"/>
    <sheet name="Ohje" sheetId="13" r:id="rId13"/>
    <sheet name="Testiraportti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14" l="1"/>
  <c r="D11" i="14"/>
  <c r="B10" i="12"/>
  <c r="H9" i="12"/>
  <c r="F9" i="12"/>
  <c r="K100" i="10"/>
  <c r="J100" i="10"/>
  <c r="K99" i="10"/>
  <c r="J99" i="10"/>
  <c r="K98" i="10"/>
  <c r="J98" i="10"/>
  <c r="K97" i="10"/>
  <c r="J97" i="10"/>
  <c r="K96" i="10"/>
  <c r="J96" i="10"/>
  <c r="K95" i="10"/>
  <c r="J95" i="10"/>
  <c r="K94" i="10"/>
  <c r="J94" i="10"/>
  <c r="K93" i="10"/>
  <c r="J93" i="10"/>
  <c r="K92" i="10"/>
  <c r="J92" i="10"/>
  <c r="K91" i="10"/>
  <c r="J91" i="10"/>
  <c r="K90" i="10"/>
  <c r="J90" i="10"/>
  <c r="K89" i="10"/>
  <c r="J89" i="10"/>
  <c r="K88" i="10"/>
  <c r="J88" i="10"/>
  <c r="K87" i="10"/>
  <c r="J87" i="10"/>
  <c r="K86" i="10"/>
  <c r="J86" i="10"/>
  <c r="K85" i="10"/>
  <c r="J85" i="10"/>
  <c r="K84" i="10"/>
  <c r="J84" i="10"/>
  <c r="K83" i="10"/>
  <c r="J83" i="10"/>
  <c r="K82" i="10"/>
  <c r="J82" i="10"/>
  <c r="K81" i="10"/>
  <c r="J81" i="10"/>
  <c r="K80" i="10"/>
  <c r="J80" i="10"/>
  <c r="K79" i="10"/>
  <c r="J79" i="10"/>
  <c r="K78" i="10"/>
  <c r="J78" i="10"/>
  <c r="K77" i="10"/>
  <c r="J77" i="10"/>
  <c r="K76" i="10"/>
  <c r="J76" i="10"/>
  <c r="K75" i="10"/>
  <c r="J75" i="10"/>
  <c r="K74" i="10"/>
  <c r="J74" i="10"/>
  <c r="K73" i="10"/>
  <c r="J73" i="10"/>
  <c r="K72" i="10"/>
  <c r="J72" i="10"/>
  <c r="K71" i="10"/>
  <c r="J71" i="10"/>
  <c r="K70" i="10"/>
  <c r="J70" i="10"/>
  <c r="K69" i="10"/>
  <c r="J69" i="10"/>
  <c r="K68" i="10"/>
  <c r="J68" i="10"/>
  <c r="K67" i="10"/>
  <c r="J67" i="10"/>
  <c r="K66" i="10"/>
  <c r="J66" i="10"/>
  <c r="K65" i="10"/>
  <c r="J65" i="10"/>
  <c r="K64" i="10"/>
  <c r="J64" i="10"/>
  <c r="K63" i="10"/>
  <c r="J63" i="10"/>
  <c r="K62" i="10"/>
  <c r="J62" i="10"/>
  <c r="K61" i="10"/>
  <c r="J61" i="10"/>
  <c r="K60" i="10"/>
  <c r="J60" i="10"/>
  <c r="K59" i="10"/>
  <c r="J59" i="10"/>
  <c r="K58" i="10"/>
  <c r="J58" i="10"/>
  <c r="K57" i="10"/>
  <c r="J57" i="10"/>
  <c r="K56" i="10"/>
  <c r="J56" i="10"/>
  <c r="K55" i="10"/>
  <c r="J55" i="10"/>
  <c r="K54" i="10"/>
  <c r="J54" i="10"/>
  <c r="K53" i="10"/>
  <c r="J53" i="10"/>
  <c r="K52" i="10"/>
  <c r="J52" i="10"/>
  <c r="K51" i="10"/>
  <c r="J51" i="10"/>
  <c r="K50" i="10"/>
  <c r="J50" i="10"/>
  <c r="K49" i="10"/>
  <c r="J49" i="10"/>
  <c r="K48" i="10"/>
  <c r="J48" i="10"/>
  <c r="K47" i="10"/>
  <c r="J47" i="10"/>
  <c r="K46" i="10"/>
  <c r="J46" i="10"/>
  <c r="K45" i="10"/>
  <c r="J45" i="10"/>
  <c r="K44" i="10"/>
  <c r="J44" i="10"/>
  <c r="K43" i="10"/>
  <c r="J43" i="10"/>
  <c r="K42" i="10"/>
  <c r="J42" i="10"/>
  <c r="K41" i="10"/>
  <c r="J41" i="10"/>
  <c r="K40" i="10"/>
  <c r="J40" i="10"/>
  <c r="K39" i="10"/>
  <c r="J39" i="10"/>
  <c r="K38" i="10"/>
  <c r="J38" i="10"/>
  <c r="K37" i="10"/>
  <c r="J37" i="10"/>
  <c r="K36" i="10"/>
  <c r="J36" i="10"/>
  <c r="K35" i="10"/>
  <c r="J35" i="10"/>
  <c r="K34" i="10"/>
  <c r="J34" i="10"/>
  <c r="K33" i="10"/>
  <c r="J33" i="10"/>
  <c r="K32" i="10"/>
  <c r="J32" i="10"/>
  <c r="K31" i="10"/>
  <c r="J31" i="10"/>
  <c r="K30" i="10"/>
  <c r="J30" i="10"/>
  <c r="K29" i="10"/>
  <c r="J29" i="10"/>
  <c r="K28" i="10"/>
  <c r="J28" i="10"/>
  <c r="K27" i="10"/>
  <c r="J27" i="10"/>
  <c r="K26" i="10"/>
  <c r="J26" i="10"/>
  <c r="K25" i="10"/>
  <c r="J25" i="10"/>
  <c r="K24" i="10"/>
  <c r="J24" i="10"/>
  <c r="K23" i="10"/>
  <c r="J23" i="10"/>
  <c r="K22" i="10"/>
  <c r="J22" i="10"/>
  <c r="K21" i="10"/>
  <c r="J21" i="10"/>
  <c r="K20" i="10"/>
  <c r="J20" i="10"/>
  <c r="K19" i="10"/>
  <c r="J19" i="10"/>
  <c r="K18" i="10"/>
  <c r="J18" i="10"/>
  <c r="K17" i="10"/>
  <c r="J17" i="10"/>
  <c r="K16" i="10"/>
  <c r="J16" i="10"/>
  <c r="K15" i="10"/>
  <c r="J15" i="10"/>
  <c r="K14" i="10"/>
  <c r="J14" i="10"/>
  <c r="K13" i="10"/>
  <c r="J13" i="10"/>
  <c r="K12" i="10"/>
  <c r="J12" i="10"/>
  <c r="K11" i="10"/>
  <c r="J11" i="10"/>
  <c r="K10" i="10"/>
  <c r="J10" i="10"/>
  <c r="K9" i="10"/>
  <c r="J9" i="10"/>
  <c r="J8" i="10"/>
  <c r="K8" i="10" s="1"/>
  <c r="K7" i="10"/>
  <c r="J7" i="10"/>
  <c r="J6" i="10"/>
  <c r="K6" i="10" s="1"/>
  <c r="K5" i="10"/>
  <c r="J5" i="10"/>
  <c r="K39" i="9"/>
  <c r="J39" i="9"/>
  <c r="I39" i="9"/>
  <c r="H39" i="9"/>
  <c r="G39" i="9"/>
  <c r="K38" i="9"/>
  <c r="J38" i="9"/>
  <c r="I38" i="9"/>
  <c r="H38" i="9"/>
  <c r="G38" i="9"/>
  <c r="K37" i="9"/>
  <c r="J37" i="9"/>
  <c r="I37" i="9"/>
  <c r="H37" i="9"/>
  <c r="G37" i="9"/>
  <c r="K36" i="9"/>
  <c r="J36" i="9"/>
  <c r="I36" i="9"/>
  <c r="H36" i="9"/>
  <c r="G36" i="9"/>
  <c r="K35" i="9"/>
  <c r="J35" i="9"/>
  <c r="I35" i="9"/>
  <c r="H35" i="9"/>
  <c r="G35" i="9"/>
  <c r="K34" i="9"/>
  <c r="J34" i="9"/>
  <c r="I34" i="9"/>
  <c r="H34" i="9"/>
  <c r="G34" i="9"/>
  <c r="K33" i="9"/>
  <c r="J33" i="9"/>
  <c r="I33" i="9"/>
  <c r="H33" i="9"/>
  <c r="G33" i="9"/>
  <c r="K32" i="9"/>
  <c r="J32" i="9"/>
  <c r="I32" i="9"/>
  <c r="H32" i="9"/>
  <c r="G32" i="9"/>
  <c r="K31" i="9"/>
  <c r="J31" i="9"/>
  <c r="I31" i="9"/>
  <c r="H31" i="9"/>
  <c r="G31" i="9"/>
  <c r="K30" i="9"/>
  <c r="J30" i="9"/>
  <c r="I30" i="9"/>
  <c r="H30" i="9"/>
  <c r="G30" i="9"/>
  <c r="K29" i="9"/>
  <c r="J29" i="9"/>
  <c r="I29" i="9"/>
  <c r="H29" i="9"/>
  <c r="G29" i="9"/>
  <c r="K28" i="9"/>
  <c r="J28" i="9"/>
  <c r="I28" i="9"/>
  <c r="H28" i="9"/>
  <c r="G28" i="9"/>
  <c r="K27" i="9"/>
  <c r="J27" i="9"/>
  <c r="I27" i="9"/>
  <c r="H27" i="9"/>
  <c r="G27" i="9"/>
  <c r="K26" i="9"/>
  <c r="J26" i="9"/>
  <c r="I26" i="9"/>
  <c r="H26" i="9"/>
  <c r="G26" i="9"/>
  <c r="K25" i="9"/>
  <c r="J25" i="9"/>
  <c r="I25" i="9"/>
  <c r="H25" i="9"/>
  <c r="G25" i="9"/>
  <c r="K24" i="9"/>
  <c r="J24" i="9"/>
  <c r="I24" i="9"/>
  <c r="H24" i="9"/>
  <c r="G24" i="9"/>
  <c r="K23" i="9"/>
  <c r="J23" i="9"/>
  <c r="I23" i="9"/>
  <c r="H23" i="9"/>
  <c r="G23" i="9"/>
  <c r="K22" i="9"/>
  <c r="J22" i="9"/>
  <c r="I22" i="9"/>
  <c r="H22" i="9"/>
  <c r="G22" i="9"/>
  <c r="K21" i="9"/>
  <c r="J21" i="9"/>
  <c r="I21" i="9"/>
  <c r="H21" i="9"/>
  <c r="G21" i="9"/>
  <c r="K20" i="9"/>
  <c r="J20" i="9"/>
  <c r="I20" i="9"/>
  <c r="H20" i="9"/>
  <c r="G20" i="9"/>
  <c r="K19" i="9"/>
  <c r="J19" i="9"/>
  <c r="I19" i="9"/>
  <c r="H19" i="9"/>
  <c r="G19" i="9"/>
  <c r="K18" i="9"/>
  <c r="J18" i="9"/>
  <c r="I18" i="9"/>
  <c r="H18" i="9"/>
  <c r="G18" i="9"/>
  <c r="K17" i="9"/>
  <c r="J17" i="9"/>
  <c r="I17" i="9"/>
  <c r="H17" i="9"/>
  <c r="G17" i="9"/>
  <c r="K16" i="9"/>
  <c r="J16" i="9"/>
  <c r="I16" i="9"/>
  <c r="H16" i="9"/>
  <c r="G16" i="9"/>
  <c r="K15" i="9"/>
  <c r="J15" i="9"/>
  <c r="I15" i="9"/>
  <c r="H15" i="9"/>
  <c r="G15" i="9"/>
  <c r="K14" i="9"/>
  <c r="J14" i="9"/>
  <c r="I14" i="9"/>
  <c r="H14" i="9"/>
  <c r="G14" i="9"/>
  <c r="K13" i="9"/>
  <c r="J13" i="9"/>
  <c r="I13" i="9"/>
  <c r="H13" i="9"/>
  <c r="G13" i="9"/>
  <c r="K12" i="9"/>
  <c r="J12" i="9"/>
  <c r="I12" i="9"/>
  <c r="H12" i="9"/>
  <c r="G12" i="9"/>
  <c r="K11" i="9"/>
  <c r="J11" i="9"/>
  <c r="I11" i="9"/>
  <c r="H11" i="9"/>
  <c r="G11" i="9"/>
  <c r="K10" i="9"/>
  <c r="J10" i="9"/>
  <c r="I10" i="9"/>
  <c r="H10" i="9"/>
  <c r="G10" i="9"/>
  <c r="K9" i="9"/>
  <c r="J9" i="9"/>
  <c r="I9" i="9"/>
  <c r="H9" i="9"/>
  <c r="G9" i="9"/>
  <c r="K8" i="9"/>
  <c r="J8" i="9"/>
  <c r="I8" i="9"/>
  <c r="H8" i="9"/>
  <c r="G8" i="9"/>
  <c r="J7" i="9"/>
  <c r="I7" i="9"/>
  <c r="G7" i="9"/>
  <c r="H7" i="9" s="1"/>
  <c r="K7" i="9" s="1"/>
  <c r="J6" i="9"/>
  <c r="I6" i="9"/>
  <c r="G6" i="9"/>
  <c r="H6" i="9" s="1"/>
  <c r="K6" i="9" s="1"/>
  <c r="J5" i="9"/>
  <c r="B9" i="12" s="1"/>
  <c r="D9" i="12" s="1"/>
  <c r="I5" i="9"/>
  <c r="H5" i="9"/>
  <c r="K5" i="9" s="1"/>
  <c r="G5" i="9"/>
  <c r="N40" i="8"/>
  <c r="M40" i="8"/>
  <c r="L40" i="8"/>
  <c r="K40" i="8"/>
  <c r="J40" i="8"/>
  <c r="I40" i="8"/>
  <c r="N39" i="8"/>
  <c r="M39" i="8"/>
  <c r="L39" i="8"/>
  <c r="K39" i="8"/>
  <c r="J39" i="8"/>
  <c r="I39" i="8"/>
  <c r="N38" i="8"/>
  <c r="M38" i="8"/>
  <c r="L38" i="8"/>
  <c r="K38" i="8"/>
  <c r="J38" i="8"/>
  <c r="I38" i="8"/>
  <c r="N37" i="8"/>
  <c r="M37" i="8"/>
  <c r="L37" i="8"/>
  <c r="K37" i="8"/>
  <c r="J37" i="8"/>
  <c r="I37" i="8"/>
  <c r="N36" i="8"/>
  <c r="M36" i="8"/>
  <c r="L36" i="8"/>
  <c r="K36" i="8"/>
  <c r="J36" i="8"/>
  <c r="I36" i="8"/>
  <c r="N35" i="8"/>
  <c r="M35" i="8"/>
  <c r="L35" i="8"/>
  <c r="K35" i="8"/>
  <c r="J35" i="8"/>
  <c r="I35" i="8"/>
  <c r="N34" i="8"/>
  <c r="M34" i="8"/>
  <c r="L34" i="8"/>
  <c r="K34" i="8"/>
  <c r="J34" i="8"/>
  <c r="I34" i="8"/>
  <c r="N33" i="8"/>
  <c r="M33" i="8"/>
  <c r="L33" i="8"/>
  <c r="K33" i="8"/>
  <c r="J33" i="8"/>
  <c r="I33" i="8"/>
  <c r="N32" i="8"/>
  <c r="M32" i="8"/>
  <c r="L32" i="8"/>
  <c r="K32" i="8"/>
  <c r="J32" i="8"/>
  <c r="I32" i="8"/>
  <c r="N31" i="8"/>
  <c r="M31" i="8"/>
  <c r="L31" i="8"/>
  <c r="K31" i="8"/>
  <c r="J31" i="8"/>
  <c r="I31" i="8"/>
  <c r="N30" i="8"/>
  <c r="M30" i="8"/>
  <c r="L30" i="8"/>
  <c r="K30" i="8"/>
  <c r="J30" i="8"/>
  <c r="I30" i="8"/>
  <c r="N29" i="8"/>
  <c r="M29" i="8"/>
  <c r="L29" i="8"/>
  <c r="K29" i="8"/>
  <c r="J29" i="8"/>
  <c r="I29" i="8"/>
  <c r="N28" i="8"/>
  <c r="M28" i="8"/>
  <c r="L28" i="8"/>
  <c r="K28" i="8"/>
  <c r="J28" i="8"/>
  <c r="I28" i="8"/>
  <c r="N27" i="8"/>
  <c r="M27" i="8"/>
  <c r="L27" i="8"/>
  <c r="K27" i="8"/>
  <c r="J27" i="8"/>
  <c r="I27" i="8"/>
  <c r="N26" i="8"/>
  <c r="M26" i="8"/>
  <c r="L26" i="8"/>
  <c r="K26" i="8"/>
  <c r="J26" i="8"/>
  <c r="I26" i="8"/>
  <c r="N25" i="8"/>
  <c r="M25" i="8"/>
  <c r="L25" i="8"/>
  <c r="K25" i="8"/>
  <c r="J25" i="8"/>
  <c r="I25" i="8"/>
  <c r="N24" i="8"/>
  <c r="M24" i="8"/>
  <c r="L24" i="8"/>
  <c r="K24" i="8"/>
  <c r="J24" i="8"/>
  <c r="I24" i="8"/>
  <c r="N23" i="8"/>
  <c r="M23" i="8"/>
  <c r="L23" i="8"/>
  <c r="K23" i="8"/>
  <c r="J23" i="8"/>
  <c r="I23" i="8"/>
  <c r="N22" i="8"/>
  <c r="M22" i="8"/>
  <c r="L22" i="8"/>
  <c r="K22" i="8"/>
  <c r="J22" i="8"/>
  <c r="I22" i="8"/>
  <c r="N21" i="8"/>
  <c r="M21" i="8"/>
  <c r="L21" i="8"/>
  <c r="K21" i="8"/>
  <c r="J21" i="8"/>
  <c r="I21" i="8"/>
  <c r="N20" i="8"/>
  <c r="M20" i="8"/>
  <c r="L20" i="8"/>
  <c r="K20" i="8"/>
  <c r="J20" i="8"/>
  <c r="I20" i="8"/>
  <c r="N19" i="8"/>
  <c r="M19" i="8"/>
  <c r="L19" i="8"/>
  <c r="K19" i="8"/>
  <c r="J19" i="8"/>
  <c r="I19" i="8"/>
  <c r="N18" i="8"/>
  <c r="M18" i="8"/>
  <c r="L18" i="8"/>
  <c r="K18" i="8"/>
  <c r="J18" i="8"/>
  <c r="I18" i="8"/>
  <c r="N17" i="8"/>
  <c r="M17" i="8"/>
  <c r="L17" i="8"/>
  <c r="K17" i="8"/>
  <c r="J17" i="8"/>
  <c r="I17" i="8"/>
  <c r="N16" i="8"/>
  <c r="M16" i="8"/>
  <c r="L16" i="8"/>
  <c r="K16" i="8"/>
  <c r="J16" i="8"/>
  <c r="I16" i="8"/>
  <c r="N15" i="8"/>
  <c r="M15" i="8"/>
  <c r="L15" i="8"/>
  <c r="K15" i="8"/>
  <c r="J15" i="8"/>
  <c r="I15" i="8"/>
  <c r="N14" i="8"/>
  <c r="M14" i="8"/>
  <c r="L14" i="8"/>
  <c r="K14" i="8"/>
  <c r="J14" i="8"/>
  <c r="I14" i="8"/>
  <c r="N13" i="8"/>
  <c r="M13" i="8"/>
  <c r="L13" i="8"/>
  <c r="K13" i="8"/>
  <c r="J13" i="8"/>
  <c r="I13" i="8"/>
  <c r="N12" i="8"/>
  <c r="M12" i="8"/>
  <c r="L12" i="8"/>
  <c r="K12" i="8"/>
  <c r="J12" i="8"/>
  <c r="I12" i="8"/>
  <c r="N11" i="8"/>
  <c r="M11" i="8"/>
  <c r="L11" i="8"/>
  <c r="K11" i="8"/>
  <c r="J11" i="8"/>
  <c r="I11" i="8"/>
  <c r="N10" i="8"/>
  <c r="M10" i="8"/>
  <c r="L10" i="8"/>
  <c r="K10" i="8"/>
  <c r="J10" i="8"/>
  <c r="I10" i="8"/>
  <c r="N9" i="8"/>
  <c r="M9" i="8"/>
  <c r="L9" i="8"/>
  <c r="K9" i="8"/>
  <c r="J9" i="8"/>
  <c r="I9" i="8"/>
  <c r="N8" i="8"/>
  <c r="M8" i="8"/>
  <c r="L8" i="8"/>
  <c r="K8" i="8"/>
  <c r="J8" i="8"/>
  <c r="I8" i="8"/>
  <c r="N7" i="8"/>
  <c r="M7" i="8"/>
  <c r="L7" i="8"/>
  <c r="K7" i="8"/>
  <c r="J7" i="8"/>
  <c r="I7" i="8"/>
  <c r="L6" i="8"/>
  <c r="M6" i="8" s="1"/>
  <c r="N6" i="8" s="1"/>
  <c r="K6" i="8"/>
  <c r="J6" i="8"/>
  <c r="I6" i="8"/>
  <c r="L5" i="8"/>
  <c r="K5" i="8"/>
  <c r="J5" i="8"/>
  <c r="I5" i="8"/>
  <c r="M5" i="8" s="1"/>
  <c r="M40" i="7"/>
  <c r="L40" i="7"/>
  <c r="K40" i="7"/>
  <c r="I40" i="7"/>
  <c r="M39" i="7"/>
  <c r="L39" i="7"/>
  <c r="K39" i="7"/>
  <c r="I39" i="7"/>
  <c r="M38" i="7"/>
  <c r="L38" i="7"/>
  <c r="K38" i="7"/>
  <c r="I38" i="7"/>
  <c r="M37" i="7"/>
  <c r="L37" i="7"/>
  <c r="K37" i="7"/>
  <c r="I37" i="7"/>
  <c r="M36" i="7"/>
  <c r="L36" i="7"/>
  <c r="K36" i="7"/>
  <c r="I36" i="7"/>
  <c r="M35" i="7"/>
  <c r="L35" i="7"/>
  <c r="K35" i="7"/>
  <c r="I35" i="7"/>
  <c r="M34" i="7"/>
  <c r="L34" i="7"/>
  <c r="K34" i="7"/>
  <c r="I34" i="7"/>
  <c r="M33" i="7"/>
  <c r="L33" i="7"/>
  <c r="K33" i="7"/>
  <c r="I33" i="7"/>
  <c r="M32" i="7"/>
  <c r="L32" i="7"/>
  <c r="K32" i="7"/>
  <c r="I32" i="7"/>
  <c r="M31" i="7"/>
  <c r="L31" i="7"/>
  <c r="K31" i="7"/>
  <c r="I31" i="7"/>
  <c r="M30" i="7"/>
  <c r="L30" i="7"/>
  <c r="K30" i="7"/>
  <c r="I30" i="7"/>
  <c r="M29" i="7"/>
  <c r="L29" i="7"/>
  <c r="K29" i="7"/>
  <c r="I29" i="7"/>
  <c r="M28" i="7"/>
  <c r="L28" i="7"/>
  <c r="K28" i="7"/>
  <c r="I28" i="7"/>
  <c r="M27" i="7"/>
  <c r="L27" i="7"/>
  <c r="K27" i="7"/>
  <c r="I27" i="7"/>
  <c r="M26" i="7"/>
  <c r="L26" i="7"/>
  <c r="K26" i="7"/>
  <c r="I26" i="7"/>
  <c r="M25" i="7"/>
  <c r="L25" i="7"/>
  <c r="K25" i="7"/>
  <c r="I25" i="7"/>
  <c r="M24" i="7"/>
  <c r="L24" i="7"/>
  <c r="K24" i="7"/>
  <c r="I24" i="7"/>
  <c r="M23" i="7"/>
  <c r="L23" i="7"/>
  <c r="K23" i="7"/>
  <c r="I23" i="7"/>
  <c r="M22" i="7"/>
  <c r="L22" i="7"/>
  <c r="K22" i="7"/>
  <c r="I22" i="7"/>
  <c r="M21" i="7"/>
  <c r="L21" i="7"/>
  <c r="K21" i="7"/>
  <c r="I21" i="7"/>
  <c r="M20" i="7"/>
  <c r="L20" i="7"/>
  <c r="K20" i="7"/>
  <c r="I20" i="7"/>
  <c r="M19" i="7"/>
  <c r="L19" i="7"/>
  <c r="K19" i="7"/>
  <c r="I19" i="7"/>
  <c r="M18" i="7"/>
  <c r="L18" i="7"/>
  <c r="K18" i="7"/>
  <c r="I18" i="7"/>
  <c r="M17" i="7"/>
  <c r="L17" i="7"/>
  <c r="K17" i="7"/>
  <c r="I17" i="7"/>
  <c r="M16" i="7"/>
  <c r="L16" i="7"/>
  <c r="K16" i="7"/>
  <c r="I16" i="7"/>
  <c r="M15" i="7"/>
  <c r="L15" i="7"/>
  <c r="K15" i="7"/>
  <c r="I15" i="7"/>
  <c r="M14" i="7"/>
  <c r="L14" i="7"/>
  <c r="K14" i="7"/>
  <c r="I14" i="7"/>
  <c r="M13" i="7"/>
  <c r="L13" i="7"/>
  <c r="K13" i="7"/>
  <c r="I13" i="7"/>
  <c r="M12" i="7"/>
  <c r="L12" i="7"/>
  <c r="K12" i="7"/>
  <c r="I12" i="7"/>
  <c r="M11" i="7"/>
  <c r="L11" i="7"/>
  <c r="K11" i="7"/>
  <c r="I11" i="7"/>
  <c r="M10" i="7"/>
  <c r="L10" i="7"/>
  <c r="K10" i="7"/>
  <c r="I10" i="7"/>
  <c r="M9" i="7"/>
  <c r="L9" i="7"/>
  <c r="K9" i="7"/>
  <c r="I9" i="7"/>
  <c r="M8" i="7"/>
  <c r="L8" i="7"/>
  <c r="K8" i="7"/>
  <c r="I8" i="7"/>
  <c r="L7" i="7"/>
  <c r="M7" i="7" s="1"/>
  <c r="K7" i="7"/>
  <c r="I7" i="7"/>
  <c r="I6" i="7"/>
  <c r="L6" i="7" s="1"/>
  <c r="M6" i="7" s="1"/>
  <c r="L5" i="7"/>
  <c r="M5" i="7" s="1"/>
  <c r="K5" i="7"/>
  <c r="I5" i="7"/>
  <c r="M14" i="5"/>
  <c r="H14" i="5"/>
  <c r="G14" i="5"/>
  <c r="F14" i="5"/>
  <c r="E14" i="5"/>
  <c r="B14" i="5"/>
  <c r="L14" i="5" s="1"/>
  <c r="A14" i="5"/>
  <c r="D14" i="5" s="1"/>
  <c r="M13" i="5"/>
  <c r="L13" i="5"/>
  <c r="K13" i="5"/>
  <c r="G13" i="5"/>
  <c r="F13" i="5"/>
  <c r="E13" i="5"/>
  <c r="D13" i="5"/>
  <c r="C13" i="5"/>
  <c r="B13" i="5"/>
  <c r="J13" i="5" s="1"/>
  <c r="A13" i="5"/>
  <c r="I13" i="5" s="1"/>
  <c r="A12" i="5"/>
  <c r="H12" i="5" s="1"/>
  <c r="G11" i="5"/>
  <c r="F11" i="5"/>
  <c r="E11" i="5"/>
  <c r="D11" i="5"/>
  <c r="A11" i="5"/>
  <c r="C11" i="5" s="1"/>
  <c r="L10" i="5"/>
  <c r="K10" i="5"/>
  <c r="D10" i="5"/>
  <c r="C10" i="5"/>
  <c r="B10" i="5"/>
  <c r="J10" i="5" s="1"/>
  <c r="A10" i="5"/>
  <c r="I10" i="5" s="1"/>
  <c r="H9" i="5"/>
  <c r="A9" i="5"/>
  <c r="G9" i="5" s="1"/>
  <c r="H8" i="5"/>
  <c r="G8" i="5"/>
  <c r="F8" i="5"/>
  <c r="E8" i="5"/>
  <c r="D8" i="5"/>
  <c r="C8" i="5"/>
  <c r="A8" i="5"/>
  <c r="C7" i="5"/>
  <c r="A7" i="5"/>
  <c r="H6" i="5"/>
  <c r="G6" i="5"/>
  <c r="F6" i="5"/>
  <c r="E6" i="5"/>
  <c r="A6" i="5"/>
  <c r="D6" i="5" s="1"/>
  <c r="G5" i="5"/>
  <c r="F5" i="5"/>
  <c r="E5" i="5"/>
  <c r="D5" i="5"/>
  <c r="C5" i="5"/>
  <c r="A5" i="5"/>
  <c r="L14" i="4"/>
  <c r="K14" i="4"/>
  <c r="J14" i="4"/>
  <c r="G14" i="4"/>
  <c r="F14" i="4"/>
  <c r="E14" i="4"/>
  <c r="D14" i="4"/>
  <c r="C14" i="4"/>
  <c r="B14" i="4"/>
  <c r="A14" i="4"/>
  <c r="I14" i="4" s="1"/>
  <c r="I13" i="4"/>
  <c r="G13" i="4"/>
  <c r="F13" i="4"/>
  <c r="E13" i="4"/>
  <c r="D13" i="4"/>
  <c r="C13" i="4"/>
  <c r="B13" i="4"/>
  <c r="A13" i="4"/>
  <c r="H13" i="4" s="1"/>
  <c r="N12" i="4"/>
  <c r="M12" i="4"/>
  <c r="H12" i="4"/>
  <c r="G12" i="4"/>
  <c r="F12" i="4"/>
  <c r="E12" i="4"/>
  <c r="D12" i="4"/>
  <c r="C12" i="4"/>
  <c r="B12" i="4"/>
  <c r="A12" i="4"/>
  <c r="L12" i="4" s="1"/>
  <c r="N11" i="4"/>
  <c r="M11" i="4"/>
  <c r="L11" i="4"/>
  <c r="K11" i="4"/>
  <c r="J11" i="4"/>
  <c r="H11" i="4"/>
  <c r="G11" i="4"/>
  <c r="F11" i="4"/>
  <c r="E11" i="4"/>
  <c r="D11" i="4"/>
  <c r="C11" i="4"/>
  <c r="B11" i="4"/>
  <c r="A11" i="4"/>
  <c r="I11" i="4" s="1"/>
  <c r="L10" i="4"/>
  <c r="K10" i="4"/>
  <c r="J10" i="4"/>
  <c r="G10" i="4"/>
  <c r="F10" i="4"/>
  <c r="E10" i="4"/>
  <c r="D10" i="4"/>
  <c r="C10" i="4"/>
  <c r="B10" i="4"/>
  <c r="A10" i="4"/>
  <c r="I10" i="4" s="1"/>
  <c r="G9" i="4"/>
  <c r="F9" i="4"/>
  <c r="E9" i="4"/>
  <c r="D9" i="4"/>
  <c r="C9" i="4"/>
  <c r="B9" i="4"/>
  <c r="A9" i="4"/>
  <c r="I9" i="4" s="1"/>
  <c r="H8" i="4"/>
  <c r="G8" i="4"/>
  <c r="F8" i="4"/>
  <c r="E8" i="4"/>
  <c r="D8" i="4"/>
  <c r="C8" i="4"/>
  <c r="B8" i="4"/>
  <c r="A8" i="4"/>
  <c r="L8" i="4" s="1"/>
  <c r="L7" i="4"/>
  <c r="G7" i="4"/>
  <c r="F7" i="4"/>
  <c r="K7" i="4" s="1"/>
  <c r="E7" i="4"/>
  <c r="J7" i="4" s="1"/>
  <c r="D7" i="4"/>
  <c r="C7" i="4"/>
  <c r="H7" i="4" s="1"/>
  <c r="B7" i="4"/>
  <c r="A7" i="4"/>
  <c r="I7" i="4" s="1"/>
  <c r="L6" i="4"/>
  <c r="K6" i="4"/>
  <c r="J6" i="4"/>
  <c r="G6" i="4"/>
  <c r="F6" i="4"/>
  <c r="E6" i="4"/>
  <c r="D6" i="4"/>
  <c r="C6" i="4"/>
  <c r="B6" i="4"/>
  <c r="A6" i="4"/>
  <c r="I6" i="4" s="1"/>
  <c r="G5" i="4"/>
  <c r="F5" i="4"/>
  <c r="E5" i="4"/>
  <c r="D5" i="4"/>
  <c r="C5" i="4"/>
  <c r="B5" i="4"/>
  <c r="A5" i="4"/>
  <c r="H5" i="4" s="1"/>
  <c r="B10" i="3"/>
  <c r="D6" i="14" s="1"/>
  <c r="E6" i="14" s="1"/>
  <c r="M7" i="4" l="1"/>
  <c r="F8" i="12"/>
  <c r="H8" i="12" s="1"/>
  <c r="D10" i="14"/>
  <c r="E10" i="14" s="1"/>
  <c r="N5" i="8"/>
  <c r="F7" i="12"/>
  <c r="H7" i="12" s="1"/>
  <c r="J13" i="4"/>
  <c r="I9" i="5"/>
  <c r="M14" i="4"/>
  <c r="D7" i="5"/>
  <c r="B9" i="5"/>
  <c r="E10" i="5"/>
  <c r="M10" i="5"/>
  <c r="H11" i="5"/>
  <c r="C12" i="5"/>
  <c r="I14" i="5"/>
  <c r="I5" i="4"/>
  <c r="M5" i="4" s="1"/>
  <c r="K9" i="4"/>
  <c r="M10" i="4"/>
  <c r="F10" i="5"/>
  <c r="D12" i="5"/>
  <c r="K5" i="4"/>
  <c r="I8" i="4"/>
  <c r="M8" i="4" s="1"/>
  <c r="N8" i="4" s="1"/>
  <c r="I12" i="4"/>
  <c r="J8" i="4"/>
  <c r="J12" i="4"/>
  <c r="N14" i="4"/>
  <c r="E7" i="5"/>
  <c r="C9" i="5"/>
  <c r="K8" i="4"/>
  <c r="K12" i="4"/>
  <c r="M13" i="4"/>
  <c r="H5" i="5"/>
  <c r="C6" i="5"/>
  <c r="F7" i="5"/>
  <c r="D9" i="5"/>
  <c r="G10" i="5"/>
  <c r="B11" i="5"/>
  <c r="E12" i="5"/>
  <c r="H13" i="5"/>
  <c r="C14" i="5"/>
  <c r="K14" i="5"/>
  <c r="K6" i="7"/>
  <c r="F6" i="12" s="1"/>
  <c r="H6" i="12" s="1"/>
  <c r="D9" i="14"/>
  <c r="E9" i="14" s="1"/>
  <c r="J5" i="4"/>
  <c r="B12" i="5"/>
  <c r="K13" i="4"/>
  <c r="L5" i="4"/>
  <c r="L9" i="4"/>
  <c r="N10" i="4"/>
  <c r="L13" i="4"/>
  <c r="I11" i="5"/>
  <c r="J14" i="5"/>
  <c r="H6" i="4"/>
  <c r="M6" i="4" s="1"/>
  <c r="N6" i="4" s="1"/>
  <c r="H10" i="4"/>
  <c r="N13" i="4"/>
  <c r="H14" i="4"/>
  <c r="G7" i="5"/>
  <c r="E9" i="5"/>
  <c r="H10" i="5"/>
  <c r="F12" i="5"/>
  <c r="J9" i="4"/>
  <c r="H7" i="5"/>
  <c r="F9" i="5"/>
  <c r="G12" i="5"/>
  <c r="I12" i="5"/>
  <c r="H9" i="4"/>
  <c r="M9" i="4" s="1"/>
  <c r="D19" i="4" l="1"/>
  <c r="B7" i="5"/>
  <c r="B5" i="5"/>
  <c r="C19" i="4"/>
  <c r="B8" i="5"/>
  <c r="B19" i="4"/>
  <c r="A19" i="4"/>
  <c r="B6" i="12" s="1"/>
  <c r="F19" i="4"/>
  <c r="E19" i="4"/>
  <c r="G19" i="4"/>
  <c r="B6" i="5"/>
  <c r="N5" i="4"/>
  <c r="N9" i="4"/>
  <c r="L12" i="5"/>
  <c r="J12" i="5"/>
  <c r="M12" i="5"/>
  <c r="K12" i="5"/>
  <c r="M11" i="5"/>
  <c r="L11" i="5"/>
  <c r="K11" i="5"/>
  <c r="J11" i="5"/>
  <c r="M9" i="5"/>
  <c r="K9" i="5"/>
  <c r="L9" i="5"/>
  <c r="J9" i="5"/>
  <c r="N7" i="4"/>
  <c r="B7" i="12" l="1"/>
  <c r="D7" i="12" s="1"/>
  <c r="H19" i="4"/>
  <c r="L8" i="5"/>
  <c r="K8" i="5"/>
  <c r="M8" i="5"/>
  <c r="J8" i="5"/>
  <c r="D7" i="14"/>
  <c r="E7" i="14" s="1"/>
  <c r="B20" i="5"/>
  <c r="B19" i="5"/>
  <c r="K5" i="5"/>
  <c r="L5" i="5"/>
  <c r="B23" i="5" s="1"/>
  <c r="D23" i="5" s="1"/>
  <c r="B22" i="5"/>
  <c r="D22" i="5" s="1"/>
  <c r="I5" i="5"/>
  <c r="J5" i="5" s="1"/>
  <c r="I7" i="5"/>
  <c r="I6" i="5"/>
  <c r="I8" i="5"/>
  <c r="J7" i="5"/>
  <c r="M7" i="5"/>
  <c r="K7" i="5"/>
  <c r="L7" i="5"/>
  <c r="L6" i="5"/>
  <c r="J6" i="5"/>
  <c r="K6" i="5"/>
  <c r="M6" i="5" s="1"/>
  <c r="I19" i="4"/>
  <c r="B13" i="6" l="1"/>
  <c r="D20" i="5"/>
  <c r="D13" i="6" s="1"/>
  <c r="B12" i="6"/>
  <c r="B21" i="5"/>
  <c r="D8" i="14"/>
  <c r="E8" i="14" s="1"/>
  <c r="D19" i="5"/>
  <c r="D12" i="6" s="1"/>
  <c r="M5" i="5"/>
  <c r="B8" i="12" l="1"/>
  <c r="B14" i="6"/>
  <c r="D21" i="5"/>
  <c r="D8" i="12" l="1"/>
  <c r="D14" i="6"/>
</calcChain>
</file>

<file path=xl/sharedStrings.xml><?xml version="1.0" encoding="utf-8"?>
<sst xmlns="http://schemas.openxmlformats.org/spreadsheetml/2006/main" count="460" uniqueCount="290">
  <si>
    <t>Lähetykset</t>
  </si>
  <si>
    <t>Syötä kuljetustarpeet. Tämä toimii optimointilogiikan lähtödatana.</t>
  </si>
  <si>
    <t>Lähetys</t>
  </si>
  <si>
    <t>Nouto</t>
  </si>
  <si>
    <t>Toimitus</t>
  </si>
  <si>
    <t>Lavapaikat</t>
  </si>
  <si>
    <t>Paino kg</t>
  </si>
  <si>
    <t>Lämpö min</t>
  </si>
  <si>
    <t>Lämpö max</t>
  </si>
  <si>
    <t>ADR?</t>
  </si>
  <si>
    <t>Deadline</t>
  </si>
  <si>
    <t>Pakollinen?</t>
  </si>
  <si>
    <t>Huomio</t>
  </si>
  <si>
    <t>A</t>
  </si>
  <si>
    <t>Vantaa</t>
  </si>
  <si>
    <t>Tampere</t>
  </si>
  <si>
    <t>Ei</t>
  </si>
  <si>
    <t>14:00</t>
  </si>
  <si>
    <t>Kyllä</t>
  </si>
  <si>
    <t>Thermo +4</t>
  </si>
  <si>
    <t>B</t>
  </si>
  <si>
    <t>Pori</t>
  </si>
  <si>
    <t>16:00</t>
  </si>
  <si>
    <t>C</t>
  </si>
  <si>
    <t>Oulu</t>
  </si>
  <si>
    <t>22:00</t>
  </si>
  <si>
    <t>Kuiva jatkoreitti</t>
  </si>
  <si>
    <t>D</t>
  </si>
  <si>
    <t>Turku</t>
  </si>
  <si>
    <t>15:00</t>
  </si>
  <si>
    <t>ADR-lisä</t>
  </si>
  <si>
    <t>Reittivaihtoehdot</t>
  </si>
  <si>
    <t>Syötä mahdolliset reitit ja niiden perustiedot.</t>
  </si>
  <si>
    <t>Vaihtoehto</t>
  </si>
  <si>
    <t>Reitti</t>
  </si>
  <si>
    <t>Km</t>
  </si>
  <si>
    <t>Ajoaika h</t>
  </si>
  <si>
    <t>Työaika h</t>
  </si>
  <si>
    <t>Tauko min</t>
  </si>
  <si>
    <t>Max lavapaikat</t>
  </si>
  <si>
    <t>Kate %</t>
  </si>
  <si>
    <t>Riskipisteet</t>
  </si>
  <si>
    <t>Sisältää lähetykset</t>
  </si>
  <si>
    <t>R1</t>
  </si>
  <si>
    <t>Vantaa → Tampere → Pori</t>
  </si>
  <si>
    <t>A,B</t>
  </si>
  <si>
    <t>Paras perusvaihtoehto</t>
  </si>
  <si>
    <t>R2</t>
  </si>
  <si>
    <t>Vantaa → Pori → Tampere</t>
  </si>
  <si>
    <t>Hieman pidempi</t>
  </si>
  <si>
    <t>R3</t>
  </si>
  <si>
    <t>Vantaa → Tampere → Pori → Oulu</t>
  </si>
  <si>
    <t>A,B,C</t>
  </si>
  <si>
    <t>Pitkä mutta hyvä täyttö</t>
  </si>
  <si>
    <t>R4</t>
  </si>
  <si>
    <t>Jaetaan kahteen autoon</t>
  </si>
  <si>
    <t>Vähemmän riskiä, huono käyttöaste</t>
  </si>
  <si>
    <t>R5</t>
  </si>
  <si>
    <t>Vantaa → Turku → Tampere → Pori</t>
  </si>
  <si>
    <t>A,B,D</t>
  </si>
  <si>
    <t>ADR mukana</t>
  </si>
  <si>
    <t>Painotukset</t>
  </si>
  <si>
    <t>Muuta optimoinnin painotuksia. Painojen summa tulisi olla 100 %.</t>
  </si>
  <si>
    <t>Tekijä</t>
  </si>
  <si>
    <t>Paino</t>
  </si>
  <si>
    <t>Selitys</t>
  </si>
  <si>
    <t>Minimi</t>
  </si>
  <si>
    <t>Maksimi</t>
  </si>
  <si>
    <t>Km-score</t>
  </si>
  <si>
    <t>Lyhyempi reitti saa paremman pisteen</t>
  </si>
  <si>
    <t>Ajoaika-score</t>
  </si>
  <si>
    <t>Lyhyempi ajoaika saa paremman pisteen</t>
  </si>
  <si>
    <t>Täyttöaste-score</t>
  </si>
  <si>
    <t>Tavoite 85–95 %</t>
  </si>
  <si>
    <t>Kate-score</t>
  </si>
  <si>
    <t>Suurempi kate nostaa pistettä</t>
  </si>
  <si>
    <t>Riski-score</t>
  </si>
  <si>
    <t>Matalampi riski nostaa pistettä</t>
  </si>
  <si>
    <t>Yhteensä</t>
  </si>
  <si>
    <t>Painojen summa</t>
  </si>
  <si>
    <t>AI-tyylinen optimointimoottori</t>
  </si>
  <si>
    <t>Pisteyttää reittivaihtoehdot painotusten mukaan ja valitsee parhaan.</t>
  </si>
  <si>
    <t>Täyttöaste</t>
  </si>
  <si>
    <t>Aika-score</t>
  </si>
  <si>
    <t>Täyttö-score</t>
  </si>
  <si>
    <t>Kokonaispiste</t>
  </si>
  <si>
    <t>Päätös</t>
  </si>
  <si>
    <t>Paras vaihtoehto</t>
  </si>
  <si>
    <t>Pisteet</t>
  </si>
  <si>
    <t>Ajoaika</t>
  </si>
  <si>
    <t>Riskitaso</t>
  </si>
  <si>
    <t>Perustelu</t>
  </si>
  <si>
    <t>Portfolio-huomio</t>
  </si>
  <si>
    <t>Sääntöpohjainen AI-score-malli</t>
  </si>
  <si>
    <t>Kuormaoptimointi</t>
  </si>
  <si>
    <t>Laskee vain suositeltuun reittiin kuuluvat lähetykset.</t>
  </si>
  <si>
    <t>Mukana suosituksessa?</t>
  </si>
  <si>
    <t>Purkujärjestys</t>
  </si>
  <si>
    <t>Sijoitus</t>
  </si>
  <si>
    <t>Sopii kuormaan?</t>
  </si>
  <si>
    <t>Riski</t>
  </si>
  <si>
    <t>Kuorman yhteenveto</t>
  </si>
  <si>
    <t>Mittari</t>
  </si>
  <si>
    <t>Arvo</t>
  </si>
  <si>
    <t>Raja</t>
  </si>
  <si>
    <t>Status</t>
  </si>
  <si>
    <t>Lavapaikat yhteensä</t>
  </si>
  <si>
    <t>Vain suosituksen lähetykset</t>
  </si>
  <si>
    <t>Paino kg yhteensä</t>
  </si>
  <si>
    <t>85–95 % tavoite</t>
  </si>
  <si>
    <t>ADR-lähetyksiä</t>
  </si>
  <si>
    <t>Thermo-lähetyksiä</t>
  </si>
  <si>
    <t>Trailer Layout</t>
  </si>
  <si>
    <t>Visuaalinen 33 lavapaikan trailerin kuormatila.</t>
  </si>
  <si>
    <t>Ovi/perä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</si>
  <si>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</si>
  <si>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</si>
  <si>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</si>
  <si>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</si>
  <si>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</si>
  <si>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</si>
  <si>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</si>
  <si>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</si>
  <si>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</si>
  <si>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</si>
  <si>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</si>
  <si>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Keula</t>
  </si>
  <si>
    <t>Rivi A</t>
  </si>
  <si>
    <t>A Tampere</t>
  </si>
  <si>
    <t>B Pori</t>
  </si>
  <si>
    <t>A puretaan ensin, B viimeisenä</t>
  </si>
  <si>
    <t>Rivi B</t>
  </si>
  <si>
    <t>Rivi C</t>
  </si>
  <si>
    <t>85–95 %</t>
  </si>
  <si>
    <t>Purkulogiikka</t>
  </si>
  <si>
    <t>Perä → keula</t>
  </si>
  <si>
    <t>OK</t>
  </si>
  <si>
    <t>Ensimmäinen purku perään</t>
  </si>
  <si>
    <t>ETA-laskenta</t>
  </si>
  <si>
    <t>Arvioitu saapumisaika: lähtö + ajoaika + tauot + lastaus/purku + viiveet.</t>
  </si>
  <si>
    <t>Keikka</t>
  </si>
  <si>
    <t>Lähtöaika</t>
  </si>
  <si>
    <t>Lastaus min</t>
  </si>
  <si>
    <t>Purku min</t>
  </si>
  <si>
    <t>Viive min</t>
  </si>
  <si>
    <t>ETA suunniteltu</t>
  </si>
  <si>
    <t>ETA status</t>
  </si>
  <si>
    <t>Myöhässä min</t>
  </si>
  <si>
    <t>K-001</t>
  </si>
  <si>
    <t>K-002</t>
  </si>
  <si>
    <t>Vantaa → Oulu</t>
  </si>
  <si>
    <t>K-003</t>
  </si>
  <si>
    <t>Vantaa → Hollanti</t>
  </si>
  <si>
    <t>Riskivaroitukset</t>
  </si>
  <si>
    <t>Automaattiset punainen/keltainen/OK-varoitukset.</t>
  </si>
  <si>
    <t>Empty %</t>
  </si>
  <si>
    <t>Ajo varoitus</t>
  </si>
  <si>
    <t>Täyttö varoitus</t>
  </si>
  <si>
    <t>Kate varoitus</t>
  </si>
  <si>
    <t>Empty varoitus</t>
  </si>
  <si>
    <t>Kokonaisstatus</t>
  </si>
  <si>
    <t>Toimenpide</t>
  </si>
  <si>
    <t>Ajoissa</t>
  </si>
  <si>
    <t>Myöhässä</t>
  </si>
  <si>
    <t>Kustannukset ja €/km KPI</t>
  </si>
  <si>
    <t>Kustannukset, kate, tyhjä ajo ja €/km.</t>
  </si>
  <si>
    <t>Reitti / tyyppi</t>
  </si>
  <si>
    <t>Loaded km</t>
  </si>
  <si>
    <t>Empty km</t>
  </si>
  <si>
    <t>Myynti €</t>
  </si>
  <si>
    <t>Kulut €</t>
  </si>
  <si>
    <t>Kate €</t>
  </si>
  <si>
    <t>Revenue €/km</t>
  </si>
  <si>
    <t>Kotimaa pitkä</t>
  </si>
  <si>
    <t>Thermo</t>
  </si>
  <si>
    <t>Manner</t>
  </si>
  <si>
    <t>Reittihistoria</t>
  </si>
  <si>
    <t>Historiadata Power BI:tä ja analytiikkaa varten.</t>
  </si>
  <si>
    <t>Päivä</t>
  </si>
  <si>
    <t>Asiakas</t>
  </si>
  <si>
    <t>Kalusto</t>
  </si>
  <si>
    <t>Carrier</t>
  </si>
  <si>
    <t>On-time?</t>
  </si>
  <si>
    <t>Poikkeama</t>
  </si>
  <si>
    <t>Asiakas A</t>
  </si>
  <si>
    <t>Vantaa → Tampere</t>
  </si>
  <si>
    <t>Carrier A</t>
  </si>
  <si>
    <t>Asiakas B</t>
  </si>
  <si>
    <t>Umpikaappi</t>
  </si>
  <si>
    <t>Carrier B</t>
  </si>
  <si>
    <t>Asiakas C</t>
  </si>
  <si>
    <t>Turku → Rauma</t>
  </si>
  <si>
    <t>Pressu</t>
  </si>
  <si>
    <t>Myöhäinen purku</t>
  </si>
  <si>
    <t>Asiakas F</t>
  </si>
  <si>
    <t>Tampere → Pori</t>
  </si>
  <si>
    <t>ADR</t>
  </si>
  <si>
    <t>Carrier C</t>
  </si>
  <si>
    <t>Power BI Data</t>
  </si>
  <si>
    <t>Kartta- ja analytiikkadata Power BI:tä varten.</t>
  </si>
  <si>
    <t>Route ID</t>
  </si>
  <si>
    <t>From</t>
  </si>
  <si>
    <t>To</t>
  </si>
  <si>
    <t>From lat</t>
  </si>
  <si>
    <t>From lon</t>
  </si>
  <si>
    <t>To lat</t>
  </si>
  <si>
    <t>To lon</t>
  </si>
  <si>
    <t>CO₂ kg</t>
  </si>
  <si>
    <t>Power BI visual</t>
  </si>
  <si>
    <t>Matala</t>
  </si>
  <si>
    <t>Map / ArcGIS</t>
  </si>
  <si>
    <t>Keskitaso</t>
  </si>
  <si>
    <t>Rauma</t>
  </si>
  <si>
    <t>Hollanti</t>
  </si>
  <si>
    <t>Korkea</t>
  </si>
  <si>
    <t>Country-level endpoint</t>
  </si>
  <si>
    <t>Logistics Optimizer Dashboard</t>
  </si>
  <si>
    <t>Portfolio-näkymä: AI-score, kuorma, ETA, riskit, kate ja Power BI -data.</t>
  </si>
  <si>
    <t>KPI-yhteenveto</t>
  </si>
  <si>
    <t>KPI</t>
  </si>
  <si>
    <t>Tavoite</t>
  </si>
  <si>
    <t>Paras reitti</t>
  </si>
  <si>
    <t>ETA myöhässä</t>
  </si>
  <si>
    <t>0</t>
  </si>
  <si>
    <t>AI score</t>
  </si>
  <si>
    <t>&gt;= 75</t>
  </si>
  <si>
    <t>Punaiset riskit</t>
  </si>
  <si>
    <t>Keskikate</t>
  </si>
  <si>
    <t>&gt;= 15 %</t>
  </si>
  <si>
    <t>Empty km %</t>
  </si>
  <si>
    <t>&lt;= 15 %</t>
  </si>
  <si>
    <t>Power BI route rows</t>
  </si>
  <si>
    <t>data</t>
  </si>
  <si>
    <t>Excel status</t>
  </si>
  <si>
    <t>Ei ulkoisia linkkejä</t>
  </si>
  <si>
    <t>Projektin vahvimmat näkymät</t>
  </si>
  <si>
    <t>Näkymä</t>
  </si>
  <si>
    <t>Tarkoitus</t>
  </si>
  <si>
    <t>Miksi tärkeä portfolioon</t>
  </si>
  <si>
    <t>Sivu</t>
  </si>
  <si>
    <t>AI-optimointi</t>
  </si>
  <si>
    <t>Reittivaihtoehtojen pisteytys</t>
  </si>
  <si>
    <t>Näyttää TMS-logiikan</t>
  </si>
  <si>
    <t>Optimointi</t>
  </si>
  <si>
    <t>Suosituksen kuorma ja kapasiteetti</t>
  </si>
  <si>
    <t>Näyttää kuljetusosaamisen</t>
  </si>
  <si>
    <t>Visuaalinen 33 lavapaikan kuva</t>
  </si>
  <si>
    <t>Helppo ymmärtää rekrytoijalle</t>
  </si>
  <si>
    <t>Kartta- ja analytiikkadata</t>
  </si>
  <si>
    <t>Näyttää BI-valmiuden</t>
  </si>
  <si>
    <t>Käyttöohje</t>
  </si>
  <si>
    <t>Puhdas portfolio-versio ilman Excel Table -rakenteita, pivoteja tai ulkoisia linkkejä.</t>
  </si>
  <si>
    <t>Vaihe</t>
  </si>
  <si>
    <t>Mitä teet</t>
  </si>
  <si>
    <t>Syötä tai muokkaa lähetyksiä.</t>
  </si>
  <si>
    <t>Muokkaa reittivaihtoehtoja ja painotuksia.</t>
  </si>
  <si>
    <t>Reittivaihtoehdot / Painotukset</t>
  </si>
  <si>
    <t>Katso paras reitti ja pisteytys.</t>
  </si>
  <si>
    <t>Tarkista kuorma ja trailerin käyttöaste.</t>
  </si>
  <si>
    <t>Kuormaoptimointi / Trailer Layout</t>
  </si>
  <si>
    <t>Tarkista ETA ja riskit.</t>
  </si>
  <si>
    <t>ETA / Riskit</t>
  </si>
  <si>
    <t>Tarkista kustannukset ja historiadata.</t>
  </si>
  <si>
    <t>Kustannukset / Reittihistoria</t>
  </si>
  <si>
    <t>Käytä Power BI Data -sivua BI-raportoinnin lähteenä.</t>
  </si>
  <si>
    <t>Tässä versiossa ei ole Excelin taulukkorakenteita eikä pivotteja, jotta Excel ei korjaa tiedostoa avattaessa.</t>
  </si>
  <si>
    <t>Portfolio</t>
  </si>
  <si>
    <t>Suositellut screenshotit: Dashboard, Optimointi, Trailer Layout, Power BI Data.</t>
  </si>
  <si>
    <t>Testiraportti</t>
  </si>
  <si>
    <t>Testi</t>
  </si>
  <si>
    <t>Tarkistus</t>
  </si>
  <si>
    <t>Odotettu</t>
  </si>
  <si>
    <t>Tulos</t>
  </si>
  <si>
    <t>Kaavavirheet</t>
  </si>
  <si>
    <t>Ei Excelin virhekoodeja</t>
  </si>
  <si>
    <t>Tarkistettu työkalulla</t>
  </si>
  <si>
    <t>Painotusten summa = 100 %</t>
  </si>
  <si>
    <t>100 %</t>
  </si>
  <si>
    <t>Suositus</t>
  </si>
  <si>
    <t>Vain yksi SUOSITUS</t>
  </si>
  <si>
    <t>Kuorma</t>
  </si>
  <si>
    <t>Lavapaikat täsmäävät</t>
  </si>
  <si>
    <t>18</t>
  </si>
  <si>
    <t>ETA</t>
  </si>
  <si>
    <t>ETA-status toimii</t>
  </si>
  <si>
    <t>Riskit</t>
  </si>
  <si>
    <t>Punaisia riskejä on 2</t>
  </si>
  <si>
    <t>Karttadata sisältää rivejä</t>
  </si>
  <si>
    <t>&gt;0</t>
  </si>
  <si>
    <t>Kaava-, linkki- ja 
status-tarkistus.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</si>
</sst>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"/>
    <numFmt numFmtId="165" formatCode="0.0"/>
    <numFmt numFmtId="166" formatCode="dd\.mm\.yyyy\ hh:mm"/>
    <numFmt numFmtId="167" formatCode="#,##0.00\ \€"/>
    <numFmt numFmtId="168" formatCode="dd\.mm\.yyyy"/>
  </numFmts>
  <fonts count="7">
    <font>
      <sz val="11"/>
      <name val="Carlito"/>
    </font>
    <font>
      <b/>
      <sz val="16"/>
      <color rgb="FFFFFFFF"/>
      <name val="Carlito"/>
    </font>
    <font>
      <i/>
      <sz val="10"/>
      <color rgb="FF666666"/>
      <name val="Carlito"/>
    </font>
    <font>
      <b/>
      <sz val="11"/>
      <color rgb="FF000000"/>
      <name val="Carlito"/>
    </font>
    <font>
      <sz val="11"/>
      <color rgb="FF0000FF"/>
      <name val="Carlito"/>
    </font>
    <font>
      <b/>
      <sz val="11"/>
      <color rgb="FFFFFFFF"/>
      <name val="Carlito"/>
    </font>
    <font>
      <sz val="11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AF4FB"/>
      </patternFill>
    </fill>
    <fill>
      <patternFill patternType="solid">
        <fgColor rgb="FFF1F8EC"/>
      </patternFill>
    </fill>
    <fill>
      <patternFill patternType="solid">
        <fgColor rgb="FF17365D"/>
      </patternFill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24">
    <xf numFmtId="0" fontId="0" fillId="0" borderId="0" xfId="0"/>
    <xf numFmtId="0" fontId="1" fillId="2" borderId="0" xfId="1" applyFont="1" applyFill="1" applyAlignment="1">
      <alignment horizontal="left" vertical="center" wrapText="1"/>
    </xf>
    <xf numFmtId="0" fontId="2" fillId="0" borderId="0" xfId="1" applyFont="1" applyAlignment="1">
      <alignment wrapText="1"/>
    </xf>
    <xf numFmtId="0" fontId="3" fillId="3" borderId="0" xfId="1" applyFont="1" applyFill="1" applyAlignment="1">
      <alignment horizontal="center" vertical="center" wrapText="1"/>
    </xf>
    <xf numFmtId="0" fontId="4" fillId="4" borderId="0" xfId="1" applyFont="1" applyFill="1" applyAlignment="1">
      <alignment wrapText="1"/>
    </xf>
    <xf numFmtId="164" fontId="4" fillId="4" borderId="0" xfId="1" applyNumberFormat="1" applyFont="1" applyFill="1" applyAlignment="1">
      <alignment wrapText="1"/>
    </xf>
    <xf numFmtId="0" fontId="0" fillId="5" borderId="0" xfId="1" applyFont="1" applyFill="1" applyAlignment="1">
      <alignment wrapText="1"/>
    </xf>
    <xf numFmtId="164" fontId="0" fillId="5" borderId="0" xfId="1" applyNumberFormat="1" applyFont="1" applyFill="1" applyAlignment="1">
      <alignment wrapText="1"/>
    </xf>
    <xf numFmtId="164" fontId="0" fillId="0" borderId="0" xfId="1" applyNumberFormat="1" applyFont="1"/>
    <xf numFmtId="165" fontId="0" fillId="5" borderId="0" xfId="1" applyNumberFormat="1" applyFont="1" applyFill="1" applyAlignment="1">
      <alignment wrapText="1"/>
    </xf>
    <xf numFmtId="0" fontId="5" fillId="6" borderId="0" xfId="1" applyFont="1" applyFill="1" applyAlignment="1">
      <alignment horizontal="left" vertical="center"/>
    </xf>
    <xf numFmtId="0" fontId="0" fillId="0" borderId="0" xfId="1" applyFont="1" applyAlignment="1">
      <alignment wrapText="1"/>
    </xf>
    <xf numFmtId="0" fontId="0" fillId="0" borderId="0" xfId="1" applyFont="1" applyAlignment="1">
      <alignment horizontal="center" vertical="center" wrapText="1"/>
    </xf>
    <xf numFmtId="0" fontId="0" fillId="3" borderId="0" xfId="1" applyFont="1" applyFill="1" applyAlignment="1">
      <alignment horizontal="center" vertical="center" wrapText="1"/>
    </xf>
    <xf numFmtId="0" fontId="0" fillId="7" borderId="0" xfId="1" applyFont="1" applyFill="1" applyAlignment="1">
      <alignment horizontal="center" vertical="center" wrapText="1"/>
    </xf>
    <xf numFmtId="166" fontId="4" fillId="4" borderId="0" xfId="1" applyNumberFormat="1" applyFont="1" applyFill="1" applyAlignment="1">
      <alignment wrapText="1"/>
    </xf>
    <xf numFmtId="166" fontId="0" fillId="5" borderId="0" xfId="1" applyNumberFormat="1" applyFont="1" applyFill="1" applyAlignment="1">
      <alignment wrapText="1"/>
    </xf>
    <xf numFmtId="167" fontId="4" fillId="4" borderId="0" xfId="1" applyNumberFormat="1" applyFont="1" applyFill="1" applyAlignment="1">
      <alignment wrapText="1"/>
    </xf>
    <xf numFmtId="167" fontId="0" fillId="5" borderId="0" xfId="1" applyNumberFormat="1" applyFont="1" applyFill="1" applyAlignment="1">
      <alignment wrapText="1"/>
    </xf>
    <xf numFmtId="168" fontId="4" fillId="4" borderId="0" xfId="1" applyNumberFormat="1" applyFont="1" applyFill="1" applyAlignment="1">
      <alignment wrapText="1"/>
    </xf>
    <xf numFmtId="0" fontId="0" fillId="0" borderId="0" xfId="1" applyFont="1" applyAlignment="1">
      <alignment vertical="center" wrapText="1"/>
    </xf>
    <xf numFmtId="0" fontId="0" fillId="0" borderId="1" xfId="1" applyFont="1" applyBorder="1" applyAlignment="1">
      <alignment vertical="center" wrapText="1"/>
    </xf>
    <xf numFmtId="0" fontId="1" fillId="2" borderId="0" xfId="1" applyFont="1" applyFill="1" applyAlignment="1">
      <alignment horizontal="left" vertical="center" wrapText="1"/>
    </xf>
    <xf numFmtId="0" fontId="0" fillId="0" borderId="0" xfId="0" applyAlignment="1">
      <alignment wrapText="1"/>
    </xf>
  </cellXfs>
  <cellStyles count="2">
    <cellStyle name="Normaali" xfId="0" builtinId="0"/>
    <cellStyle name="Normal" xfId="1" xr:uid="{00000000-0005-0000-0000-000000000000}"/>
  </cellStyles>
  <dxfs count="11">
    <dxf>
      <fill>
        <patternFill patternType="solid">
          <bgColor rgb="FFF4CCCC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4CCCC"/>
        </patternFill>
      </fill>
    </dxf>
    <dxf>
      <font>
        <b/>
      </font>
      <fill>
        <patternFill patternType="solid">
          <bgColor rgb="FFE2F0D9"/>
        </patternFill>
      </fill>
    </dxf>
    <dxf>
      <fill>
        <patternFill patternType="solid"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"/>
  <sheetViews>
    <sheetView tabSelected="1" zoomScale="85" zoomScaleNormal="85" workbookViewId="0"/>
  </sheetViews>
  <sheetFormatPr defaultRowHeight="13.8"/>
  <cols>
    <col min="1" max="1" width="17.296875" customWidth="1"/>
    <col min="2" max="3" width="18" customWidth="1"/>
    <col min="4" max="7" width="14" customWidth="1"/>
    <col min="8" max="8" width="12" customWidth="1"/>
    <col min="9" max="9" width="14" customWidth="1"/>
    <col min="10" max="10" width="16" customWidth="1"/>
    <col min="11" max="11" width="28" customWidth="1"/>
  </cols>
  <sheetData>
    <row r="1" spans="1:14" ht="37.049999999999997" customHeight="1">
      <c r="A1" s="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4" ht="66">
      <c r="A2" s="2" t="s">
        <v>1</v>
      </c>
    </row>
    <row r="4" spans="1:1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4">
      <c r="A5" s="4" t="s">
        <v>13</v>
      </c>
      <c r="B5" s="4" t="s">
        <v>14</v>
      </c>
      <c r="C5" s="4" t="s">
        <v>15</v>
      </c>
      <c r="D5" s="4">
        <v>8</v>
      </c>
      <c r="E5" s="4">
        <v>2500</v>
      </c>
      <c r="F5" s="4">
        <v>2</v>
      </c>
      <c r="G5" s="4">
        <v>6</v>
      </c>
      <c r="H5" s="4" t="s">
        <v>16</v>
      </c>
      <c r="I5" s="4" t="s">
        <v>17</v>
      </c>
      <c r="J5" s="4" t="s">
        <v>18</v>
      </c>
      <c r="K5" s="4" t="s">
        <v>19</v>
      </c>
    </row>
    <row r="6" spans="1:14">
      <c r="A6" s="4" t="s">
        <v>20</v>
      </c>
      <c r="B6" s="4" t="s">
        <v>14</v>
      </c>
      <c r="C6" s="4" t="s">
        <v>21</v>
      </c>
      <c r="D6" s="4">
        <v>10</v>
      </c>
      <c r="E6" s="4">
        <v>3200</v>
      </c>
      <c r="F6" s="4">
        <v>2</v>
      </c>
      <c r="G6" s="4">
        <v>6</v>
      </c>
      <c r="H6" s="4" t="s">
        <v>16</v>
      </c>
      <c r="I6" s="4" t="s">
        <v>22</v>
      </c>
      <c r="J6" s="4" t="s">
        <v>18</v>
      </c>
      <c r="K6" s="4" t="s">
        <v>19</v>
      </c>
    </row>
    <row r="7" spans="1:14">
      <c r="A7" s="4" t="s">
        <v>23</v>
      </c>
      <c r="B7" s="4" t="s">
        <v>15</v>
      </c>
      <c r="C7" s="4" t="s">
        <v>24</v>
      </c>
      <c r="D7" s="4">
        <v>12</v>
      </c>
      <c r="E7" s="4">
        <v>5000</v>
      </c>
      <c r="F7" s="4"/>
      <c r="G7" s="4"/>
      <c r="H7" s="4" t="s">
        <v>16</v>
      </c>
      <c r="I7" s="4" t="s">
        <v>25</v>
      </c>
      <c r="J7" s="4" t="s">
        <v>16</v>
      </c>
      <c r="K7" s="4" t="s">
        <v>26</v>
      </c>
    </row>
    <row r="8" spans="1:14">
      <c r="A8" s="4" t="s">
        <v>27</v>
      </c>
      <c r="B8" s="4" t="s">
        <v>14</v>
      </c>
      <c r="C8" s="4" t="s">
        <v>28</v>
      </c>
      <c r="D8" s="4">
        <v>6</v>
      </c>
      <c r="E8" s="4">
        <v>1800</v>
      </c>
      <c r="F8" s="4"/>
      <c r="G8" s="4"/>
      <c r="H8" s="4" t="s">
        <v>18</v>
      </c>
      <c r="I8" s="4" t="s">
        <v>29</v>
      </c>
      <c r="J8" s="4" t="s">
        <v>16</v>
      </c>
      <c r="K8" s="4" t="s">
        <v>30</v>
      </c>
    </row>
    <row r="9" spans="1:14">
      <c r="A9" s="4"/>
      <c r="B9" s="4"/>
      <c r="C9" s="4"/>
      <c r="D9" s="4"/>
      <c r="E9" s="4"/>
      <c r="F9" s="4"/>
      <c r="G9" s="4"/>
      <c r="H9" s="4"/>
      <c r="I9" s="4"/>
      <c r="J9" s="4"/>
      <c r="K9" s="4"/>
    </row>
    <row r="10" spans="1:14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</row>
    <row r="11" spans="1:14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</row>
    <row r="12" spans="1:14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</row>
    <row r="13" spans="1:14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</row>
    <row r="14" spans="1: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</row>
    <row r="15" spans="1:14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4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</row>
  </sheetData>
  <dataValidations count="1">
    <dataValidation type="list" sqref="H5:H30 J5:J30" xr:uid="{00000000-0002-0000-0000-000000000000}">
      <formula1>"Kyllä,Ei"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0"/>
  <sheetViews>
    <sheetView workbookViewId="0"/>
  </sheetViews>
  <sheetFormatPr defaultRowHeight="13.8"/>
  <cols>
    <col min="1" max="1" width="24.3984375" customWidth="1"/>
    <col min="2" max="2" width="46" customWidth="1"/>
    <col min="3" max="6" width="14" customWidth="1"/>
    <col min="7" max="8" width="16" customWidth="1"/>
    <col min="9" max="9" width="14" customWidth="1"/>
    <col min="10" max="10" width="16" customWidth="1"/>
    <col min="11" max="11" width="20" customWidth="1"/>
    <col min="12" max="12" width="28" customWidth="1"/>
  </cols>
  <sheetData>
    <row r="1" spans="1:14" ht="37.049999999999997" customHeight="1">
      <c r="A1" s="1" t="s">
        <v>31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4" ht="26.4">
      <c r="A2" s="2" t="s">
        <v>32</v>
      </c>
    </row>
    <row r="4" spans="1:14">
      <c r="A4" s="3" t="s">
        <v>33</v>
      </c>
      <c r="B4" s="3" t="s">
        <v>34</v>
      </c>
      <c r="C4" s="3" t="s">
        <v>35</v>
      </c>
      <c r="D4" s="3" t="s">
        <v>36</v>
      </c>
      <c r="E4" s="3" t="s">
        <v>37</v>
      </c>
      <c r="F4" s="3" t="s">
        <v>38</v>
      </c>
      <c r="G4" s="3" t="s">
        <v>5</v>
      </c>
      <c r="H4" s="3" t="s">
        <v>39</v>
      </c>
      <c r="I4" s="3" t="s">
        <v>40</v>
      </c>
      <c r="J4" s="3" t="s">
        <v>41</v>
      </c>
      <c r="K4" s="3" t="s">
        <v>42</v>
      </c>
      <c r="L4" s="3" t="s">
        <v>12</v>
      </c>
    </row>
    <row r="5" spans="1:14">
      <c r="A5" s="4" t="s">
        <v>43</v>
      </c>
      <c r="B5" s="4" t="s">
        <v>44</v>
      </c>
      <c r="C5" s="4">
        <v>290</v>
      </c>
      <c r="D5" s="4">
        <v>3.9</v>
      </c>
      <c r="E5" s="4">
        <v>5.4</v>
      </c>
      <c r="F5" s="4">
        <v>0</v>
      </c>
      <c r="G5" s="4">
        <v>18</v>
      </c>
      <c r="H5" s="4">
        <v>33</v>
      </c>
      <c r="I5" s="5">
        <v>0.18</v>
      </c>
      <c r="J5" s="4">
        <v>2</v>
      </c>
      <c r="K5" s="4" t="s">
        <v>45</v>
      </c>
      <c r="L5" s="4" t="s">
        <v>46</v>
      </c>
    </row>
    <row r="6" spans="1:14">
      <c r="A6" s="4" t="s">
        <v>47</v>
      </c>
      <c r="B6" s="4" t="s">
        <v>48</v>
      </c>
      <c r="C6" s="4">
        <v>330</v>
      </c>
      <c r="D6" s="4">
        <v>4.4000000000000004</v>
      </c>
      <c r="E6" s="4">
        <v>5.9</v>
      </c>
      <c r="F6" s="4">
        <v>0</v>
      </c>
      <c r="G6" s="4">
        <v>18</v>
      </c>
      <c r="H6" s="4">
        <v>33</v>
      </c>
      <c r="I6" s="5">
        <v>0.15</v>
      </c>
      <c r="J6" s="4">
        <v>3</v>
      </c>
      <c r="K6" s="4" t="s">
        <v>45</v>
      </c>
      <c r="L6" s="4" t="s">
        <v>49</v>
      </c>
    </row>
    <row r="7" spans="1:14">
      <c r="A7" s="4" t="s">
        <v>50</v>
      </c>
      <c r="B7" s="4" t="s">
        <v>51</v>
      </c>
      <c r="C7" s="4">
        <v>610</v>
      </c>
      <c r="D7" s="4">
        <v>8.1</v>
      </c>
      <c r="E7" s="4">
        <v>10.199999999999999</v>
      </c>
      <c r="F7" s="4">
        <v>45</v>
      </c>
      <c r="G7" s="4">
        <v>30</v>
      </c>
      <c r="H7" s="4">
        <v>33</v>
      </c>
      <c r="I7" s="5">
        <v>0.16</v>
      </c>
      <c r="J7" s="4">
        <v>5</v>
      </c>
      <c r="K7" s="4" t="s">
        <v>52</v>
      </c>
      <c r="L7" s="4" t="s">
        <v>53</v>
      </c>
    </row>
    <row r="8" spans="1:14" ht="27.6">
      <c r="A8" s="4" t="s">
        <v>54</v>
      </c>
      <c r="B8" s="4" t="s">
        <v>55</v>
      </c>
      <c r="C8" s="4">
        <v>410</v>
      </c>
      <c r="D8" s="4">
        <v>5.5</v>
      </c>
      <c r="E8" s="4">
        <v>7.5</v>
      </c>
      <c r="F8" s="4">
        <v>45</v>
      </c>
      <c r="G8" s="4">
        <v>18</v>
      </c>
      <c r="H8" s="4">
        <v>66</v>
      </c>
      <c r="I8" s="5">
        <v>0.1</v>
      </c>
      <c r="J8" s="4">
        <v>2</v>
      </c>
      <c r="K8" s="4" t="s">
        <v>45</v>
      </c>
      <c r="L8" s="4" t="s">
        <v>56</v>
      </c>
    </row>
    <row r="9" spans="1:14">
      <c r="A9" s="4" t="s">
        <v>57</v>
      </c>
      <c r="B9" s="4" t="s">
        <v>58</v>
      </c>
      <c r="C9" s="4">
        <v>455</v>
      </c>
      <c r="D9" s="4">
        <v>6.1</v>
      </c>
      <c r="E9" s="4">
        <v>8.1</v>
      </c>
      <c r="F9" s="4">
        <v>45</v>
      </c>
      <c r="G9" s="4">
        <v>24</v>
      </c>
      <c r="H9" s="4">
        <v>33</v>
      </c>
      <c r="I9" s="5">
        <v>0.17</v>
      </c>
      <c r="J9" s="4">
        <v>4</v>
      </c>
      <c r="K9" s="4" t="s">
        <v>59</v>
      </c>
      <c r="L9" s="4" t="s">
        <v>60</v>
      </c>
    </row>
    <row r="10" spans="1:14">
      <c r="A10" s="4"/>
      <c r="B10" s="4"/>
      <c r="C10" s="4"/>
      <c r="D10" s="4"/>
      <c r="E10" s="4"/>
      <c r="F10" s="4"/>
      <c r="G10" s="4"/>
      <c r="H10" s="4"/>
      <c r="I10" s="5"/>
      <c r="J10" s="4"/>
      <c r="K10" s="4"/>
      <c r="L10" s="4"/>
    </row>
    <row r="11" spans="1:14">
      <c r="A11" s="4"/>
      <c r="B11" s="4"/>
      <c r="C11" s="4"/>
      <c r="D11" s="4"/>
      <c r="E11" s="4"/>
      <c r="F11" s="4"/>
      <c r="G11" s="4"/>
      <c r="H11" s="4"/>
      <c r="I11" s="5"/>
      <c r="J11" s="4"/>
      <c r="K11" s="4"/>
      <c r="L11" s="4"/>
    </row>
    <row r="12" spans="1:14">
      <c r="A12" s="4"/>
      <c r="B12" s="4"/>
      <c r="C12" s="4"/>
      <c r="D12" s="4"/>
      <c r="E12" s="4"/>
      <c r="F12" s="4"/>
      <c r="G12" s="4"/>
      <c r="H12" s="4"/>
      <c r="I12" s="5"/>
      <c r="J12" s="4"/>
      <c r="K12" s="4"/>
      <c r="L12" s="4"/>
    </row>
    <row r="13" spans="1:14">
      <c r="A13" s="4"/>
      <c r="B13" s="4"/>
      <c r="C13" s="4"/>
      <c r="D13" s="4"/>
      <c r="E13" s="4"/>
      <c r="F13" s="4"/>
      <c r="G13" s="4"/>
      <c r="H13" s="4"/>
      <c r="I13" s="5"/>
      <c r="J13" s="4"/>
      <c r="K13" s="4"/>
      <c r="L13" s="4"/>
    </row>
    <row r="14" spans="1:14">
      <c r="A14" s="4"/>
      <c r="B14" s="4"/>
      <c r="C14" s="4"/>
      <c r="D14" s="4"/>
      <c r="E14" s="4"/>
      <c r="F14" s="4"/>
      <c r="G14" s="4"/>
      <c r="H14" s="4"/>
      <c r="I14" s="5"/>
      <c r="J14" s="4"/>
      <c r="K14" s="4"/>
      <c r="L14" s="4"/>
    </row>
    <row r="15" spans="1:14">
      <c r="A15" s="4"/>
      <c r="B15" s="4"/>
      <c r="C15" s="4"/>
      <c r="D15" s="4"/>
      <c r="E15" s="4"/>
      <c r="F15" s="4"/>
      <c r="G15" s="4"/>
      <c r="H15" s="4"/>
      <c r="I15" s="5"/>
      <c r="J15" s="4"/>
      <c r="K15" s="4"/>
      <c r="L15" s="4"/>
    </row>
    <row r="16" spans="1:14">
      <c r="A16" s="4"/>
      <c r="B16" s="4"/>
      <c r="C16" s="4"/>
      <c r="D16" s="4"/>
      <c r="E16" s="4"/>
      <c r="F16" s="4"/>
      <c r="G16" s="4"/>
      <c r="H16" s="4"/>
      <c r="I16" s="5"/>
      <c r="J16" s="4"/>
      <c r="K16" s="4"/>
      <c r="L16" s="4"/>
    </row>
    <row r="17" spans="1:12">
      <c r="A17" s="4"/>
      <c r="B17" s="4"/>
      <c r="C17" s="4"/>
      <c r="D17" s="4"/>
      <c r="E17" s="4"/>
      <c r="F17" s="4"/>
      <c r="G17" s="4"/>
      <c r="H17" s="4"/>
      <c r="I17" s="5"/>
      <c r="J17" s="4"/>
      <c r="K17" s="4"/>
      <c r="L17" s="4"/>
    </row>
    <row r="18" spans="1:12">
      <c r="A18" s="4"/>
      <c r="B18" s="4"/>
      <c r="C18" s="4"/>
      <c r="D18" s="4"/>
      <c r="E18" s="4"/>
      <c r="F18" s="4"/>
      <c r="G18" s="4"/>
      <c r="H18" s="4"/>
      <c r="I18" s="5"/>
      <c r="J18" s="4"/>
      <c r="K18" s="4"/>
      <c r="L18" s="4"/>
    </row>
    <row r="19" spans="1:12">
      <c r="A19" s="4"/>
      <c r="B19" s="4"/>
      <c r="C19" s="4"/>
      <c r="D19" s="4"/>
      <c r="E19" s="4"/>
      <c r="F19" s="4"/>
      <c r="G19" s="4"/>
      <c r="H19" s="4"/>
      <c r="I19" s="5"/>
      <c r="J19" s="4"/>
      <c r="K19" s="4"/>
      <c r="L19" s="4"/>
    </row>
    <row r="20" spans="1:12">
      <c r="A20" s="4"/>
      <c r="B20" s="4"/>
      <c r="C20" s="4"/>
      <c r="D20" s="4"/>
      <c r="E20" s="4"/>
      <c r="F20" s="4"/>
      <c r="G20" s="4"/>
      <c r="H20" s="4"/>
      <c r="I20" s="5"/>
      <c r="J20" s="4"/>
      <c r="K20" s="4"/>
      <c r="L20" s="4"/>
    </row>
    <row r="21" spans="1:12">
      <c r="A21" s="4"/>
      <c r="B21" s="4"/>
      <c r="C21" s="4"/>
      <c r="D21" s="4"/>
      <c r="E21" s="4"/>
      <c r="F21" s="4"/>
      <c r="G21" s="4"/>
      <c r="H21" s="4"/>
      <c r="I21" s="5"/>
      <c r="J21" s="4"/>
      <c r="K21" s="4"/>
      <c r="L21" s="4"/>
    </row>
    <row r="22" spans="1:12">
      <c r="A22" s="4"/>
      <c r="B22" s="4"/>
      <c r="C22" s="4"/>
      <c r="D22" s="4"/>
      <c r="E22" s="4"/>
      <c r="F22" s="4"/>
      <c r="G22" s="4"/>
      <c r="H22" s="4"/>
      <c r="I22" s="5"/>
      <c r="J22" s="4"/>
      <c r="K22" s="4"/>
      <c r="L22" s="4"/>
    </row>
    <row r="23" spans="1:12">
      <c r="A23" s="4"/>
      <c r="B23" s="4"/>
      <c r="C23" s="4"/>
      <c r="D23" s="4"/>
      <c r="E23" s="4"/>
      <c r="F23" s="4"/>
      <c r="G23" s="4"/>
      <c r="H23" s="4"/>
      <c r="I23" s="5"/>
      <c r="J23" s="4"/>
      <c r="K23" s="4"/>
      <c r="L23" s="4"/>
    </row>
    <row r="24" spans="1:12">
      <c r="A24" s="4"/>
      <c r="B24" s="4"/>
      <c r="C24" s="4"/>
      <c r="D24" s="4"/>
      <c r="E24" s="4"/>
      <c r="F24" s="4"/>
      <c r="G24" s="4"/>
      <c r="H24" s="4"/>
      <c r="I24" s="5"/>
      <c r="J24" s="4"/>
      <c r="K24" s="4"/>
      <c r="L24" s="4"/>
    </row>
    <row r="25" spans="1:12">
      <c r="A25" s="4"/>
      <c r="B25" s="4"/>
      <c r="C25" s="4"/>
      <c r="D25" s="4"/>
      <c r="E25" s="4"/>
      <c r="F25" s="4"/>
      <c r="G25" s="4"/>
      <c r="H25" s="4"/>
      <c r="I25" s="5"/>
      <c r="J25" s="4"/>
      <c r="K25" s="4"/>
      <c r="L25" s="4"/>
    </row>
    <row r="26" spans="1:12">
      <c r="A26" s="4"/>
      <c r="B26" s="4"/>
      <c r="C26" s="4"/>
      <c r="D26" s="4"/>
      <c r="E26" s="4"/>
      <c r="F26" s="4"/>
      <c r="G26" s="4"/>
      <c r="H26" s="4"/>
      <c r="I26" s="5"/>
      <c r="J26" s="4"/>
      <c r="K26" s="4"/>
      <c r="L26" s="4"/>
    </row>
    <row r="27" spans="1:12">
      <c r="A27" s="4"/>
      <c r="B27" s="4"/>
      <c r="C27" s="4"/>
      <c r="D27" s="4"/>
      <c r="E27" s="4"/>
      <c r="F27" s="4"/>
      <c r="G27" s="4"/>
      <c r="H27" s="4"/>
      <c r="I27" s="5"/>
      <c r="J27" s="4"/>
      <c r="K27" s="4"/>
      <c r="L27" s="4"/>
    </row>
    <row r="28" spans="1:12">
      <c r="A28" s="4"/>
      <c r="B28" s="4"/>
      <c r="C28" s="4"/>
      <c r="D28" s="4"/>
      <c r="E28" s="4"/>
      <c r="F28" s="4"/>
      <c r="G28" s="4"/>
      <c r="H28" s="4"/>
      <c r="I28" s="5"/>
      <c r="J28" s="4"/>
      <c r="K28" s="4"/>
      <c r="L28" s="4"/>
    </row>
    <row r="29" spans="1:12">
      <c r="A29" s="4"/>
      <c r="B29" s="4"/>
      <c r="C29" s="4"/>
      <c r="D29" s="4"/>
      <c r="E29" s="4"/>
      <c r="F29" s="4"/>
      <c r="G29" s="4"/>
      <c r="H29" s="4"/>
      <c r="I29" s="5"/>
      <c r="J29" s="4"/>
      <c r="K29" s="4"/>
      <c r="L29" s="4"/>
    </row>
    <row r="30" spans="1:12">
      <c r="A30" s="4"/>
      <c r="B30" s="4"/>
      <c r="C30" s="4"/>
      <c r="D30" s="4"/>
      <c r="E30" s="4"/>
      <c r="F30" s="4"/>
      <c r="G30" s="4"/>
      <c r="H30" s="4"/>
      <c r="I30" s="5"/>
      <c r="J30" s="4"/>
      <c r="K30" s="4"/>
      <c r="L30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0"/>
  <sheetViews>
    <sheetView workbookViewId="0"/>
  </sheetViews>
  <sheetFormatPr defaultRowHeight="13.8"/>
  <cols>
    <col min="1" max="1" width="21.296875" customWidth="1"/>
    <col min="2" max="2" width="14" customWidth="1"/>
    <col min="3" max="3" width="42" customWidth="1"/>
    <col min="4" max="5" width="16" customWidth="1"/>
  </cols>
  <sheetData>
    <row r="1" spans="1:14" ht="37.049999999999997" customHeight="1">
      <c r="A1" s="1" t="s">
        <v>61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4" ht="39.6">
      <c r="A2" s="2" t="s">
        <v>62</v>
      </c>
    </row>
    <row r="4" spans="1:14">
      <c r="A4" s="3" t="s">
        <v>63</v>
      </c>
      <c r="B4" s="3" t="s">
        <v>64</v>
      </c>
      <c r="C4" s="3" t="s">
        <v>65</v>
      </c>
      <c r="D4" s="3" t="s">
        <v>66</v>
      </c>
      <c r="E4" s="3" t="s">
        <v>67</v>
      </c>
    </row>
    <row r="5" spans="1:14">
      <c r="A5" t="s">
        <v>68</v>
      </c>
      <c r="B5" s="5">
        <v>0.3</v>
      </c>
      <c r="C5" t="s">
        <v>69</v>
      </c>
      <c r="D5">
        <v>250</v>
      </c>
      <c r="E5">
        <v>700</v>
      </c>
    </row>
    <row r="6" spans="1:14">
      <c r="A6" t="s">
        <v>70</v>
      </c>
      <c r="B6" s="5">
        <v>0.2</v>
      </c>
      <c r="C6" t="s">
        <v>71</v>
      </c>
      <c r="D6">
        <v>3</v>
      </c>
      <c r="E6">
        <v>9</v>
      </c>
    </row>
    <row r="7" spans="1:14">
      <c r="A7" t="s">
        <v>72</v>
      </c>
      <c r="B7" s="5">
        <v>0.25</v>
      </c>
      <c r="C7" t="s">
        <v>73</v>
      </c>
      <c r="D7" s="8">
        <v>0.7</v>
      </c>
      <c r="E7" s="8">
        <v>0.95</v>
      </c>
    </row>
    <row r="8" spans="1:14">
      <c r="A8" t="s">
        <v>74</v>
      </c>
      <c r="B8" s="5">
        <v>0.15</v>
      </c>
      <c r="C8" t="s">
        <v>75</v>
      </c>
      <c r="D8" s="8">
        <v>0.1</v>
      </c>
      <c r="E8" s="8">
        <v>0.22</v>
      </c>
    </row>
    <row r="9" spans="1:14">
      <c r="A9" t="s">
        <v>76</v>
      </c>
      <c r="B9" s="5">
        <v>0.1</v>
      </c>
      <c r="C9" t="s">
        <v>77</v>
      </c>
      <c r="D9">
        <v>0</v>
      </c>
      <c r="E9">
        <v>8</v>
      </c>
    </row>
    <row r="10" spans="1:14">
      <c r="A10" t="s">
        <v>78</v>
      </c>
      <c r="B10" s="7">
        <f>SUM(B5:B9)</f>
        <v>1</v>
      </c>
      <c r="C10" t="s">
        <v>79</v>
      </c>
    </row>
  </sheetData>
  <conditionalFormatting sqref="B10">
    <cfRule type="expression" dxfId="10" priority="1">
      <formula>ABS(B10-1)&gt;0.001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9"/>
  <sheetViews>
    <sheetView zoomScale="85" zoomScaleNormal="85" workbookViewId="0">
      <selection sqref="A1:B1"/>
    </sheetView>
  </sheetViews>
  <sheetFormatPr defaultRowHeight="13.8"/>
  <cols>
    <col min="1" max="1" width="25" customWidth="1"/>
    <col min="2" max="2" width="31.8984375" customWidth="1"/>
    <col min="3" max="4" width="12" customWidth="1"/>
    <col min="5" max="5" width="14" customWidth="1"/>
    <col min="6" max="6" width="12" customWidth="1"/>
    <col min="7" max="12" width="14" customWidth="1"/>
    <col min="13" max="13" width="16" customWidth="1"/>
    <col min="14" max="14" width="14" customWidth="1"/>
  </cols>
  <sheetData>
    <row r="1" spans="1:14" ht="37.049999999999997" customHeight="1">
      <c r="A1" s="22" t="s">
        <v>80</v>
      </c>
      <c r="B1" s="23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4" ht="39.6">
      <c r="A2" s="2" t="s">
        <v>81</v>
      </c>
    </row>
    <row r="4" spans="1:14">
      <c r="A4" s="3" t="s">
        <v>33</v>
      </c>
      <c r="B4" s="3" t="s">
        <v>34</v>
      </c>
      <c r="C4" s="3" t="s">
        <v>35</v>
      </c>
      <c r="D4" s="3" t="s">
        <v>36</v>
      </c>
      <c r="E4" s="3" t="s">
        <v>82</v>
      </c>
      <c r="F4" s="3" t="s">
        <v>40</v>
      </c>
      <c r="G4" s="3" t="s">
        <v>41</v>
      </c>
      <c r="H4" s="3" t="s">
        <v>68</v>
      </c>
      <c r="I4" s="3" t="s">
        <v>83</v>
      </c>
      <c r="J4" s="3" t="s">
        <v>84</v>
      </c>
      <c r="K4" s="3" t="s">
        <v>74</v>
      </c>
      <c r="L4" s="3" t="s">
        <v>76</v>
      </c>
      <c r="M4" s="3" t="s">
        <v>85</v>
      </c>
      <c r="N4" s="3" t="s">
        <v>86</v>
      </c>
    </row>
    <row r="5" spans="1:14">
      <c r="A5" s="6" t="str">
        <f>IF(Reittivaihtoehdot!A5="","",Reittivaihtoehdot!A5)</f>
        <v>R1</v>
      </c>
      <c r="B5" s="6" t="str">
        <f>IF(Reittivaihtoehdot!A5="","",Reittivaihtoehdot!B5)</f>
        <v>Vantaa → Tampere → Pori</v>
      </c>
      <c r="C5" s="6">
        <f>IF(Reittivaihtoehdot!A5="","",Reittivaihtoehdot!C5)</f>
        <v>290</v>
      </c>
      <c r="D5" s="6">
        <f>IF(Reittivaihtoehdot!A5="","",Reittivaihtoehdot!D5)</f>
        <v>3.9</v>
      </c>
      <c r="E5" s="7">
        <f>IF(Reittivaihtoehdot!A5="","",IF(Reittivaihtoehdot!H5=0,0,Reittivaihtoehdot!G5/Reittivaihtoehdot!H5))</f>
        <v>0.54545454545454541</v>
      </c>
      <c r="F5" s="7">
        <f>IF(Reittivaihtoehdot!A5="","",Reittivaihtoehdot!I5)</f>
        <v>0.18</v>
      </c>
      <c r="G5" s="6">
        <f>IF(Reittivaihtoehdot!A5="","",Reittivaihtoehdot!J5)</f>
        <v>2</v>
      </c>
      <c r="H5" s="9">
        <f>IF(A5="","",MAX(0,MIN(100,100*(1-(C5-Painotukset!D5)/(Painotukset!E5-Painotukset!D5)))))</f>
        <v>91.111111111111114</v>
      </c>
      <c r="I5" s="9">
        <f>IF(A5="","",MAX(0,MIN(100,100*(1-(D5-Painotukset!D6)/(Painotukset!E6-Painotukset!D6)))))</f>
        <v>85</v>
      </c>
      <c r="J5" s="9">
        <f>IF(A5="","",MAX(0,MIN(100,IF(E5&lt;=Painotukset!E7,100*(E5/Painotukset!E7),100*(1-(E5-Painotukset!E7)/(1-Painotukset!E7))))))</f>
        <v>57.41626794258373</v>
      </c>
      <c r="K5" s="9">
        <f>IF(A5="","",MAX(0,MIN(100,100*((F5-Painotukset!D8)/(Painotukset!E8-Painotukset!D8)))))</f>
        <v>66.666666666666657</v>
      </c>
      <c r="L5" s="9">
        <f>IF(A5="","",MAX(0,MIN(100,100*(1-(G5-Painotukset!D9)/(Painotukset!E9-Painotukset!D9)))))</f>
        <v>75</v>
      </c>
      <c r="M5" s="9">
        <f>IF(A5="","",H5*Painotukset!B5+I5*Painotukset!B6+J5*Painotukset!B7+K5*Painotukset!B8+L5*Painotukset!B9)</f>
        <v>76.187400318979257</v>
      </c>
      <c r="N5" s="6" t="str">
        <f t="shared" ref="N5:N14" si="0">IF(A5="","",IF(M5=MAX($M$5:$M$14),"SUOSITUS",""))</f>
        <v>SUOSITUS</v>
      </c>
    </row>
    <row r="6" spans="1:14">
      <c r="A6" s="6" t="str">
        <f>IF(Reittivaihtoehdot!A6="","",Reittivaihtoehdot!A6)</f>
        <v>R2</v>
      </c>
      <c r="B6" s="6" t="str">
        <f>IF(Reittivaihtoehdot!A6="","",Reittivaihtoehdot!B6)</f>
        <v>Vantaa → Pori → Tampere</v>
      </c>
      <c r="C6" s="6">
        <f>IF(Reittivaihtoehdot!A6="","",Reittivaihtoehdot!C6)</f>
        <v>330</v>
      </c>
      <c r="D6" s="6">
        <f>IF(Reittivaihtoehdot!A6="","",Reittivaihtoehdot!D6)</f>
        <v>4.4000000000000004</v>
      </c>
      <c r="E6" s="7">
        <f>IF(Reittivaihtoehdot!A6="","",IF(Reittivaihtoehdot!H6=0,0,Reittivaihtoehdot!G6/Reittivaihtoehdot!H6))</f>
        <v>0.54545454545454541</v>
      </c>
      <c r="F6" s="7">
        <f>IF(Reittivaihtoehdot!A6="","",Reittivaihtoehdot!I6)</f>
        <v>0.15</v>
      </c>
      <c r="G6" s="6">
        <f>IF(Reittivaihtoehdot!A6="","",Reittivaihtoehdot!J6)</f>
        <v>3</v>
      </c>
      <c r="H6" s="9">
        <f>IF(A6="","",MAX(0,MIN(100,100*(1-(C6-Painotukset!D5)/(Painotukset!E5-Painotukset!D5)))))</f>
        <v>82.222222222222214</v>
      </c>
      <c r="I6" s="9">
        <f>IF(A6="","",MAX(0,MIN(100,100*(1-(D6-Painotukset!D6)/(Painotukset!E6-Painotukset!D6)))))</f>
        <v>76.666666666666657</v>
      </c>
      <c r="J6" s="9">
        <f>IF(A6="","",MAX(0,MIN(100,IF(E6&lt;=Painotukset!E7,100*(E6/Painotukset!E7),100*(1-(E6-Painotukset!E7)/(1-Painotukset!E7))))))</f>
        <v>57.41626794258373</v>
      </c>
      <c r="K6" s="9">
        <f>IF(A6="","",MAX(0,MIN(100,100*((F6-Painotukset!D8)/(Painotukset!E8-Painotukset!D8)))))</f>
        <v>41.666666666666657</v>
      </c>
      <c r="L6" s="9">
        <f>IF(A6="","",MAX(0,MIN(100,100*(1-(G6-Painotukset!D9)/(Painotukset!E9-Painotukset!D9)))))</f>
        <v>62.5</v>
      </c>
      <c r="M6" s="9">
        <f>IF(A6="","",H6*Painotukset!B5+I6*Painotukset!B6+J6*Painotukset!B7+K6*Painotukset!B8+L6*Painotukset!B9)</f>
        <v>66.854066985645929</v>
      </c>
      <c r="N6" s="6" t="str">
        <f t="shared" si="0"/>
        <v/>
      </c>
    </row>
    <row r="7" spans="1:14">
      <c r="A7" s="6" t="str">
        <f>IF(Reittivaihtoehdot!A7="","",Reittivaihtoehdot!A7)</f>
        <v>R3</v>
      </c>
      <c r="B7" s="6" t="str">
        <f>IF(Reittivaihtoehdot!A7="","",Reittivaihtoehdot!B7)</f>
        <v>Vantaa → Tampere → Pori → Oulu</v>
      </c>
      <c r="C7" s="6">
        <f>IF(Reittivaihtoehdot!A7="","",Reittivaihtoehdot!C7)</f>
        <v>610</v>
      </c>
      <c r="D7" s="6">
        <f>IF(Reittivaihtoehdot!A7="","",Reittivaihtoehdot!D7)</f>
        <v>8.1</v>
      </c>
      <c r="E7" s="7">
        <f>IF(Reittivaihtoehdot!A7="","",IF(Reittivaihtoehdot!H7=0,0,Reittivaihtoehdot!G7/Reittivaihtoehdot!H7))</f>
        <v>0.90909090909090906</v>
      </c>
      <c r="F7" s="7">
        <f>IF(Reittivaihtoehdot!A7="","",Reittivaihtoehdot!I7)</f>
        <v>0.16</v>
      </c>
      <c r="G7" s="6">
        <f>IF(Reittivaihtoehdot!A7="","",Reittivaihtoehdot!J7)</f>
        <v>5</v>
      </c>
      <c r="H7" s="9">
        <f>IF(A7="","",MAX(0,MIN(100,100*(1-(C7-Painotukset!D5)/(Painotukset!E5-Painotukset!D5)))))</f>
        <v>19.999999999999996</v>
      </c>
      <c r="I7" s="9">
        <f>IF(A7="","",MAX(0,MIN(100,100*(1-(D7-Painotukset!D6)/(Painotukset!E6-Painotukset!D6)))))</f>
        <v>15.000000000000002</v>
      </c>
      <c r="J7" s="9">
        <f>IF(A7="","",MAX(0,MIN(100,IF(E7&lt;=Painotukset!E7,100*(E7/Painotukset!E7),100*(1-(E7-Painotukset!E7)/(1-Painotukset!E7))))))</f>
        <v>95.693779904306226</v>
      </c>
      <c r="K7" s="9">
        <f>IF(A7="","",MAX(0,MIN(100,100*((F7-Painotukset!D8)/(Painotukset!E8-Painotukset!D8)))))</f>
        <v>50</v>
      </c>
      <c r="L7" s="9">
        <f>IF(A7="","",MAX(0,MIN(100,100*(1-(G7-Painotukset!D9)/(Painotukset!E9-Painotukset!D9)))))</f>
        <v>37.5</v>
      </c>
      <c r="M7" s="9">
        <f>IF(A7="","",H7*Painotukset!B5+I7*Painotukset!B6+J7*Painotukset!B7+K7*Painotukset!B8+L7*Painotukset!B9)</f>
        <v>44.173444976076553</v>
      </c>
      <c r="N7" s="6" t="str">
        <f t="shared" si="0"/>
        <v/>
      </c>
    </row>
    <row r="8" spans="1:14">
      <c r="A8" s="6" t="str">
        <f>IF(Reittivaihtoehdot!A8="","",Reittivaihtoehdot!A8)</f>
        <v>R4</v>
      </c>
      <c r="B8" s="6" t="str">
        <f>IF(Reittivaihtoehdot!A8="","",Reittivaihtoehdot!B8)</f>
        <v>Jaetaan kahteen autoon</v>
      </c>
      <c r="C8" s="6">
        <f>IF(Reittivaihtoehdot!A8="","",Reittivaihtoehdot!C8)</f>
        <v>410</v>
      </c>
      <c r="D8" s="6">
        <f>IF(Reittivaihtoehdot!A8="","",Reittivaihtoehdot!D8)</f>
        <v>5.5</v>
      </c>
      <c r="E8" s="7">
        <f>IF(Reittivaihtoehdot!A8="","",IF(Reittivaihtoehdot!H8=0,0,Reittivaihtoehdot!G8/Reittivaihtoehdot!H8))</f>
        <v>0.27272727272727271</v>
      </c>
      <c r="F8" s="7">
        <f>IF(Reittivaihtoehdot!A8="","",Reittivaihtoehdot!I8)</f>
        <v>0.1</v>
      </c>
      <c r="G8" s="6">
        <f>IF(Reittivaihtoehdot!A8="","",Reittivaihtoehdot!J8)</f>
        <v>2</v>
      </c>
      <c r="H8" s="9">
        <f>IF(A8="","",MAX(0,MIN(100,100*(1-(C8-Painotukset!D5)/(Painotukset!E5-Painotukset!D5)))))</f>
        <v>64.444444444444443</v>
      </c>
      <c r="I8" s="9">
        <f>IF(A8="","",MAX(0,MIN(100,100*(1-(D8-Painotukset!D6)/(Painotukset!E6-Painotukset!D6)))))</f>
        <v>58.333333333333329</v>
      </c>
      <c r="J8" s="9">
        <f>IF(A8="","",MAX(0,MIN(100,IF(E8&lt;=Painotukset!E7,100*(E8/Painotukset!E7),100*(1-(E8-Painotukset!E7)/(1-Painotukset!E7))))))</f>
        <v>28.708133971291865</v>
      </c>
      <c r="K8" s="9">
        <f>IF(A8="","",MAX(0,MIN(100,100*((F8-Painotukset!D8)/(Painotukset!E8-Painotukset!D8)))))</f>
        <v>0</v>
      </c>
      <c r="L8" s="9">
        <f>IF(A8="","",MAX(0,MIN(100,100*(1-(G8-Painotukset!D9)/(Painotukset!E9-Painotukset!D9)))))</f>
        <v>75</v>
      </c>
      <c r="M8" s="9">
        <f>IF(A8="","",H8*Painotukset!B5+I8*Painotukset!B6+J8*Painotukset!B7+K8*Painotukset!B8+L8*Painotukset!B9)</f>
        <v>45.677033492822964</v>
      </c>
      <c r="N8" s="6" t="str">
        <f t="shared" si="0"/>
        <v/>
      </c>
    </row>
    <row r="9" spans="1:14">
      <c r="A9" s="6" t="str">
        <f>IF(Reittivaihtoehdot!A9="","",Reittivaihtoehdot!A9)</f>
        <v>R5</v>
      </c>
      <c r="B9" s="6" t="str">
        <f>IF(Reittivaihtoehdot!A9="","",Reittivaihtoehdot!B9)</f>
        <v>Vantaa → Turku → Tampere → Pori</v>
      </c>
      <c r="C9" s="6">
        <f>IF(Reittivaihtoehdot!A9="","",Reittivaihtoehdot!C9)</f>
        <v>455</v>
      </c>
      <c r="D9" s="6">
        <f>IF(Reittivaihtoehdot!A9="","",Reittivaihtoehdot!D9)</f>
        <v>6.1</v>
      </c>
      <c r="E9" s="7">
        <f>IF(Reittivaihtoehdot!A9="","",IF(Reittivaihtoehdot!H9=0,0,Reittivaihtoehdot!G9/Reittivaihtoehdot!H9))</f>
        <v>0.72727272727272729</v>
      </c>
      <c r="F9" s="7">
        <f>IF(Reittivaihtoehdot!A9="","",Reittivaihtoehdot!I9)</f>
        <v>0.17</v>
      </c>
      <c r="G9" s="6">
        <f>IF(Reittivaihtoehdot!A9="","",Reittivaihtoehdot!J9)</f>
        <v>4</v>
      </c>
      <c r="H9" s="9">
        <f>IF(A9="","",MAX(0,MIN(100,100*(1-(C9-Painotukset!D5)/(Painotukset!E5-Painotukset!D5)))))</f>
        <v>54.44444444444445</v>
      </c>
      <c r="I9" s="9">
        <f>IF(A9="","",MAX(0,MIN(100,100*(1-(D9-Painotukset!D6)/(Painotukset!E6-Painotukset!D6)))))</f>
        <v>48.333333333333343</v>
      </c>
      <c r="J9" s="9">
        <f>IF(A9="","",MAX(0,MIN(100,IF(E9&lt;=Painotukset!E7,100*(E9/Painotukset!E7),100*(1-(E9-Painotukset!E7)/(1-Painotukset!E7))))))</f>
        <v>76.555023923444992</v>
      </c>
      <c r="K9" s="9">
        <f>IF(A9="","",MAX(0,MIN(100,100*((F9-Painotukset!D8)/(Painotukset!E8-Painotukset!D8)))))</f>
        <v>58.333333333333336</v>
      </c>
      <c r="L9" s="9">
        <f>IF(A9="","",MAX(0,MIN(100,100*(1-(G9-Painotukset!D9)/(Painotukset!E9-Painotukset!D9)))))</f>
        <v>50</v>
      </c>
      <c r="M9" s="9">
        <f>IF(A9="","",H9*Painotukset!B5+I9*Painotukset!B6+J9*Painotukset!B7+K9*Painotukset!B8+L9*Painotukset!B9)</f>
        <v>58.888755980861255</v>
      </c>
      <c r="N9" s="6" t="str">
        <f t="shared" si="0"/>
        <v/>
      </c>
    </row>
    <row r="10" spans="1:14">
      <c r="A10" s="6" t="str">
        <f>IF(Reittivaihtoehdot!A10="","",Reittivaihtoehdot!A10)</f>
        <v/>
      </c>
      <c r="B10" s="6" t="str">
        <f>IF(Reittivaihtoehdot!A10="","",Reittivaihtoehdot!B10)</f>
        <v/>
      </c>
      <c r="C10" s="6" t="str">
        <f>IF(Reittivaihtoehdot!A10="","",Reittivaihtoehdot!C10)</f>
        <v/>
      </c>
      <c r="D10" s="6" t="str">
        <f>IF(Reittivaihtoehdot!A10="","",Reittivaihtoehdot!D10)</f>
        <v/>
      </c>
      <c r="E10" s="7" t="str">
        <f>IF(Reittivaihtoehdot!A10="","",IF(Reittivaihtoehdot!H10=0,0,Reittivaihtoehdot!G10/Reittivaihtoehdot!H10))</f>
        <v/>
      </c>
      <c r="F10" s="7" t="str">
        <f>IF(Reittivaihtoehdot!A10="","",Reittivaihtoehdot!I10)</f>
        <v/>
      </c>
      <c r="G10" s="6" t="str">
        <f>IF(Reittivaihtoehdot!A10="","",Reittivaihtoehdot!J10)</f>
        <v/>
      </c>
      <c r="H10" s="9" t="str">
        <f>IF(A10="","",MAX(0,MIN(100,100*(1-(C10-Painotukset!D5)/(Painotukset!E5-Painotukset!D5)))))</f>
        <v/>
      </c>
      <c r="I10" s="9" t="str">
        <f>IF(A10="","",MAX(0,MIN(100,100*(1-(D10-Painotukset!D6)/(Painotukset!E6-Painotukset!D6)))))</f>
        <v/>
      </c>
      <c r="J10" s="9" t="str">
        <f>IF(A10="","",MAX(0,MIN(100,IF(E10&lt;=Painotukset!E7,100*(E10/Painotukset!E7),100*(1-(E10-Painotukset!E7)/(1-Painotukset!E7))))))</f>
        <v/>
      </c>
      <c r="K10" s="9" t="str">
        <f>IF(A10="","",MAX(0,MIN(100,100*((F10-Painotukset!D8)/(Painotukset!E8-Painotukset!D8)))))</f>
        <v/>
      </c>
      <c r="L10" s="9" t="str">
        <f>IF(A10="","",MAX(0,MIN(100,100*(1-(G10-Painotukset!D9)/(Painotukset!E9-Painotukset!D9)))))</f>
        <v/>
      </c>
      <c r="M10" s="9" t="str">
        <f>IF(A10="","",H10*Painotukset!B5+I10*Painotukset!B6+J10*Painotukset!B7+K10*Painotukset!B8+L10*Painotukset!B9)</f>
        <v/>
      </c>
      <c r="N10" s="6" t="str">
        <f t="shared" si="0"/>
        <v/>
      </c>
    </row>
    <row r="11" spans="1:14">
      <c r="A11" s="6" t="str">
        <f>IF(Reittivaihtoehdot!A11="","",Reittivaihtoehdot!A11)</f>
        <v/>
      </c>
      <c r="B11" s="6" t="str">
        <f>IF(Reittivaihtoehdot!A11="","",Reittivaihtoehdot!B11)</f>
        <v/>
      </c>
      <c r="C11" s="6" t="str">
        <f>IF(Reittivaihtoehdot!A11="","",Reittivaihtoehdot!C11)</f>
        <v/>
      </c>
      <c r="D11" s="6" t="str">
        <f>IF(Reittivaihtoehdot!A11="","",Reittivaihtoehdot!D11)</f>
        <v/>
      </c>
      <c r="E11" s="7" t="str">
        <f>IF(Reittivaihtoehdot!A11="","",IF(Reittivaihtoehdot!H11=0,0,Reittivaihtoehdot!G11/Reittivaihtoehdot!H11))</f>
        <v/>
      </c>
      <c r="F11" s="7" t="str">
        <f>IF(Reittivaihtoehdot!A11="","",Reittivaihtoehdot!I11)</f>
        <v/>
      </c>
      <c r="G11" s="6" t="str">
        <f>IF(Reittivaihtoehdot!A11="","",Reittivaihtoehdot!J11)</f>
        <v/>
      </c>
      <c r="H11" s="9" t="str">
        <f>IF(A11="","",MAX(0,MIN(100,100*(1-(C11-Painotukset!D5)/(Painotukset!E5-Painotukset!D5)))))</f>
        <v/>
      </c>
      <c r="I11" s="9" t="str">
        <f>IF(A11="","",MAX(0,MIN(100,100*(1-(D11-Painotukset!D6)/(Painotukset!E6-Painotukset!D6)))))</f>
        <v/>
      </c>
      <c r="J11" s="9" t="str">
        <f>IF(A11="","",MAX(0,MIN(100,IF(E11&lt;=Painotukset!E7,100*(E11/Painotukset!E7),100*(1-(E11-Painotukset!E7)/(1-Painotukset!E7))))))</f>
        <v/>
      </c>
      <c r="K11" s="9" t="str">
        <f>IF(A11="","",MAX(0,MIN(100,100*((F11-Painotukset!D8)/(Painotukset!E8-Painotukset!D8)))))</f>
        <v/>
      </c>
      <c r="L11" s="9" t="str">
        <f>IF(A11="","",MAX(0,MIN(100,100*(1-(G11-Painotukset!D9)/(Painotukset!E9-Painotukset!D9)))))</f>
        <v/>
      </c>
      <c r="M11" s="9" t="str">
        <f>IF(A11="","",H11*Painotukset!B5+I11*Painotukset!B6+J11*Painotukset!B7+K11*Painotukset!B8+L11*Painotukset!B9)</f>
        <v/>
      </c>
      <c r="N11" s="6" t="str">
        <f t="shared" si="0"/>
        <v/>
      </c>
    </row>
    <row r="12" spans="1:14">
      <c r="A12" s="6" t="str">
        <f>IF(Reittivaihtoehdot!A12="","",Reittivaihtoehdot!A12)</f>
        <v/>
      </c>
      <c r="B12" s="6" t="str">
        <f>IF(Reittivaihtoehdot!A12="","",Reittivaihtoehdot!B12)</f>
        <v/>
      </c>
      <c r="C12" s="6" t="str">
        <f>IF(Reittivaihtoehdot!A12="","",Reittivaihtoehdot!C12)</f>
        <v/>
      </c>
      <c r="D12" s="6" t="str">
        <f>IF(Reittivaihtoehdot!A12="","",Reittivaihtoehdot!D12)</f>
        <v/>
      </c>
      <c r="E12" s="7" t="str">
        <f>IF(Reittivaihtoehdot!A12="","",IF(Reittivaihtoehdot!H12=0,0,Reittivaihtoehdot!G12/Reittivaihtoehdot!H12))</f>
        <v/>
      </c>
      <c r="F12" s="7" t="str">
        <f>IF(Reittivaihtoehdot!A12="","",Reittivaihtoehdot!I12)</f>
        <v/>
      </c>
      <c r="G12" s="6" t="str">
        <f>IF(Reittivaihtoehdot!A12="","",Reittivaihtoehdot!J12)</f>
        <v/>
      </c>
      <c r="H12" s="9" t="str">
        <f>IF(A12="","",MAX(0,MIN(100,100*(1-(C12-Painotukset!D5)/(Painotukset!E5-Painotukset!D5)))))</f>
        <v/>
      </c>
      <c r="I12" s="9" t="str">
        <f>IF(A12="","",MAX(0,MIN(100,100*(1-(D12-Painotukset!D6)/(Painotukset!E6-Painotukset!D6)))))</f>
        <v/>
      </c>
      <c r="J12" s="9" t="str">
        <f>IF(A12="","",MAX(0,MIN(100,IF(E12&lt;=Painotukset!E7,100*(E12/Painotukset!E7),100*(1-(E12-Painotukset!E7)/(1-Painotukset!E7))))))</f>
        <v/>
      </c>
      <c r="K12" s="9" t="str">
        <f>IF(A12="","",MAX(0,MIN(100,100*((F12-Painotukset!D8)/(Painotukset!E8-Painotukset!D8)))))</f>
        <v/>
      </c>
      <c r="L12" s="9" t="str">
        <f>IF(A12="","",MAX(0,MIN(100,100*(1-(G12-Painotukset!D9)/(Painotukset!E9-Painotukset!D9)))))</f>
        <v/>
      </c>
      <c r="M12" s="9" t="str">
        <f>IF(A12="","",H12*Painotukset!B5+I12*Painotukset!B6+J12*Painotukset!B7+K12*Painotukset!B8+L12*Painotukset!B9)</f>
        <v/>
      </c>
      <c r="N12" s="6" t="str">
        <f t="shared" si="0"/>
        <v/>
      </c>
    </row>
    <row r="13" spans="1:14">
      <c r="A13" s="6" t="str">
        <f>IF(Reittivaihtoehdot!A13="","",Reittivaihtoehdot!A13)</f>
        <v/>
      </c>
      <c r="B13" s="6" t="str">
        <f>IF(Reittivaihtoehdot!A13="","",Reittivaihtoehdot!B13)</f>
        <v/>
      </c>
      <c r="C13" s="6" t="str">
        <f>IF(Reittivaihtoehdot!A13="","",Reittivaihtoehdot!C13)</f>
        <v/>
      </c>
      <c r="D13" s="6" t="str">
        <f>IF(Reittivaihtoehdot!A13="","",Reittivaihtoehdot!D13)</f>
        <v/>
      </c>
      <c r="E13" s="7" t="str">
        <f>IF(Reittivaihtoehdot!A13="","",IF(Reittivaihtoehdot!H13=0,0,Reittivaihtoehdot!G13/Reittivaihtoehdot!H13))</f>
        <v/>
      </c>
      <c r="F13" s="7" t="str">
        <f>IF(Reittivaihtoehdot!A13="","",Reittivaihtoehdot!I13)</f>
        <v/>
      </c>
      <c r="G13" s="6" t="str">
        <f>IF(Reittivaihtoehdot!A13="","",Reittivaihtoehdot!J13)</f>
        <v/>
      </c>
      <c r="H13" s="9" t="str">
        <f>IF(A13="","",MAX(0,MIN(100,100*(1-(C13-Painotukset!D5)/(Painotukset!E5-Painotukset!D5)))))</f>
        <v/>
      </c>
      <c r="I13" s="9" t="str">
        <f>IF(A13="","",MAX(0,MIN(100,100*(1-(D13-Painotukset!D6)/(Painotukset!E6-Painotukset!D6)))))</f>
        <v/>
      </c>
      <c r="J13" s="9" t="str">
        <f>IF(A13="","",MAX(0,MIN(100,IF(E13&lt;=Painotukset!E7,100*(E13/Painotukset!E7),100*(1-(E13-Painotukset!E7)/(1-Painotukset!E7))))))</f>
        <v/>
      </c>
      <c r="K13" s="9" t="str">
        <f>IF(A13="","",MAX(0,MIN(100,100*((F13-Painotukset!D8)/(Painotukset!E8-Painotukset!D8)))))</f>
        <v/>
      </c>
      <c r="L13" s="9" t="str">
        <f>IF(A13="","",MAX(0,MIN(100,100*(1-(G13-Painotukset!D9)/(Painotukset!E9-Painotukset!D9)))))</f>
        <v/>
      </c>
      <c r="M13" s="9" t="str">
        <f>IF(A13="","",H13*Painotukset!B5+I13*Painotukset!B6+J13*Painotukset!B7+K13*Painotukset!B8+L13*Painotukset!B9)</f>
        <v/>
      </c>
      <c r="N13" s="6" t="str">
        <f t="shared" si="0"/>
        <v/>
      </c>
    </row>
    <row r="14" spans="1:14">
      <c r="A14" s="6" t="str">
        <f>IF(Reittivaihtoehdot!A14="","",Reittivaihtoehdot!A14)</f>
        <v/>
      </c>
      <c r="B14" s="6" t="str">
        <f>IF(Reittivaihtoehdot!A14="","",Reittivaihtoehdot!B14)</f>
        <v/>
      </c>
      <c r="C14" s="6" t="str">
        <f>IF(Reittivaihtoehdot!A14="","",Reittivaihtoehdot!C14)</f>
        <v/>
      </c>
      <c r="D14" s="6" t="str">
        <f>IF(Reittivaihtoehdot!A14="","",Reittivaihtoehdot!D14)</f>
        <v/>
      </c>
      <c r="E14" s="7" t="str">
        <f>IF(Reittivaihtoehdot!A14="","",IF(Reittivaihtoehdot!H14=0,0,Reittivaihtoehdot!G14/Reittivaihtoehdot!H14))</f>
        <v/>
      </c>
      <c r="F14" s="7" t="str">
        <f>IF(Reittivaihtoehdot!A14="","",Reittivaihtoehdot!I14)</f>
        <v/>
      </c>
      <c r="G14" s="6" t="str">
        <f>IF(Reittivaihtoehdot!A14="","",Reittivaihtoehdot!J14)</f>
        <v/>
      </c>
      <c r="H14" s="9" t="str">
        <f>IF(A14="","",MAX(0,MIN(100,100*(1-(C14-Painotukset!D5)/(Painotukset!E5-Painotukset!D5)))))</f>
        <v/>
      </c>
      <c r="I14" s="9" t="str">
        <f>IF(A14="","",MAX(0,MIN(100,100*(1-(D14-Painotukset!D6)/(Painotukset!E6-Painotukset!D6)))))</f>
        <v/>
      </c>
      <c r="J14" s="9" t="str">
        <f>IF(A14="","",MAX(0,MIN(100,IF(E14&lt;=Painotukset!E7,100*(E14/Painotukset!E7),100*(1-(E14-Painotukset!E7)/(1-Painotukset!E7))))))</f>
        <v/>
      </c>
      <c r="K14" s="9" t="str">
        <f>IF(A14="","",MAX(0,MIN(100,100*((F14-Painotukset!D8)/(Painotukset!E8-Painotukset!D8)))))</f>
        <v/>
      </c>
      <c r="L14" s="9" t="str">
        <f>IF(A14="","",MAX(0,MIN(100,100*(1-(G14-Painotukset!D9)/(Painotukset!E9-Painotukset!D9)))))</f>
        <v/>
      </c>
      <c r="M14" s="9" t="str">
        <f>IF(A14="","",H14*Painotukset!B5+I14*Painotukset!B6+J14*Painotukset!B7+K14*Painotukset!B8+L14*Painotukset!B9)</f>
        <v/>
      </c>
      <c r="N14" s="6" t="str">
        <f t="shared" si="0"/>
        <v/>
      </c>
    </row>
    <row r="17" spans="1:10">
      <c r="A17" s="10" t="s">
        <v>87</v>
      </c>
    </row>
    <row r="18" spans="1:10" ht="27.6">
      <c r="A18" s="3" t="s">
        <v>34</v>
      </c>
      <c r="B18" s="3" t="s">
        <v>88</v>
      </c>
      <c r="C18" s="3" t="s">
        <v>35</v>
      </c>
      <c r="D18" s="3" t="s">
        <v>89</v>
      </c>
      <c r="E18" s="3" t="s">
        <v>82</v>
      </c>
      <c r="F18" s="3" t="s">
        <v>40</v>
      </c>
      <c r="G18" s="3" t="s">
        <v>90</v>
      </c>
      <c r="H18" s="3" t="s">
        <v>86</v>
      </c>
      <c r="I18" s="3" t="s">
        <v>91</v>
      </c>
      <c r="J18" s="3" t="s">
        <v>92</v>
      </c>
    </row>
    <row r="19" spans="1:10" ht="27.6">
      <c r="A19" s="6" t="str">
        <f>INDEX(B5:B14,MATCH(MAX(M5:M14),M5:M14,0))</f>
        <v>Vantaa → Tampere → Pori</v>
      </c>
      <c r="B19" s="6">
        <f>MAX(M5:M14)</f>
        <v>76.187400318979257</v>
      </c>
      <c r="C19" s="6">
        <f>INDEX(C5:C14,MATCH(MAX(M5:M14),M5:M14,0))</f>
        <v>290</v>
      </c>
      <c r="D19" s="6">
        <f>INDEX(D5:D14,MATCH(MAX(M5:M14),M5:M14,0))</f>
        <v>3.9</v>
      </c>
      <c r="E19" s="7">
        <f>INDEX(E5:E14,MATCH(MAX(M5:M14),M5:M14,0))</f>
        <v>0.54545454545454541</v>
      </c>
      <c r="F19" s="7">
        <f>INDEX(F5:F14,MATCH(MAX(M5:M14),M5:M14,0))</f>
        <v>0.18</v>
      </c>
      <c r="G19" s="6" t="str">
        <f>IF(INDEX(G5:G14,MATCH(MAX(M5:M14),M5:M14,0))&gt;=5,"Korkea",IF(INDEX(G5:G14,MATCH(MAX(M5:M14),M5:M14,0))&gt;=3,"Keskitaso","Matala"))</f>
        <v>Matala</v>
      </c>
      <c r="H19" s="6" t="str">
        <f>IF(B19&gt;=75,"Aja tällä vaihtoehdolla",IF(B19&gt;=60,"Tarkista manuaalisesti","Ei suositella"))</f>
        <v>Aja tällä vaihtoehdolla</v>
      </c>
      <c r="I19" s="6" t="e">
        <f ca="1">_xludf.TEXTJOIN(", ",TRUE,IF(D19&lt;=4.5,"ei taukopakkoa","tauko huomioitava"),IF(E19&gt;=0.85,"hyvä täyttöaste","täyttöaste tarkistettava"),IF(F19&gt;=0.15,"kate ok","kate matala"))</f>
        <v>#NAME?</v>
      </c>
      <c r="J19" s="6" t="s">
        <v>93</v>
      </c>
    </row>
  </sheetData>
  <mergeCells count="1">
    <mergeCell ref="A1:B1"/>
  </mergeCells>
  <conditionalFormatting sqref="M5:M14">
    <cfRule type="colorScale" priority="1">
      <colorScale>
        <cfvo type="min"/>
        <cfvo type="percentile" val="50"/>
        <cfvo type="max"/>
        <color rgb="FFF4CCCC"/>
        <color rgb="FFFFF2CC"/>
        <color rgb="FFE2F0D9"/>
      </colorScale>
    </cfRule>
  </conditionalFormatting>
  <conditionalFormatting sqref="N5:N14">
    <cfRule type="expression" dxfId="9" priority="2">
      <formula>N5="SUOSITUS"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3"/>
  <sheetViews>
    <sheetView zoomScale="70" zoomScaleNormal="70" workbookViewId="0"/>
  </sheetViews>
  <sheetFormatPr defaultRowHeight="13.8"/>
  <cols>
    <col min="1" max="1" width="27.09765625" customWidth="1"/>
    <col min="2" max="2" width="20" customWidth="1"/>
    <col min="3" max="3" width="18" customWidth="1"/>
    <col min="4" max="7" width="14" customWidth="1"/>
    <col min="8" max="8" width="12" customWidth="1"/>
    <col min="9" max="9" width="16" customWidth="1"/>
    <col min="10" max="12" width="18" customWidth="1"/>
    <col min="13" max="13" width="28" customWidth="1"/>
  </cols>
  <sheetData>
    <row r="1" spans="1:14" ht="37.049999999999997" customHeight="1">
      <c r="A1" s="1" t="s">
        <v>94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4" ht="26.4">
      <c r="A2" s="2" t="s">
        <v>95</v>
      </c>
    </row>
    <row r="4" spans="1:14" ht="27.6">
      <c r="A4" s="3" t="s">
        <v>2</v>
      </c>
      <c r="B4" s="3" t="s">
        <v>96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97</v>
      </c>
      <c r="J4" s="3" t="s">
        <v>98</v>
      </c>
      <c r="K4" s="3" t="s">
        <v>99</v>
      </c>
      <c r="L4" s="3" t="s">
        <v>100</v>
      </c>
      <c r="M4" s="3" t="s">
        <v>12</v>
      </c>
    </row>
    <row r="5" spans="1:14">
      <c r="A5" s="6" t="str">
        <f>IF(Lähetykset!A5="","",Lähetykset!A5)</f>
        <v>A</v>
      </c>
      <c r="B5" s="6" t="str">
        <f>IF(A5="","",IF(ISNUMBER(SEARCH(A5,INDEX(Reittivaihtoehdot!K:K,MATCH(INDEX(Optimointi!A5:A14,MATCH(MAX(Optimointi!M5:M14),Optimointi!M5:M14,0)),Reittivaihtoehdot!A:A,0)))),"Kyllä","Ei"))</f>
        <v>Kyllä</v>
      </c>
      <c r="C5" s="6" t="str">
        <f>IF(A5="","",Lähetykset!C5)</f>
        <v>Tampere</v>
      </c>
      <c r="D5" s="6">
        <f>IF(A5="","",Lähetykset!D5)</f>
        <v>8</v>
      </c>
      <c r="E5" s="6">
        <f>IF(A5="","",Lähetykset!E5)</f>
        <v>2500</v>
      </c>
      <c r="F5" s="6">
        <f>IF(OR(A5="",Lähetykset!F5=""),"",Lähetykset!F5)</f>
        <v>2</v>
      </c>
      <c r="G5" s="6">
        <f>IF(OR(A5="",Lähetykset!G5=""),"",Lähetykset!G5)</f>
        <v>6</v>
      </c>
      <c r="H5" s="6" t="str">
        <f>IF(A5="","",Lähetykset!H5)</f>
        <v>Ei</v>
      </c>
      <c r="I5" s="6">
        <f>IF(A5="","",COUNTIF($B$5:B5,"Kyllä"))</f>
        <v>1</v>
      </c>
      <c r="J5" s="6" t="str">
        <f t="shared" ref="J5:J14" si="0">IF(B5&lt;&gt;"Kyllä","",IF(I5=1,"Perä",IF(I5=2,"Keskiosa","Keula")))</f>
        <v>Perä</v>
      </c>
      <c r="K5" s="6" t="str">
        <f t="shared" ref="K5:K14" si="1">IF(B5&lt;&gt;"Kyllä","",IF(SUMIF($B$5:$B$14,"Kyllä",$D$5:$D$14)&gt;33,"Ei mahdu",IF(SUMIF($B$5:$B$14,"Kyllä",$E$5:$E$14)&gt;24000,"Paino yli","OK")))</f>
        <v>OK</v>
      </c>
      <c r="L5" s="6" t="str">
        <f t="shared" ref="L5:L14" si="2">IF(B5&lt;&gt;"Kyllä","",IF(H5="Kyllä","ADR",IF(AND(F5&lt;&gt;"",G5&lt;&gt;""),"Thermo","Normaali")))</f>
        <v>Thermo</v>
      </c>
      <c r="M5" s="6" t="str">
        <f t="shared" ref="M5:M14" si="3">IF(B5&lt;&gt;"Kyllä","",IF(K5&lt;&gt;"OK","Tarkista kapasiteetti",IF(L5="ADR","ADR-lisä",IF(L5="Thermo","Thermolisä",""))))</f>
        <v>Thermolisä</v>
      </c>
    </row>
    <row r="6" spans="1:14">
      <c r="A6" s="6" t="str">
        <f>IF(Lähetykset!A6="","",Lähetykset!A6)</f>
        <v>B</v>
      </c>
      <c r="B6" s="6" t="str">
        <f>IF(A6="","",IF(ISNUMBER(SEARCH(A6,INDEX(Reittivaihtoehdot!K:K,MATCH(INDEX(Optimointi!A5:A14,MATCH(MAX(Optimointi!M5:M14),Optimointi!M5:M14,0)),Reittivaihtoehdot!A:A,0)))),"Kyllä","Ei"))</f>
        <v>Kyllä</v>
      </c>
      <c r="C6" s="6" t="str">
        <f>IF(A6="","",Lähetykset!C6)</f>
        <v>Pori</v>
      </c>
      <c r="D6" s="6">
        <f>IF(A6="","",Lähetykset!D6)</f>
        <v>10</v>
      </c>
      <c r="E6" s="6">
        <f>IF(A6="","",Lähetykset!E6)</f>
        <v>3200</v>
      </c>
      <c r="F6" s="6">
        <f>IF(OR(A6="",Lähetykset!F6=""),"",Lähetykset!F6)</f>
        <v>2</v>
      </c>
      <c r="G6" s="6">
        <f>IF(OR(A6="",Lähetykset!G6=""),"",Lähetykset!G6)</f>
        <v>6</v>
      </c>
      <c r="H6" s="6" t="str">
        <f>IF(A6="","",Lähetykset!H6)</f>
        <v>Ei</v>
      </c>
      <c r="I6" s="6">
        <f>IF(A6="","",COUNTIF($B$5:B6,"Kyllä"))</f>
        <v>2</v>
      </c>
      <c r="J6" s="6" t="str">
        <f t="shared" si="0"/>
        <v>Keskiosa</v>
      </c>
      <c r="K6" s="6" t="str">
        <f t="shared" si="1"/>
        <v>OK</v>
      </c>
      <c r="L6" s="6" t="str">
        <f t="shared" si="2"/>
        <v>Thermo</v>
      </c>
      <c r="M6" s="6" t="str">
        <f t="shared" si="3"/>
        <v>Thermolisä</v>
      </c>
    </row>
    <row r="7" spans="1:14">
      <c r="A7" s="6" t="str">
        <f>IF(Lähetykset!A7="","",Lähetykset!A7)</f>
        <v>C</v>
      </c>
      <c r="B7" s="6" t="str">
        <f>IF(A7="","",IF(ISNUMBER(SEARCH(A7,INDEX(Reittivaihtoehdot!K:K,MATCH(INDEX(Optimointi!A5:A14,MATCH(MAX(Optimointi!M5:M14),Optimointi!M5:M14,0)),Reittivaihtoehdot!A:A,0)))),"Kyllä","Ei"))</f>
        <v>Ei</v>
      </c>
      <c r="C7" s="6" t="str">
        <f>IF(A7="","",Lähetykset!C7)</f>
        <v>Oulu</v>
      </c>
      <c r="D7" s="6">
        <f>IF(A7="","",Lähetykset!D7)</f>
        <v>12</v>
      </c>
      <c r="E7" s="6">
        <f>IF(A7="","",Lähetykset!E7)</f>
        <v>5000</v>
      </c>
      <c r="F7" s="6" t="str">
        <f>IF(OR(A7="",Lähetykset!F7=""),"",Lähetykset!F7)</f>
        <v/>
      </c>
      <c r="G7" s="6" t="str">
        <f>IF(OR(A7="",Lähetykset!G7=""),"",Lähetykset!G7)</f>
        <v/>
      </c>
      <c r="H7" s="6" t="str">
        <f>IF(A7="","",Lähetykset!H7)</f>
        <v>Ei</v>
      </c>
      <c r="I7" s="6">
        <f>IF(A7="","",COUNTIF($B$5:B7,"Kyllä"))</f>
        <v>2</v>
      </c>
      <c r="J7" s="6" t="str">
        <f t="shared" si="0"/>
        <v/>
      </c>
      <c r="K7" s="6" t="str">
        <f t="shared" si="1"/>
        <v/>
      </c>
      <c r="L7" s="6" t="str">
        <f t="shared" si="2"/>
        <v/>
      </c>
      <c r="M7" s="6" t="str">
        <f t="shared" si="3"/>
        <v/>
      </c>
    </row>
    <row r="8" spans="1:14">
      <c r="A8" s="6" t="str">
        <f>IF(Lähetykset!A8="","",Lähetykset!A8)</f>
        <v>D</v>
      </c>
      <c r="B8" s="6" t="str">
        <f>IF(A8="","",IF(ISNUMBER(SEARCH(A8,INDEX(Reittivaihtoehdot!K:K,MATCH(INDEX(Optimointi!A5:A14,MATCH(MAX(Optimointi!M5:M14),Optimointi!M5:M14,0)),Reittivaihtoehdot!A:A,0)))),"Kyllä","Ei"))</f>
        <v>Ei</v>
      </c>
      <c r="C8" s="6" t="str">
        <f>IF(A8="","",Lähetykset!C8)</f>
        <v>Turku</v>
      </c>
      <c r="D8" s="6">
        <f>IF(A8="","",Lähetykset!D8)</f>
        <v>6</v>
      </c>
      <c r="E8" s="6">
        <f>IF(A8="","",Lähetykset!E8)</f>
        <v>1800</v>
      </c>
      <c r="F8" s="6" t="str">
        <f>IF(OR(A8="",Lähetykset!F8=""),"",Lähetykset!F8)</f>
        <v/>
      </c>
      <c r="G8" s="6" t="str">
        <f>IF(OR(A8="",Lähetykset!G8=""),"",Lähetykset!G8)</f>
        <v/>
      </c>
      <c r="H8" s="6" t="str">
        <f>IF(A8="","",Lähetykset!H8)</f>
        <v>Kyllä</v>
      </c>
      <c r="I8" s="6">
        <f>IF(A8="","",COUNTIF($B$5:B8,"Kyllä"))</f>
        <v>2</v>
      </c>
      <c r="J8" s="6" t="str">
        <f t="shared" si="0"/>
        <v/>
      </c>
      <c r="K8" s="6" t="str">
        <f t="shared" si="1"/>
        <v/>
      </c>
      <c r="L8" s="6" t="str">
        <f t="shared" si="2"/>
        <v/>
      </c>
      <c r="M8" s="6" t="str">
        <f t="shared" si="3"/>
        <v/>
      </c>
    </row>
    <row r="9" spans="1:14">
      <c r="A9" s="6" t="str">
        <f>IF(Lähetykset!A9="","",Lähetykset!A9)</f>
        <v/>
      </c>
      <c r="B9" s="6" t="str">
        <f>IF(A9="","",IF(ISNUMBER(SEARCH(A9,INDEX(Reittivaihtoehdot!K:K,MATCH(INDEX(Optimointi!A5:A14,MATCH(MAX(Optimointi!M5:M14),Optimointi!M5:M14,0)),Reittivaihtoehdot!A:A,0)))),"Kyllä","Ei"))</f>
        <v/>
      </c>
      <c r="C9" s="6" t="str">
        <f>IF(A9="","",Lähetykset!C9)</f>
        <v/>
      </c>
      <c r="D9" s="6" t="str">
        <f>IF(A9="","",Lähetykset!D9)</f>
        <v/>
      </c>
      <c r="E9" s="6" t="str">
        <f>IF(A9="","",Lähetykset!E9)</f>
        <v/>
      </c>
      <c r="F9" s="6" t="str">
        <f>IF(OR(A9="",Lähetykset!F9=""),"",Lähetykset!F9)</f>
        <v/>
      </c>
      <c r="G9" s="6" t="str">
        <f>IF(OR(A9="",Lähetykset!G9=""),"",Lähetykset!G9)</f>
        <v/>
      </c>
      <c r="H9" s="6" t="str">
        <f>IF(A9="","",Lähetykset!H9)</f>
        <v/>
      </c>
      <c r="I9" s="6" t="str">
        <f>IF(A9="","",COUNTIF($B$5:B9,"Kyllä"))</f>
        <v/>
      </c>
      <c r="J9" s="6" t="str">
        <f t="shared" si="0"/>
        <v/>
      </c>
      <c r="K9" s="6" t="str">
        <f t="shared" si="1"/>
        <v/>
      </c>
      <c r="L9" s="6" t="str">
        <f t="shared" si="2"/>
        <v/>
      </c>
      <c r="M9" s="6" t="str">
        <f t="shared" si="3"/>
        <v/>
      </c>
    </row>
    <row r="10" spans="1:14">
      <c r="A10" s="6" t="str">
        <f>IF(Lähetykset!A10="","",Lähetykset!A10)</f>
        <v/>
      </c>
      <c r="B10" s="6" t="str">
        <f>IF(A10="","",IF(ISNUMBER(SEARCH(A10,INDEX(Reittivaihtoehdot!K:K,MATCH(INDEX(Optimointi!A5:A14,MATCH(MAX(Optimointi!M5:M14),Optimointi!M5:M14,0)),Reittivaihtoehdot!A:A,0)))),"Kyllä","Ei"))</f>
        <v/>
      </c>
      <c r="C10" s="6" t="str">
        <f>IF(A10="","",Lähetykset!C10)</f>
        <v/>
      </c>
      <c r="D10" s="6" t="str">
        <f>IF(A10="","",Lähetykset!D10)</f>
        <v/>
      </c>
      <c r="E10" s="6" t="str">
        <f>IF(A10="","",Lähetykset!E10)</f>
        <v/>
      </c>
      <c r="F10" s="6" t="str">
        <f>IF(OR(A10="",Lähetykset!F10=""),"",Lähetykset!F10)</f>
        <v/>
      </c>
      <c r="G10" s="6" t="str">
        <f>IF(OR(A10="",Lähetykset!G10=""),"",Lähetykset!G10)</f>
        <v/>
      </c>
      <c r="H10" s="6" t="str">
        <f>IF(A10="","",Lähetykset!H10)</f>
        <v/>
      </c>
      <c r="I10" s="6" t="str">
        <f>IF(A10="","",COUNTIF($B$5:B10,"Kyllä"))</f>
        <v/>
      </c>
      <c r="J10" s="6" t="str">
        <f t="shared" si="0"/>
        <v/>
      </c>
      <c r="K10" s="6" t="str">
        <f t="shared" si="1"/>
        <v/>
      </c>
      <c r="L10" s="6" t="str">
        <f t="shared" si="2"/>
        <v/>
      </c>
      <c r="M10" s="6" t="str">
        <f t="shared" si="3"/>
        <v/>
      </c>
    </row>
    <row r="11" spans="1:14">
      <c r="A11" s="6" t="str">
        <f>IF(Lähetykset!A11="","",Lähetykset!A11)</f>
        <v/>
      </c>
      <c r="B11" s="6" t="str">
        <f>IF(A11="","",IF(ISNUMBER(SEARCH(A11,INDEX(Reittivaihtoehdot!K:K,MATCH(INDEX(Optimointi!A5:A14,MATCH(MAX(Optimointi!M5:M14),Optimointi!M5:M14,0)),Reittivaihtoehdot!A:A,0)))),"Kyllä","Ei"))</f>
        <v/>
      </c>
      <c r="C11" s="6" t="str">
        <f>IF(A11="","",Lähetykset!C11)</f>
        <v/>
      </c>
      <c r="D11" s="6" t="str">
        <f>IF(A11="","",Lähetykset!D11)</f>
        <v/>
      </c>
      <c r="E11" s="6" t="str">
        <f>IF(A11="","",Lähetykset!E11)</f>
        <v/>
      </c>
      <c r="F11" s="6" t="str">
        <f>IF(OR(A11="",Lähetykset!F11=""),"",Lähetykset!F11)</f>
        <v/>
      </c>
      <c r="G11" s="6" t="str">
        <f>IF(OR(A11="",Lähetykset!G11=""),"",Lähetykset!G11)</f>
        <v/>
      </c>
      <c r="H11" s="6" t="str">
        <f>IF(A11="","",Lähetykset!H11)</f>
        <v/>
      </c>
      <c r="I11" s="6" t="str">
        <f>IF(A11="","",COUNTIF($B$5:B11,"Kyllä"))</f>
        <v/>
      </c>
      <c r="J11" s="6" t="str">
        <f t="shared" si="0"/>
        <v/>
      </c>
      <c r="K11" s="6" t="str">
        <f t="shared" si="1"/>
        <v/>
      </c>
      <c r="L11" s="6" t="str">
        <f t="shared" si="2"/>
        <v/>
      </c>
      <c r="M11" s="6" t="str">
        <f t="shared" si="3"/>
        <v/>
      </c>
    </row>
    <row r="12" spans="1:14">
      <c r="A12" s="6" t="str">
        <f>IF(Lähetykset!A12="","",Lähetykset!A12)</f>
        <v/>
      </c>
      <c r="B12" s="6" t="str">
        <f>IF(A12="","",IF(ISNUMBER(SEARCH(A12,INDEX(Reittivaihtoehdot!K:K,MATCH(INDEX(Optimointi!A5:A14,MATCH(MAX(Optimointi!M5:M14),Optimointi!M5:M14,0)),Reittivaihtoehdot!A:A,0)))),"Kyllä","Ei"))</f>
        <v/>
      </c>
      <c r="C12" s="6" t="str">
        <f>IF(A12="","",Lähetykset!C12)</f>
        <v/>
      </c>
      <c r="D12" s="6" t="str">
        <f>IF(A12="","",Lähetykset!D12)</f>
        <v/>
      </c>
      <c r="E12" s="6" t="str">
        <f>IF(A12="","",Lähetykset!E12)</f>
        <v/>
      </c>
      <c r="F12" s="6" t="str">
        <f>IF(OR(A12="",Lähetykset!F12=""),"",Lähetykset!F12)</f>
        <v/>
      </c>
      <c r="G12" s="6" t="str">
        <f>IF(OR(A12="",Lähetykset!G12=""),"",Lähetykset!G12)</f>
        <v/>
      </c>
      <c r="H12" s="6" t="str">
        <f>IF(A12="","",Lähetykset!H12)</f>
        <v/>
      </c>
      <c r="I12" s="6" t="str">
        <f>IF(A12="","",COUNTIF($B$5:B12,"Kyllä"))</f>
        <v/>
      </c>
      <c r="J12" s="6" t="str">
        <f t="shared" si="0"/>
        <v/>
      </c>
      <c r="K12" s="6" t="str">
        <f t="shared" si="1"/>
        <v/>
      </c>
      <c r="L12" s="6" t="str">
        <f t="shared" si="2"/>
        <v/>
      </c>
      <c r="M12" s="6" t="str">
        <f t="shared" si="3"/>
        <v/>
      </c>
    </row>
    <row r="13" spans="1:14">
      <c r="A13" s="6" t="str">
        <f>IF(Lähetykset!A13="","",Lähetykset!A13)</f>
        <v/>
      </c>
      <c r="B13" s="6" t="str">
        <f>IF(A13="","",IF(ISNUMBER(SEARCH(A13,INDEX(Reittivaihtoehdot!K:K,MATCH(INDEX(Optimointi!A5:A14,MATCH(MAX(Optimointi!M5:M14),Optimointi!M5:M14,0)),Reittivaihtoehdot!A:A,0)))),"Kyllä","Ei"))</f>
        <v/>
      </c>
      <c r="C13" s="6" t="str">
        <f>IF(A13="","",Lähetykset!C13)</f>
        <v/>
      </c>
      <c r="D13" s="6" t="str">
        <f>IF(A13="","",Lähetykset!D13)</f>
        <v/>
      </c>
      <c r="E13" s="6" t="str">
        <f>IF(A13="","",Lähetykset!E13)</f>
        <v/>
      </c>
      <c r="F13" s="6" t="str">
        <f>IF(OR(A13="",Lähetykset!F13=""),"",Lähetykset!F13)</f>
        <v/>
      </c>
      <c r="G13" s="6" t="str">
        <f>IF(OR(A13="",Lähetykset!G13=""),"",Lähetykset!G13)</f>
        <v/>
      </c>
      <c r="H13" s="6" t="str">
        <f>IF(A13="","",Lähetykset!H13)</f>
        <v/>
      </c>
      <c r="I13" s="6" t="str">
        <f>IF(A13="","",COUNTIF($B$5:B13,"Kyllä"))</f>
        <v/>
      </c>
      <c r="J13" s="6" t="str">
        <f t="shared" si="0"/>
        <v/>
      </c>
      <c r="K13" s="6" t="str">
        <f t="shared" si="1"/>
        <v/>
      </c>
      <c r="L13" s="6" t="str">
        <f t="shared" si="2"/>
        <v/>
      </c>
      <c r="M13" s="6" t="str">
        <f t="shared" si="3"/>
        <v/>
      </c>
    </row>
    <row r="14" spans="1:14">
      <c r="A14" s="6" t="str">
        <f>IF(Lähetykset!A14="","",Lähetykset!A14)</f>
        <v/>
      </c>
      <c r="B14" s="6" t="str">
        <f>IF(A14="","",IF(ISNUMBER(SEARCH(A14,INDEX(Reittivaihtoehdot!K:K,MATCH(INDEX(Optimointi!A5:A14,MATCH(MAX(Optimointi!M5:M14),Optimointi!M5:M14,0)),Reittivaihtoehdot!A:A,0)))),"Kyllä","Ei"))</f>
        <v/>
      </c>
      <c r="C14" s="6" t="str">
        <f>IF(A14="","",Lähetykset!C14)</f>
        <v/>
      </c>
      <c r="D14" s="6" t="str">
        <f>IF(A14="","",Lähetykset!D14)</f>
        <v/>
      </c>
      <c r="E14" s="6" t="str">
        <f>IF(A14="","",Lähetykset!E14)</f>
        <v/>
      </c>
      <c r="F14" s="6" t="str">
        <f>IF(OR(A14="",Lähetykset!F14=""),"",Lähetykset!F14)</f>
        <v/>
      </c>
      <c r="G14" s="6" t="str">
        <f>IF(OR(A14="",Lähetykset!G14=""),"",Lähetykset!G14)</f>
        <v/>
      </c>
      <c r="H14" s="6" t="str">
        <f>IF(A14="","",Lähetykset!H14)</f>
        <v/>
      </c>
      <c r="I14" s="6" t="str">
        <f>IF(A14="","",COUNTIF($B$5:B14,"Kyllä"))</f>
        <v/>
      </c>
      <c r="J14" s="6" t="str">
        <f t="shared" si="0"/>
        <v/>
      </c>
      <c r="K14" s="6" t="str">
        <f t="shared" si="1"/>
        <v/>
      </c>
      <c r="L14" s="6" t="str">
        <f t="shared" si="2"/>
        <v/>
      </c>
      <c r="M14" s="6" t="str">
        <f t="shared" si="3"/>
        <v/>
      </c>
    </row>
    <row r="17" spans="1:5">
      <c r="A17" s="10" t="s">
        <v>101</v>
      </c>
    </row>
    <row r="18" spans="1:5">
      <c r="A18" s="3" t="s">
        <v>102</v>
      </c>
      <c r="B18" s="3" t="s">
        <v>103</v>
      </c>
      <c r="C18" s="3" t="s">
        <v>104</v>
      </c>
      <c r="D18" s="3" t="s">
        <v>105</v>
      </c>
      <c r="E18" s="3" t="s">
        <v>12</v>
      </c>
    </row>
    <row r="19" spans="1:5">
      <c r="A19" t="s">
        <v>106</v>
      </c>
      <c r="B19" s="6">
        <f>SUMIF($B$5:$B$14,"Kyllä",$D$5:$D$14)</f>
        <v>18</v>
      </c>
      <c r="C19" s="6">
        <v>33</v>
      </c>
      <c r="D19" s="6" t="str">
        <f>IF(B19&gt;C19,"Ei mahdu",IF(B19&gt;=29,"Lähes täysi","OK"))</f>
        <v>OK</v>
      </c>
      <c r="E19" t="s">
        <v>107</v>
      </c>
    </row>
    <row r="20" spans="1:5">
      <c r="A20" t="s">
        <v>108</v>
      </c>
      <c r="B20" s="6">
        <f>SUMIF($B$5:$B$14,"Kyllä",$E$5:$E$14)</f>
        <v>5700</v>
      </c>
      <c r="C20" s="6">
        <v>24000</v>
      </c>
      <c r="D20" s="6" t="str">
        <f>IF(B20&gt;C20,"Paino yli","OK")</f>
        <v>OK</v>
      </c>
      <c r="E20" t="s">
        <v>107</v>
      </c>
    </row>
    <row r="21" spans="1:5">
      <c r="A21" t="s">
        <v>82</v>
      </c>
      <c r="B21" s="7">
        <f>B19/C19</f>
        <v>0.54545454545454541</v>
      </c>
      <c r="C21" s="6" t="s">
        <v>109</v>
      </c>
      <c r="D21" s="6" t="str">
        <f>IF(B21&lt;0.7,"Vajaakuorma",IF(B21&gt;0.95,"Liian täysi","Hyvä"))</f>
        <v>Vajaakuorma</v>
      </c>
    </row>
    <row r="22" spans="1:5">
      <c r="A22" t="s">
        <v>110</v>
      </c>
      <c r="B22" s="6">
        <f>COUNTIFS($B$5:$B$14,"Kyllä",$H$5:$H$14,"Kyllä")</f>
        <v>0</v>
      </c>
      <c r="C22" s="6"/>
      <c r="D22" s="6" t="str">
        <f>IF(B22&gt;0,"ADR-lisä","OK")</f>
        <v>OK</v>
      </c>
    </row>
    <row r="23" spans="1:5">
      <c r="A23" t="s">
        <v>111</v>
      </c>
      <c r="B23" s="6">
        <f>COUNTIFS($B$5:$B$14,"Kyllä",$L$5:$L$14,"Thermo")</f>
        <v>2</v>
      </c>
      <c r="C23" s="6"/>
      <c r="D23" s="6" t="str">
        <f>IF(B23&gt;0,"Thermolisä","OK")</f>
        <v>Thermolisä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5"/>
  <sheetViews>
    <sheetView zoomScale="85" zoomScaleNormal="85" workbookViewId="0"/>
  </sheetViews>
  <sheetFormatPr defaultRowHeight="13.8"/>
  <cols>
    <col min="1" max="1" width="21.3984375" customWidth="1"/>
    <col min="2" max="13" width="13" customWidth="1"/>
    <col min="14" max="14" width="24" customWidth="1"/>
  </cols>
  <sheetData>
    <row r="1" spans="1:14" ht="37.049999999999997" customHeight="1">
      <c r="A1" s="1" t="s">
        <v>112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4" ht="26.4">
      <c r="A2" s="2" t="s">
        <v>113</v>
      </c>
    </row>
    <row r="4" spans="1:14">
      <c r="A4" s="3" t="s">
        <v>114</v>
      </c>
      <c r="B4" s="3" t="s">
        <v>115</v>
      </c>
      <c r="C4" s="3" t="s">
        <v>116</v>
      </c>
      <c r="D4" s="3" t="s">
        <v>117</v>
      </c>
      <c r="E4" s="3" t="s">
        <v>118</v>
      </c>
      <c r="F4" s="3" t="s">
        <v>119</v>
      </c>
      <c r="G4" s="3" t="s">
        <v>120</v>
      </c>
      <c r="H4" s="3" t="s">
        <v>121</v>
      </c>
      <c r="I4" s="3" t="s">
        <v>122</v>
      </c>
      <c r="J4" s="3" t="s">
        <v>123</v>
      </c>
      <c r="K4" s="3" t="s">
        <v>124</v>
      </c>
      <c r="L4" s="3" t="s">
        <v>125</v>
      </c>
      <c r="M4" s="3" t="s">
        <v>126</v>
      </c>
      <c r="N4" s="3" t="s">
        <v>12</v>
      </c>
    </row>
    <row r="5" spans="1:14" ht="27.6">
      <c r="A5" s="12" t="s">
        <v>127</v>
      </c>
      <c r="B5" s="13" t="s">
        <v>128</v>
      </c>
      <c r="C5" s="13" t="s">
        <v>128</v>
      </c>
      <c r="D5" s="13" t="s">
        <v>128</v>
      </c>
      <c r="E5" s="13" t="s">
        <v>128</v>
      </c>
      <c r="F5" s="14" t="s">
        <v>129</v>
      </c>
      <c r="G5" s="14" t="s">
        <v>129</v>
      </c>
      <c r="H5" s="14" t="s">
        <v>129</v>
      </c>
      <c r="I5" s="14" t="s">
        <v>129</v>
      </c>
      <c r="J5" s="14" t="s">
        <v>129</v>
      </c>
      <c r="K5" s="14" t="s">
        <v>129</v>
      </c>
      <c r="L5" s="12"/>
      <c r="M5" s="12" t="s">
        <v>126</v>
      </c>
      <c r="N5" s="12" t="s">
        <v>130</v>
      </c>
    </row>
    <row r="6" spans="1:14">
      <c r="A6" s="12" t="s">
        <v>131</v>
      </c>
      <c r="B6" s="13" t="s">
        <v>128</v>
      </c>
      <c r="C6" s="13" t="s">
        <v>128</v>
      </c>
      <c r="D6" s="13" t="s">
        <v>128</v>
      </c>
      <c r="E6" s="13" t="s">
        <v>128</v>
      </c>
      <c r="F6" s="14" t="s">
        <v>129</v>
      </c>
      <c r="G6" s="14" t="s">
        <v>129</v>
      </c>
      <c r="H6" s="14" t="s">
        <v>129</v>
      </c>
      <c r="I6" s="14" t="s">
        <v>129</v>
      </c>
      <c r="J6" s="14"/>
      <c r="K6" s="14"/>
      <c r="L6" s="12"/>
      <c r="M6" s="12" t="s">
        <v>126</v>
      </c>
      <c r="N6" s="12"/>
    </row>
    <row r="7" spans="1:14">
      <c r="A7" s="12" t="s">
        <v>132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 t="s">
        <v>126</v>
      </c>
      <c r="N7" s="12"/>
    </row>
    <row r="10" spans="1:14">
      <c r="A10" s="10" t="s">
        <v>101</v>
      </c>
    </row>
    <row r="11" spans="1:14">
      <c r="A11" s="3" t="s">
        <v>102</v>
      </c>
      <c r="B11" s="3" t="s">
        <v>103</v>
      </c>
      <c r="C11" s="3" t="s">
        <v>104</v>
      </c>
      <c r="D11" s="3" t="s">
        <v>105</v>
      </c>
      <c r="E11" s="3" t="s">
        <v>12</v>
      </c>
    </row>
    <row r="12" spans="1:14">
      <c r="A12" t="s">
        <v>5</v>
      </c>
      <c r="B12" s="6">
        <f>Kuormaoptimointi!B19</f>
        <v>18</v>
      </c>
      <c r="C12" s="6">
        <v>33</v>
      </c>
      <c r="D12" s="6" t="str">
        <f>Kuormaoptimointi!D19</f>
        <v>OK</v>
      </c>
    </row>
    <row r="13" spans="1:14">
      <c r="A13" t="s">
        <v>6</v>
      </c>
      <c r="B13" s="6">
        <f>Kuormaoptimointi!B20</f>
        <v>5700</v>
      </c>
      <c r="C13" s="6">
        <v>24000</v>
      </c>
      <c r="D13" s="6" t="str">
        <f>Kuormaoptimointi!D20</f>
        <v>OK</v>
      </c>
    </row>
    <row r="14" spans="1:14">
      <c r="A14" t="s">
        <v>82</v>
      </c>
      <c r="B14" s="7">
        <f>Kuormaoptimointi!B21</f>
        <v>0.54545454545454541</v>
      </c>
      <c r="C14" s="6" t="s">
        <v>133</v>
      </c>
      <c r="D14" s="6" t="str">
        <f>Kuormaoptimointi!D21</f>
        <v>Vajaakuorma</v>
      </c>
    </row>
    <row r="15" spans="1:14">
      <c r="A15" t="s">
        <v>134</v>
      </c>
      <c r="B15" t="s">
        <v>135</v>
      </c>
      <c r="D15" t="s">
        <v>136</v>
      </c>
      <c r="E15" t="s">
        <v>137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40"/>
  <sheetViews>
    <sheetView workbookViewId="0">
      <selection activeCell="A5" sqref="A5"/>
    </sheetView>
  </sheetViews>
  <sheetFormatPr defaultRowHeight="13.8"/>
  <cols>
    <col min="1" max="1" width="20.69921875" customWidth="1"/>
    <col min="2" max="2" width="34" customWidth="1"/>
    <col min="3" max="3" width="18" customWidth="1"/>
    <col min="4" max="8" width="14" customWidth="1"/>
    <col min="9" max="10" width="18" customWidth="1"/>
    <col min="11" max="11" width="16" customWidth="1"/>
    <col min="12" max="13" width="18" customWidth="1"/>
    <col min="14" max="14" width="24" customWidth="1"/>
  </cols>
  <sheetData>
    <row r="1" spans="1:14" ht="37.049999999999997" customHeight="1">
      <c r="A1" s="1" t="s">
        <v>138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4" ht="39.6">
      <c r="A2" s="2" t="s">
        <v>139</v>
      </c>
    </row>
    <row r="4" spans="1:14">
      <c r="A4" s="3" t="s">
        <v>140</v>
      </c>
      <c r="B4" s="3" t="s">
        <v>34</v>
      </c>
      <c r="C4" s="3" t="s">
        <v>141</v>
      </c>
      <c r="D4" s="3" t="s">
        <v>36</v>
      </c>
      <c r="E4" s="3" t="s">
        <v>38</v>
      </c>
      <c r="F4" s="3" t="s">
        <v>142</v>
      </c>
      <c r="G4" s="3" t="s">
        <v>143</v>
      </c>
      <c r="H4" s="3" t="s">
        <v>144</v>
      </c>
      <c r="I4" s="3" t="s">
        <v>145</v>
      </c>
      <c r="J4" s="3" t="s">
        <v>10</v>
      </c>
      <c r="K4" s="3" t="s">
        <v>146</v>
      </c>
      <c r="L4" s="3" t="s">
        <v>147</v>
      </c>
      <c r="M4" s="3" t="s">
        <v>90</v>
      </c>
      <c r="N4" s="3" t="s">
        <v>12</v>
      </c>
    </row>
    <row r="5" spans="1:14">
      <c r="A5" s="4" t="s">
        <v>148</v>
      </c>
      <c r="B5" s="4" t="s">
        <v>44</v>
      </c>
      <c r="C5" s="15">
        <v>46147.25</v>
      </c>
      <c r="D5" s="4">
        <v>3.9</v>
      </c>
      <c r="E5" s="4">
        <v>0</v>
      </c>
      <c r="F5" s="4">
        <v>45</v>
      </c>
      <c r="G5" s="4">
        <v>45</v>
      </c>
      <c r="H5" s="4">
        <v>15</v>
      </c>
      <c r="I5" s="16">
        <f t="shared" ref="I5:I40" si="0">IF(A5="","",C5+D5/24+SUM(E5:H5)/1440)</f>
        <v>46147.485416666663</v>
      </c>
      <c r="J5" s="15">
        <v>46147.5</v>
      </c>
      <c r="K5" s="6" t="str">
        <f t="shared" ref="K5:K40" si="1">IF(A5="","",IF(I5&lt;=J5,"Ajoissa","Myöhässä"))</f>
        <v>Ajoissa</v>
      </c>
      <c r="L5" s="6">
        <f t="shared" ref="L5:L40" si="2">IF(A5="","",MAX(0,(I5-J5)*1440))</f>
        <v>0</v>
      </c>
      <c r="M5" s="6" t="str">
        <f t="shared" ref="M5:M40" si="3">IF(A5="","",IF(L5&gt;60,"Korkea",IF(L5&gt;15,"Keskitaso","Matala")))</f>
        <v>Matala</v>
      </c>
    </row>
    <row r="6" spans="1:14">
      <c r="A6" s="4" t="s">
        <v>149</v>
      </c>
      <c r="B6" s="4" t="s">
        <v>150</v>
      </c>
      <c r="C6" s="15">
        <v>46147.25</v>
      </c>
      <c r="D6" s="4">
        <v>8</v>
      </c>
      <c r="E6" s="4">
        <v>45</v>
      </c>
      <c r="F6" s="4">
        <v>45</v>
      </c>
      <c r="G6" s="4">
        <v>45</v>
      </c>
      <c r="H6" s="4">
        <v>30</v>
      </c>
      <c r="I6" s="16">
        <f t="shared" si="0"/>
        <v>46147.697916666672</v>
      </c>
      <c r="J6" s="15">
        <v>46147.708333333336</v>
      </c>
      <c r="K6" s="6" t="str">
        <f t="shared" si="1"/>
        <v>Ajoissa</v>
      </c>
      <c r="L6" s="6">
        <f t="shared" si="2"/>
        <v>0</v>
      </c>
      <c r="M6" s="6" t="str">
        <f t="shared" si="3"/>
        <v>Matala</v>
      </c>
    </row>
    <row r="7" spans="1:14">
      <c r="A7" s="4" t="s">
        <v>151</v>
      </c>
      <c r="B7" s="4" t="s">
        <v>152</v>
      </c>
      <c r="C7" s="15">
        <v>46147.25</v>
      </c>
      <c r="D7" s="4">
        <v>7.1</v>
      </c>
      <c r="E7" s="4">
        <v>45</v>
      </c>
      <c r="F7" s="4">
        <v>60</v>
      </c>
      <c r="G7" s="4">
        <v>60</v>
      </c>
      <c r="H7" s="4">
        <v>90</v>
      </c>
      <c r="I7" s="16">
        <f t="shared" si="0"/>
        <v>46147.722916666666</v>
      </c>
      <c r="J7" s="15">
        <v>46147.770833333336</v>
      </c>
      <c r="K7" s="6" t="str">
        <f t="shared" si="1"/>
        <v>Ajoissa</v>
      </c>
      <c r="L7" s="6">
        <f t="shared" si="2"/>
        <v>0</v>
      </c>
      <c r="M7" s="6" t="str">
        <f t="shared" si="3"/>
        <v>Matala</v>
      </c>
    </row>
    <row r="8" spans="1:14">
      <c r="A8" s="4"/>
      <c r="B8" s="4"/>
      <c r="C8" s="15"/>
      <c r="D8" s="4"/>
      <c r="E8" s="4"/>
      <c r="F8" s="4"/>
      <c r="G8" s="4"/>
      <c r="H8" s="4"/>
      <c r="I8" s="16" t="str">
        <f t="shared" si="0"/>
        <v/>
      </c>
      <c r="J8" s="15"/>
      <c r="K8" s="6" t="str">
        <f t="shared" si="1"/>
        <v/>
      </c>
      <c r="L8" s="6" t="str">
        <f t="shared" si="2"/>
        <v/>
      </c>
      <c r="M8" s="6" t="str">
        <f t="shared" si="3"/>
        <v/>
      </c>
    </row>
    <row r="9" spans="1:14">
      <c r="A9" s="4"/>
      <c r="B9" s="4"/>
      <c r="C9" s="15"/>
      <c r="D9" s="4"/>
      <c r="E9" s="4"/>
      <c r="F9" s="4"/>
      <c r="G9" s="4"/>
      <c r="H9" s="4"/>
      <c r="I9" s="16" t="str">
        <f t="shared" si="0"/>
        <v/>
      </c>
      <c r="J9" s="15"/>
      <c r="K9" s="6" t="str">
        <f t="shared" si="1"/>
        <v/>
      </c>
      <c r="L9" s="6" t="str">
        <f t="shared" si="2"/>
        <v/>
      </c>
      <c r="M9" s="6" t="str">
        <f t="shared" si="3"/>
        <v/>
      </c>
    </row>
    <row r="10" spans="1:14">
      <c r="A10" s="4"/>
      <c r="B10" s="4"/>
      <c r="C10" s="15"/>
      <c r="D10" s="4"/>
      <c r="E10" s="4"/>
      <c r="F10" s="4"/>
      <c r="G10" s="4"/>
      <c r="H10" s="4"/>
      <c r="I10" s="16" t="str">
        <f t="shared" si="0"/>
        <v/>
      </c>
      <c r="J10" s="15"/>
      <c r="K10" s="6" t="str">
        <f t="shared" si="1"/>
        <v/>
      </c>
      <c r="L10" s="6" t="str">
        <f t="shared" si="2"/>
        <v/>
      </c>
      <c r="M10" s="6" t="str">
        <f t="shared" si="3"/>
        <v/>
      </c>
    </row>
    <row r="11" spans="1:14">
      <c r="A11" s="4"/>
      <c r="B11" s="4"/>
      <c r="C11" s="15"/>
      <c r="D11" s="4"/>
      <c r="E11" s="4"/>
      <c r="F11" s="4"/>
      <c r="G11" s="4"/>
      <c r="H11" s="4"/>
      <c r="I11" s="16" t="str">
        <f t="shared" si="0"/>
        <v/>
      </c>
      <c r="J11" s="15"/>
      <c r="K11" s="6" t="str">
        <f t="shared" si="1"/>
        <v/>
      </c>
      <c r="L11" s="6" t="str">
        <f t="shared" si="2"/>
        <v/>
      </c>
      <c r="M11" s="6" t="str">
        <f t="shared" si="3"/>
        <v/>
      </c>
    </row>
    <row r="12" spans="1:14">
      <c r="A12" s="4"/>
      <c r="B12" s="4"/>
      <c r="C12" s="15"/>
      <c r="D12" s="4"/>
      <c r="E12" s="4"/>
      <c r="F12" s="4"/>
      <c r="G12" s="4"/>
      <c r="H12" s="4"/>
      <c r="I12" s="16" t="str">
        <f t="shared" si="0"/>
        <v/>
      </c>
      <c r="J12" s="15"/>
      <c r="K12" s="6" t="str">
        <f t="shared" si="1"/>
        <v/>
      </c>
      <c r="L12" s="6" t="str">
        <f t="shared" si="2"/>
        <v/>
      </c>
      <c r="M12" s="6" t="str">
        <f t="shared" si="3"/>
        <v/>
      </c>
    </row>
    <row r="13" spans="1:14">
      <c r="A13" s="4"/>
      <c r="B13" s="4"/>
      <c r="C13" s="15"/>
      <c r="D13" s="4"/>
      <c r="E13" s="4"/>
      <c r="F13" s="4"/>
      <c r="G13" s="4"/>
      <c r="H13" s="4"/>
      <c r="I13" s="16" t="str">
        <f t="shared" si="0"/>
        <v/>
      </c>
      <c r="J13" s="15"/>
      <c r="K13" s="6" t="str">
        <f t="shared" si="1"/>
        <v/>
      </c>
      <c r="L13" s="6" t="str">
        <f t="shared" si="2"/>
        <v/>
      </c>
      <c r="M13" s="6" t="str">
        <f t="shared" si="3"/>
        <v/>
      </c>
    </row>
    <row r="14" spans="1:14">
      <c r="A14" s="4"/>
      <c r="B14" s="4"/>
      <c r="C14" s="15"/>
      <c r="D14" s="4"/>
      <c r="E14" s="4"/>
      <c r="F14" s="4"/>
      <c r="G14" s="4"/>
      <c r="H14" s="4"/>
      <c r="I14" s="16" t="str">
        <f t="shared" si="0"/>
        <v/>
      </c>
      <c r="J14" s="15"/>
      <c r="K14" s="6" t="str">
        <f t="shared" si="1"/>
        <v/>
      </c>
      <c r="L14" s="6" t="str">
        <f t="shared" si="2"/>
        <v/>
      </c>
      <c r="M14" s="6" t="str">
        <f t="shared" si="3"/>
        <v/>
      </c>
    </row>
    <row r="15" spans="1:14">
      <c r="A15" s="4"/>
      <c r="B15" s="4"/>
      <c r="C15" s="15"/>
      <c r="D15" s="4"/>
      <c r="E15" s="4"/>
      <c r="F15" s="4"/>
      <c r="G15" s="4"/>
      <c r="H15" s="4"/>
      <c r="I15" s="16" t="str">
        <f t="shared" si="0"/>
        <v/>
      </c>
      <c r="J15" s="15"/>
      <c r="K15" s="6" t="str">
        <f t="shared" si="1"/>
        <v/>
      </c>
      <c r="L15" s="6" t="str">
        <f t="shared" si="2"/>
        <v/>
      </c>
      <c r="M15" s="6" t="str">
        <f t="shared" si="3"/>
        <v/>
      </c>
    </row>
    <row r="16" spans="1:14">
      <c r="A16" s="4"/>
      <c r="B16" s="4"/>
      <c r="C16" s="15"/>
      <c r="D16" s="4"/>
      <c r="E16" s="4"/>
      <c r="F16" s="4"/>
      <c r="G16" s="4"/>
      <c r="H16" s="4"/>
      <c r="I16" s="16" t="str">
        <f t="shared" si="0"/>
        <v/>
      </c>
      <c r="J16" s="15"/>
      <c r="K16" s="6" t="str">
        <f t="shared" si="1"/>
        <v/>
      </c>
      <c r="L16" s="6" t="str">
        <f t="shared" si="2"/>
        <v/>
      </c>
      <c r="M16" s="6" t="str">
        <f t="shared" si="3"/>
        <v/>
      </c>
    </row>
    <row r="17" spans="1:13">
      <c r="A17" s="4"/>
      <c r="B17" s="4"/>
      <c r="C17" s="15"/>
      <c r="D17" s="4"/>
      <c r="E17" s="4"/>
      <c r="F17" s="4"/>
      <c r="G17" s="4"/>
      <c r="H17" s="4"/>
      <c r="I17" s="16" t="str">
        <f t="shared" si="0"/>
        <v/>
      </c>
      <c r="J17" s="15"/>
      <c r="K17" s="6" t="str">
        <f t="shared" si="1"/>
        <v/>
      </c>
      <c r="L17" s="6" t="str">
        <f t="shared" si="2"/>
        <v/>
      </c>
      <c r="M17" s="6" t="str">
        <f t="shared" si="3"/>
        <v/>
      </c>
    </row>
    <row r="18" spans="1:13">
      <c r="A18" s="4"/>
      <c r="B18" s="4"/>
      <c r="C18" s="15"/>
      <c r="D18" s="4"/>
      <c r="E18" s="4"/>
      <c r="F18" s="4"/>
      <c r="G18" s="4"/>
      <c r="H18" s="4"/>
      <c r="I18" s="16" t="str">
        <f t="shared" si="0"/>
        <v/>
      </c>
      <c r="J18" s="15"/>
      <c r="K18" s="6" t="str">
        <f t="shared" si="1"/>
        <v/>
      </c>
      <c r="L18" s="6" t="str">
        <f t="shared" si="2"/>
        <v/>
      </c>
      <c r="M18" s="6" t="str">
        <f t="shared" si="3"/>
        <v/>
      </c>
    </row>
    <row r="19" spans="1:13">
      <c r="A19" s="4"/>
      <c r="B19" s="4"/>
      <c r="C19" s="15"/>
      <c r="D19" s="4"/>
      <c r="E19" s="4"/>
      <c r="F19" s="4"/>
      <c r="G19" s="4"/>
      <c r="H19" s="4"/>
      <c r="I19" s="16" t="str">
        <f t="shared" si="0"/>
        <v/>
      </c>
      <c r="J19" s="15"/>
      <c r="K19" s="6" t="str">
        <f t="shared" si="1"/>
        <v/>
      </c>
      <c r="L19" s="6" t="str">
        <f t="shared" si="2"/>
        <v/>
      </c>
      <c r="M19" s="6" t="str">
        <f t="shared" si="3"/>
        <v/>
      </c>
    </row>
    <row r="20" spans="1:13">
      <c r="A20" s="4"/>
      <c r="B20" s="4"/>
      <c r="C20" s="15"/>
      <c r="D20" s="4"/>
      <c r="E20" s="4"/>
      <c r="F20" s="4"/>
      <c r="G20" s="4"/>
      <c r="H20" s="4"/>
      <c r="I20" s="16" t="str">
        <f t="shared" si="0"/>
        <v/>
      </c>
      <c r="J20" s="15"/>
      <c r="K20" s="6" t="str">
        <f t="shared" si="1"/>
        <v/>
      </c>
      <c r="L20" s="6" t="str">
        <f t="shared" si="2"/>
        <v/>
      </c>
      <c r="M20" s="6" t="str">
        <f t="shared" si="3"/>
        <v/>
      </c>
    </row>
    <row r="21" spans="1:13">
      <c r="A21" s="4"/>
      <c r="B21" s="4"/>
      <c r="C21" s="15"/>
      <c r="D21" s="4"/>
      <c r="E21" s="4"/>
      <c r="F21" s="4"/>
      <c r="G21" s="4"/>
      <c r="H21" s="4"/>
      <c r="I21" s="16" t="str">
        <f t="shared" si="0"/>
        <v/>
      </c>
      <c r="J21" s="15"/>
      <c r="K21" s="6" t="str">
        <f t="shared" si="1"/>
        <v/>
      </c>
      <c r="L21" s="6" t="str">
        <f t="shared" si="2"/>
        <v/>
      </c>
      <c r="M21" s="6" t="str">
        <f t="shared" si="3"/>
        <v/>
      </c>
    </row>
    <row r="22" spans="1:13">
      <c r="A22" s="4"/>
      <c r="B22" s="4"/>
      <c r="C22" s="15"/>
      <c r="D22" s="4"/>
      <c r="E22" s="4"/>
      <c r="F22" s="4"/>
      <c r="G22" s="4"/>
      <c r="H22" s="4"/>
      <c r="I22" s="16" t="str">
        <f t="shared" si="0"/>
        <v/>
      </c>
      <c r="J22" s="15"/>
      <c r="K22" s="6" t="str">
        <f t="shared" si="1"/>
        <v/>
      </c>
      <c r="L22" s="6" t="str">
        <f t="shared" si="2"/>
        <v/>
      </c>
      <c r="M22" s="6" t="str">
        <f t="shared" si="3"/>
        <v/>
      </c>
    </row>
    <row r="23" spans="1:13">
      <c r="A23" s="4"/>
      <c r="B23" s="4"/>
      <c r="C23" s="15"/>
      <c r="D23" s="4"/>
      <c r="E23" s="4"/>
      <c r="F23" s="4"/>
      <c r="G23" s="4"/>
      <c r="H23" s="4"/>
      <c r="I23" s="16" t="str">
        <f t="shared" si="0"/>
        <v/>
      </c>
      <c r="J23" s="15"/>
      <c r="K23" s="6" t="str">
        <f t="shared" si="1"/>
        <v/>
      </c>
      <c r="L23" s="6" t="str">
        <f t="shared" si="2"/>
        <v/>
      </c>
      <c r="M23" s="6" t="str">
        <f t="shared" si="3"/>
        <v/>
      </c>
    </row>
    <row r="24" spans="1:13">
      <c r="A24" s="4"/>
      <c r="B24" s="4"/>
      <c r="C24" s="15"/>
      <c r="D24" s="4"/>
      <c r="E24" s="4"/>
      <c r="F24" s="4"/>
      <c r="G24" s="4"/>
      <c r="H24" s="4"/>
      <c r="I24" s="16" t="str">
        <f t="shared" si="0"/>
        <v/>
      </c>
      <c r="J24" s="15"/>
      <c r="K24" s="6" t="str">
        <f t="shared" si="1"/>
        <v/>
      </c>
      <c r="L24" s="6" t="str">
        <f t="shared" si="2"/>
        <v/>
      </c>
      <c r="M24" s="6" t="str">
        <f t="shared" si="3"/>
        <v/>
      </c>
    </row>
    <row r="25" spans="1:13">
      <c r="A25" s="4"/>
      <c r="B25" s="4"/>
      <c r="C25" s="15"/>
      <c r="D25" s="4"/>
      <c r="E25" s="4"/>
      <c r="F25" s="4"/>
      <c r="G25" s="4"/>
      <c r="H25" s="4"/>
      <c r="I25" s="16" t="str">
        <f t="shared" si="0"/>
        <v/>
      </c>
      <c r="J25" s="15"/>
      <c r="K25" s="6" t="str">
        <f t="shared" si="1"/>
        <v/>
      </c>
      <c r="L25" s="6" t="str">
        <f t="shared" si="2"/>
        <v/>
      </c>
      <c r="M25" s="6" t="str">
        <f t="shared" si="3"/>
        <v/>
      </c>
    </row>
    <row r="26" spans="1:13">
      <c r="A26" s="4"/>
      <c r="B26" s="4"/>
      <c r="C26" s="15"/>
      <c r="D26" s="4"/>
      <c r="E26" s="4"/>
      <c r="F26" s="4"/>
      <c r="G26" s="4"/>
      <c r="H26" s="4"/>
      <c r="I26" s="16" t="str">
        <f t="shared" si="0"/>
        <v/>
      </c>
      <c r="J26" s="15"/>
      <c r="K26" s="6" t="str">
        <f t="shared" si="1"/>
        <v/>
      </c>
      <c r="L26" s="6" t="str">
        <f t="shared" si="2"/>
        <v/>
      </c>
      <c r="M26" s="6" t="str">
        <f t="shared" si="3"/>
        <v/>
      </c>
    </row>
    <row r="27" spans="1:13">
      <c r="A27" s="4"/>
      <c r="B27" s="4"/>
      <c r="C27" s="15"/>
      <c r="D27" s="4"/>
      <c r="E27" s="4"/>
      <c r="F27" s="4"/>
      <c r="G27" s="4"/>
      <c r="H27" s="4"/>
      <c r="I27" s="16" t="str">
        <f t="shared" si="0"/>
        <v/>
      </c>
      <c r="J27" s="15"/>
      <c r="K27" s="6" t="str">
        <f t="shared" si="1"/>
        <v/>
      </c>
      <c r="L27" s="6" t="str">
        <f t="shared" si="2"/>
        <v/>
      </c>
      <c r="M27" s="6" t="str">
        <f t="shared" si="3"/>
        <v/>
      </c>
    </row>
    <row r="28" spans="1:13">
      <c r="A28" s="4"/>
      <c r="B28" s="4"/>
      <c r="C28" s="15"/>
      <c r="D28" s="4"/>
      <c r="E28" s="4"/>
      <c r="F28" s="4"/>
      <c r="G28" s="4"/>
      <c r="H28" s="4"/>
      <c r="I28" s="16" t="str">
        <f t="shared" si="0"/>
        <v/>
      </c>
      <c r="J28" s="15"/>
      <c r="K28" s="6" t="str">
        <f t="shared" si="1"/>
        <v/>
      </c>
      <c r="L28" s="6" t="str">
        <f t="shared" si="2"/>
        <v/>
      </c>
      <c r="M28" s="6" t="str">
        <f t="shared" si="3"/>
        <v/>
      </c>
    </row>
    <row r="29" spans="1:13">
      <c r="A29" s="4"/>
      <c r="B29" s="4"/>
      <c r="C29" s="15"/>
      <c r="D29" s="4"/>
      <c r="E29" s="4"/>
      <c r="F29" s="4"/>
      <c r="G29" s="4"/>
      <c r="H29" s="4"/>
      <c r="I29" s="16" t="str">
        <f t="shared" si="0"/>
        <v/>
      </c>
      <c r="J29" s="15"/>
      <c r="K29" s="6" t="str">
        <f t="shared" si="1"/>
        <v/>
      </c>
      <c r="L29" s="6" t="str">
        <f t="shared" si="2"/>
        <v/>
      </c>
      <c r="M29" s="6" t="str">
        <f t="shared" si="3"/>
        <v/>
      </c>
    </row>
    <row r="30" spans="1:13">
      <c r="A30" s="4"/>
      <c r="B30" s="4"/>
      <c r="C30" s="15"/>
      <c r="D30" s="4"/>
      <c r="E30" s="4"/>
      <c r="F30" s="4"/>
      <c r="G30" s="4"/>
      <c r="H30" s="4"/>
      <c r="I30" s="16" t="str">
        <f t="shared" si="0"/>
        <v/>
      </c>
      <c r="J30" s="15"/>
      <c r="K30" s="6" t="str">
        <f t="shared" si="1"/>
        <v/>
      </c>
      <c r="L30" s="6" t="str">
        <f t="shared" si="2"/>
        <v/>
      </c>
      <c r="M30" s="6" t="str">
        <f t="shared" si="3"/>
        <v/>
      </c>
    </row>
    <row r="31" spans="1:13">
      <c r="A31" s="4"/>
      <c r="B31" s="4"/>
      <c r="C31" s="15"/>
      <c r="D31" s="4"/>
      <c r="E31" s="4"/>
      <c r="F31" s="4"/>
      <c r="G31" s="4"/>
      <c r="H31" s="4"/>
      <c r="I31" s="16" t="str">
        <f t="shared" si="0"/>
        <v/>
      </c>
      <c r="J31" s="15"/>
      <c r="K31" s="6" t="str">
        <f t="shared" si="1"/>
        <v/>
      </c>
      <c r="L31" s="6" t="str">
        <f t="shared" si="2"/>
        <v/>
      </c>
      <c r="M31" s="6" t="str">
        <f t="shared" si="3"/>
        <v/>
      </c>
    </row>
    <row r="32" spans="1:13">
      <c r="A32" s="4"/>
      <c r="B32" s="4"/>
      <c r="C32" s="15"/>
      <c r="D32" s="4"/>
      <c r="E32" s="4"/>
      <c r="F32" s="4"/>
      <c r="G32" s="4"/>
      <c r="H32" s="4"/>
      <c r="I32" s="16" t="str">
        <f t="shared" si="0"/>
        <v/>
      </c>
      <c r="J32" s="15"/>
      <c r="K32" s="6" t="str">
        <f t="shared" si="1"/>
        <v/>
      </c>
      <c r="L32" s="6" t="str">
        <f t="shared" si="2"/>
        <v/>
      </c>
      <c r="M32" s="6" t="str">
        <f t="shared" si="3"/>
        <v/>
      </c>
    </row>
    <row r="33" spans="1:13">
      <c r="A33" s="4"/>
      <c r="B33" s="4"/>
      <c r="C33" s="15"/>
      <c r="D33" s="4"/>
      <c r="E33" s="4"/>
      <c r="F33" s="4"/>
      <c r="G33" s="4"/>
      <c r="H33" s="4"/>
      <c r="I33" s="16" t="str">
        <f t="shared" si="0"/>
        <v/>
      </c>
      <c r="J33" s="15"/>
      <c r="K33" s="6" t="str">
        <f t="shared" si="1"/>
        <v/>
      </c>
      <c r="L33" s="6" t="str">
        <f t="shared" si="2"/>
        <v/>
      </c>
      <c r="M33" s="6" t="str">
        <f t="shared" si="3"/>
        <v/>
      </c>
    </row>
    <row r="34" spans="1:13">
      <c r="A34" s="4"/>
      <c r="B34" s="4"/>
      <c r="C34" s="15"/>
      <c r="D34" s="4"/>
      <c r="E34" s="4"/>
      <c r="F34" s="4"/>
      <c r="G34" s="4"/>
      <c r="H34" s="4"/>
      <c r="I34" s="16" t="str">
        <f t="shared" si="0"/>
        <v/>
      </c>
      <c r="J34" s="15"/>
      <c r="K34" s="6" t="str">
        <f t="shared" si="1"/>
        <v/>
      </c>
      <c r="L34" s="6" t="str">
        <f t="shared" si="2"/>
        <v/>
      </c>
      <c r="M34" s="6" t="str">
        <f t="shared" si="3"/>
        <v/>
      </c>
    </row>
    <row r="35" spans="1:13">
      <c r="A35" s="4"/>
      <c r="B35" s="4"/>
      <c r="C35" s="15"/>
      <c r="D35" s="4"/>
      <c r="E35" s="4"/>
      <c r="F35" s="4"/>
      <c r="G35" s="4"/>
      <c r="H35" s="4"/>
      <c r="I35" s="16" t="str">
        <f t="shared" si="0"/>
        <v/>
      </c>
      <c r="J35" s="15"/>
      <c r="K35" s="6" t="str">
        <f t="shared" si="1"/>
        <v/>
      </c>
      <c r="L35" s="6" t="str">
        <f t="shared" si="2"/>
        <v/>
      </c>
      <c r="M35" s="6" t="str">
        <f t="shared" si="3"/>
        <v/>
      </c>
    </row>
    <row r="36" spans="1:13">
      <c r="A36" s="4"/>
      <c r="B36" s="4"/>
      <c r="C36" s="15"/>
      <c r="D36" s="4"/>
      <c r="E36" s="4"/>
      <c r="F36" s="4"/>
      <c r="G36" s="4"/>
      <c r="H36" s="4"/>
      <c r="I36" s="16" t="str">
        <f t="shared" si="0"/>
        <v/>
      </c>
      <c r="J36" s="15"/>
      <c r="K36" s="6" t="str">
        <f t="shared" si="1"/>
        <v/>
      </c>
      <c r="L36" s="6" t="str">
        <f t="shared" si="2"/>
        <v/>
      </c>
      <c r="M36" s="6" t="str">
        <f t="shared" si="3"/>
        <v/>
      </c>
    </row>
    <row r="37" spans="1:13">
      <c r="A37" s="4"/>
      <c r="B37" s="4"/>
      <c r="C37" s="15"/>
      <c r="D37" s="4"/>
      <c r="E37" s="4"/>
      <c r="F37" s="4"/>
      <c r="G37" s="4"/>
      <c r="H37" s="4"/>
      <c r="I37" s="16" t="str">
        <f t="shared" si="0"/>
        <v/>
      </c>
      <c r="J37" s="15"/>
      <c r="K37" s="6" t="str">
        <f t="shared" si="1"/>
        <v/>
      </c>
      <c r="L37" s="6" t="str">
        <f t="shared" si="2"/>
        <v/>
      </c>
      <c r="M37" s="6" t="str">
        <f t="shared" si="3"/>
        <v/>
      </c>
    </row>
    <row r="38" spans="1:13">
      <c r="A38" s="4"/>
      <c r="B38" s="4"/>
      <c r="C38" s="15"/>
      <c r="D38" s="4"/>
      <c r="E38" s="4"/>
      <c r="F38" s="4"/>
      <c r="G38" s="4"/>
      <c r="H38" s="4"/>
      <c r="I38" s="16" t="str">
        <f t="shared" si="0"/>
        <v/>
      </c>
      <c r="J38" s="15"/>
      <c r="K38" s="6" t="str">
        <f t="shared" si="1"/>
        <v/>
      </c>
      <c r="L38" s="6" t="str">
        <f t="shared" si="2"/>
        <v/>
      </c>
      <c r="M38" s="6" t="str">
        <f t="shared" si="3"/>
        <v/>
      </c>
    </row>
    <row r="39" spans="1:13">
      <c r="A39" s="4"/>
      <c r="B39" s="4"/>
      <c r="C39" s="15"/>
      <c r="D39" s="4"/>
      <c r="E39" s="4"/>
      <c r="F39" s="4"/>
      <c r="G39" s="4"/>
      <c r="H39" s="4"/>
      <c r="I39" s="16" t="str">
        <f t="shared" si="0"/>
        <v/>
      </c>
      <c r="J39" s="15"/>
      <c r="K39" s="6" t="str">
        <f t="shared" si="1"/>
        <v/>
      </c>
      <c r="L39" s="6" t="str">
        <f t="shared" si="2"/>
        <v/>
      </c>
      <c r="M39" s="6" t="str">
        <f t="shared" si="3"/>
        <v/>
      </c>
    </row>
    <row r="40" spans="1:13">
      <c r="A40" s="4"/>
      <c r="B40" s="4"/>
      <c r="C40" s="15"/>
      <c r="D40" s="4"/>
      <c r="E40" s="4"/>
      <c r="F40" s="4"/>
      <c r="G40" s="4"/>
      <c r="H40" s="4"/>
      <c r="I40" s="16" t="str">
        <f t="shared" si="0"/>
        <v/>
      </c>
      <c r="J40" s="15"/>
      <c r="K40" s="6" t="str">
        <f t="shared" si="1"/>
        <v/>
      </c>
      <c r="L40" s="6" t="str">
        <f t="shared" si="2"/>
        <v/>
      </c>
      <c r="M40" s="6" t="str">
        <f t="shared" si="3"/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40"/>
  <sheetViews>
    <sheetView workbookViewId="0"/>
  </sheetViews>
  <sheetFormatPr defaultRowHeight="13.8"/>
  <cols>
    <col min="1" max="1" width="23.69921875" customWidth="1"/>
    <col min="2" max="2" width="34" customWidth="1"/>
    <col min="3" max="8" width="14" customWidth="1"/>
    <col min="9" max="12" width="16" customWidth="1"/>
    <col min="13" max="13" width="18" customWidth="1"/>
    <col min="14" max="14" width="28" customWidth="1"/>
  </cols>
  <sheetData>
    <row r="1" spans="1:14" ht="37.049999999999997" customHeight="1">
      <c r="A1" s="1" t="s">
        <v>153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4" ht="39.6">
      <c r="A2" s="2" t="s">
        <v>154</v>
      </c>
    </row>
    <row r="4" spans="1:14">
      <c r="A4" s="3" t="s">
        <v>140</v>
      </c>
      <c r="B4" s="3" t="s">
        <v>34</v>
      </c>
      <c r="C4" s="3" t="s">
        <v>36</v>
      </c>
      <c r="D4" s="3" t="s">
        <v>82</v>
      </c>
      <c r="E4" s="3" t="s">
        <v>40</v>
      </c>
      <c r="F4" s="3" t="s">
        <v>155</v>
      </c>
      <c r="G4" s="3" t="s">
        <v>146</v>
      </c>
      <c r="H4" s="3" t="s">
        <v>41</v>
      </c>
      <c r="I4" s="3" t="s">
        <v>156</v>
      </c>
      <c r="J4" s="3" t="s">
        <v>157</v>
      </c>
      <c r="K4" s="3" t="s">
        <v>158</v>
      </c>
      <c r="L4" s="3" t="s">
        <v>159</v>
      </c>
      <c r="M4" s="3" t="s">
        <v>160</v>
      </c>
      <c r="N4" s="3" t="s">
        <v>161</v>
      </c>
    </row>
    <row r="5" spans="1:14">
      <c r="A5" s="4" t="s">
        <v>148</v>
      </c>
      <c r="B5" s="4" t="s">
        <v>44</v>
      </c>
      <c r="C5" s="4">
        <v>3.9</v>
      </c>
      <c r="D5" s="5">
        <v>0.55000000000000004</v>
      </c>
      <c r="E5" s="5">
        <v>0.18</v>
      </c>
      <c r="F5" s="5">
        <v>0.12</v>
      </c>
      <c r="G5" s="4" t="s">
        <v>162</v>
      </c>
      <c r="H5" s="4">
        <v>2</v>
      </c>
      <c r="I5" s="6" t="str">
        <f t="shared" ref="I5:I40" si="0">IF(A5="","",IF(C5&gt;10,"Punainen",IF(C5&gt;9,"Keltainen","OK")))</f>
        <v>OK</v>
      </c>
      <c r="J5" s="6" t="str">
        <f t="shared" ref="J5:J40" si="1">IF(A5="","",IF(D5&lt;0.7,"Keltainen",IF(D5&gt;0.95,"Keltainen","OK")))</f>
        <v>Keltainen</v>
      </c>
      <c r="K5" s="6" t="str">
        <f t="shared" ref="K5:K40" si="2">IF(A5="","",IF(E5&lt;0.12,"Punainen",IF(E5&lt;0.15,"Keltainen","OK")))</f>
        <v>OK</v>
      </c>
      <c r="L5" s="6" t="str">
        <f t="shared" ref="L5:L40" si="3">IF(A5="","",IF(F5&gt;0.18,"Punainen",IF(F5&gt;0.15,"Keltainen","OK")))</f>
        <v>OK</v>
      </c>
      <c r="M5" s="6" t="str">
        <f t="shared" ref="M5:M40" si="4">IF(A5="","",IF(OR(I5="Punainen",K5="Punainen",L5="Punainen",G5="Myöhässä",H5&gt;=6),"Punainen",IF(OR(I5="Keltainen",J5="Keltainen",K5="Keltainen",L5="Keltainen"),"Keltainen","OK")))</f>
        <v>Keltainen</v>
      </c>
      <c r="N5" s="6" t="str">
        <f t="shared" ref="N5:N40" si="5">IF(A5="","",IF(M5="Punainen","Tarkista ennen ajoon vapautusta",IF(M5="Keltainen","Seuraa / varmista","OK")))</f>
        <v>Seuraa / varmista</v>
      </c>
    </row>
    <row r="6" spans="1:14">
      <c r="A6" s="4" t="s">
        <v>149</v>
      </c>
      <c r="B6" s="4" t="s">
        <v>150</v>
      </c>
      <c r="C6" s="4">
        <v>8</v>
      </c>
      <c r="D6" s="5">
        <v>0.91</v>
      </c>
      <c r="E6" s="5">
        <v>0.16</v>
      </c>
      <c r="F6" s="5">
        <v>0.19</v>
      </c>
      <c r="G6" s="4" t="s">
        <v>162</v>
      </c>
      <c r="H6" s="4">
        <v>4</v>
      </c>
      <c r="I6" s="6" t="str">
        <f t="shared" si="0"/>
        <v>OK</v>
      </c>
      <c r="J6" s="6" t="str">
        <f t="shared" si="1"/>
        <v>OK</v>
      </c>
      <c r="K6" s="6" t="str">
        <f t="shared" si="2"/>
        <v>OK</v>
      </c>
      <c r="L6" s="6" t="str">
        <f t="shared" si="3"/>
        <v>Punainen</v>
      </c>
      <c r="M6" s="6" t="str">
        <f t="shared" si="4"/>
        <v>Punainen</v>
      </c>
      <c r="N6" s="6" t="str">
        <f t="shared" si="5"/>
        <v>Tarkista ennen ajoon vapautusta</v>
      </c>
    </row>
    <row r="7" spans="1:14">
      <c r="A7" s="4" t="s">
        <v>151</v>
      </c>
      <c r="B7" s="4" t="s">
        <v>152</v>
      </c>
      <c r="C7" s="4">
        <v>10.5</v>
      </c>
      <c r="D7" s="5">
        <v>0.72</v>
      </c>
      <c r="E7" s="5">
        <v>0.11</v>
      </c>
      <c r="F7" s="5">
        <v>0.22</v>
      </c>
      <c r="G7" s="4" t="s">
        <v>163</v>
      </c>
      <c r="H7" s="4">
        <v>6</v>
      </c>
      <c r="I7" s="6" t="str">
        <f t="shared" si="0"/>
        <v>Punainen</v>
      </c>
      <c r="J7" s="6" t="str">
        <f t="shared" si="1"/>
        <v>OK</v>
      </c>
      <c r="K7" s="6" t="str">
        <f t="shared" si="2"/>
        <v>Punainen</v>
      </c>
      <c r="L7" s="6" t="str">
        <f t="shared" si="3"/>
        <v>Punainen</v>
      </c>
      <c r="M7" s="6" t="str">
        <f t="shared" si="4"/>
        <v>Punainen</v>
      </c>
      <c r="N7" s="6" t="str">
        <f t="shared" si="5"/>
        <v>Tarkista ennen ajoon vapautusta</v>
      </c>
    </row>
    <row r="8" spans="1:14">
      <c r="A8" s="4"/>
      <c r="B8" s="4"/>
      <c r="C8" s="4"/>
      <c r="D8" s="5"/>
      <c r="E8" s="5"/>
      <c r="F8" s="5"/>
      <c r="G8" s="4"/>
      <c r="H8" s="4"/>
      <c r="I8" s="6" t="str">
        <f t="shared" si="0"/>
        <v/>
      </c>
      <c r="J8" s="6" t="str">
        <f t="shared" si="1"/>
        <v/>
      </c>
      <c r="K8" s="6" t="str">
        <f t="shared" si="2"/>
        <v/>
      </c>
      <c r="L8" s="6" t="str">
        <f t="shared" si="3"/>
        <v/>
      </c>
      <c r="M8" s="6" t="str">
        <f t="shared" si="4"/>
        <v/>
      </c>
      <c r="N8" s="6" t="str">
        <f t="shared" si="5"/>
        <v/>
      </c>
    </row>
    <row r="9" spans="1:14">
      <c r="A9" s="4"/>
      <c r="B9" s="4"/>
      <c r="C9" s="4"/>
      <c r="D9" s="5"/>
      <c r="E9" s="5"/>
      <c r="F9" s="5"/>
      <c r="G9" s="4"/>
      <c r="H9" s="4"/>
      <c r="I9" s="6" t="str">
        <f t="shared" si="0"/>
        <v/>
      </c>
      <c r="J9" s="6" t="str">
        <f t="shared" si="1"/>
        <v/>
      </c>
      <c r="K9" s="6" t="str">
        <f t="shared" si="2"/>
        <v/>
      </c>
      <c r="L9" s="6" t="str">
        <f t="shared" si="3"/>
        <v/>
      </c>
      <c r="M9" s="6" t="str">
        <f t="shared" si="4"/>
        <v/>
      </c>
      <c r="N9" s="6" t="str">
        <f t="shared" si="5"/>
        <v/>
      </c>
    </row>
    <row r="10" spans="1:14">
      <c r="A10" s="4"/>
      <c r="B10" s="4"/>
      <c r="C10" s="4"/>
      <c r="D10" s="5"/>
      <c r="E10" s="5"/>
      <c r="F10" s="5"/>
      <c r="G10" s="4"/>
      <c r="H10" s="4"/>
      <c r="I10" s="6" t="str">
        <f t="shared" si="0"/>
        <v/>
      </c>
      <c r="J10" s="6" t="str">
        <f t="shared" si="1"/>
        <v/>
      </c>
      <c r="K10" s="6" t="str">
        <f t="shared" si="2"/>
        <v/>
      </c>
      <c r="L10" s="6" t="str">
        <f t="shared" si="3"/>
        <v/>
      </c>
      <c r="M10" s="6" t="str">
        <f t="shared" si="4"/>
        <v/>
      </c>
      <c r="N10" s="6" t="str">
        <f t="shared" si="5"/>
        <v/>
      </c>
    </row>
    <row r="11" spans="1:14">
      <c r="A11" s="4"/>
      <c r="B11" s="4"/>
      <c r="C11" s="4"/>
      <c r="D11" s="5"/>
      <c r="E11" s="5"/>
      <c r="F11" s="5"/>
      <c r="G11" s="4"/>
      <c r="H11" s="4"/>
      <c r="I11" s="6" t="str">
        <f t="shared" si="0"/>
        <v/>
      </c>
      <c r="J11" s="6" t="str">
        <f t="shared" si="1"/>
        <v/>
      </c>
      <c r="K11" s="6" t="str">
        <f t="shared" si="2"/>
        <v/>
      </c>
      <c r="L11" s="6" t="str">
        <f t="shared" si="3"/>
        <v/>
      </c>
      <c r="M11" s="6" t="str">
        <f t="shared" si="4"/>
        <v/>
      </c>
      <c r="N11" s="6" t="str">
        <f t="shared" si="5"/>
        <v/>
      </c>
    </row>
    <row r="12" spans="1:14">
      <c r="A12" s="4"/>
      <c r="B12" s="4"/>
      <c r="C12" s="4"/>
      <c r="D12" s="5"/>
      <c r="E12" s="5"/>
      <c r="F12" s="5"/>
      <c r="G12" s="4"/>
      <c r="H12" s="4"/>
      <c r="I12" s="6" t="str">
        <f t="shared" si="0"/>
        <v/>
      </c>
      <c r="J12" s="6" t="str">
        <f t="shared" si="1"/>
        <v/>
      </c>
      <c r="K12" s="6" t="str">
        <f t="shared" si="2"/>
        <v/>
      </c>
      <c r="L12" s="6" t="str">
        <f t="shared" si="3"/>
        <v/>
      </c>
      <c r="M12" s="6" t="str">
        <f t="shared" si="4"/>
        <v/>
      </c>
      <c r="N12" s="6" t="str">
        <f t="shared" si="5"/>
        <v/>
      </c>
    </row>
    <row r="13" spans="1:14">
      <c r="A13" s="4"/>
      <c r="B13" s="4"/>
      <c r="C13" s="4"/>
      <c r="D13" s="5"/>
      <c r="E13" s="5"/>
      <c r="F13" s="5"/>
      <c r="G13" s="4"/>
      <c r="H13" s="4"/>
      <c r="I13" s="6" t="str">
        <f t="shared" si="0"/>
        <v/>
      </c>
      <c r="J13" s="6" t="str">
        <f t="shared" si="1"/>
        <v/>
      </c>
      <c r="K13" s="6" t="str">
        <f t="shared" si="2"/>
        <v/>
      </c>
      <c r="L13" s="6" t="str">
        <f t="shared" si="3"/>
        <v/>
      </c>
      <c r="M13" s="6" t="str">
        <f t="shared" si="4"/>
        <v/>
      </c>
      <c r="N13" s="6" t="str">
        <f t="shared" si="5"/>
        <v/>
      </c>
    </row>
    <row r="14" spans="1:14">
      <c r="A14" s="4"/>
      <c r="B14" s="4"/>
      <c r="C14" s="4"/>
      <c r="D14" s="5"/>
      <c r="E14" s="5"/>
      <c r="F14" s="5"/>
      <c r="G14" s="4"/>
      <c r="H14" s="4"/>
      <c r="I14" s="6" t="str">
        <f t="shared" si="0"/>
        <v/>
      </c>
      <c r="J14" s="6" t="str">
        <f t="shared" si="1"/>
        <v/>
      </c>
      <c r="K14" s="6" t="str">
        <f t="shared" si="2"/>
        <v/>
      </c>
      <c r="L14" s="6" t="str">
        <f t="shared" si="3"/>
        <v/>
      </c>
      <c r="M14" s="6" t="str">
        <f t="shared" si="4"/>
        <v/>
      </c>
      <c r="N14" s="6" t="str">
        <f t="shared" si="5"/>
        <v/>
      </c>
    </row>
    <row r="15" spans="1:14">
      <c r="A15" s="4"/>
      <c r="B15" s="4"/>
      <c r="C15" s="4"/>
      <c r="D15" s="5"/>
      <c r="E15" s="5"/>
      <c r="F15" s="5"/>
      <c r="G15" s="4"/>
      <c r="H15" s="4"/>
      <c r="I15" s="6" t="str">
        <f t="shared" si="0"/>
        <v/>
      </c>
      <c r="J15" s="6" t="str">
        <f t="shared" si="1"/>
        <v/>
      </c>
      <c r="K15" s="6" t="str">
        <f t="shared" si="2"/>
        <v/>
      </c>
      <c r="L15" s="6" t="str">
        <f t="shared" si="3"/>
        <v/>
      </c>
      <c r="M15" s="6" t="str">
        <f t="shared" si="4"/>
        <v/>
      </c>
      <c r="N15" s="6" t="str">
        <f t="shared" si="5"/>
        <v/>
      </c>
    </row>
    <row r="16" spans="1:14">
      <c r="A16" s="4"/>
      <c r="B16" s="4"/>
      <c r="C16" s="4"/>
      <c r="D16" s="5"/>
      <c r="E16" s="5"/>
      <c r="F16" s="5"/>
      <c r="G16" s="4"/>
      <c r="H16" s="4"/>
      <c r="I16" s="6" t="str">
        <f t="shared" si="0"/>
        <v/>
      </c>
      <c r="J16" s="6" t="str">
        <f t="shared" si="1"/>
        <v/>
      </c>
      <c r="K16" s="6" t="str">
        <f t="shared" si="2"/>
        <v/>
      </c>
      <c r="L16" s="6" t="str">
        <f t="shared" si="3"/>
        <v/>
      </c>
      <c r="M16" s="6" t="str">
        <f t="shared" si="4"/>
        <v/>
      </c>
      <c r="N16" s="6" t="str">
        <f t="shared" si="5"/>
        <v/>
      </c>
    </row>
    <row r="17" spans="1:14">
      <c r="A17" s="4"/>
      <c r="B17" s="4"/>
      <c r="C17" s="4"/>
      <c r="D17" s="5"/>
      <c r="E17" s="5"/>
      <c r="F17" s="5"/>
      <c r="G17" s="4"/>
      <c r="H17" s="4"/>
      <c r="I17" s="6" t="str">
        <f t="shared" si="0"/>
        <v/>
      </c>
      <c r="J17" s="6" t="str">
        <f t="shared" si="1"/>
        <v/>
      </c>
      <c r="K17" s="6" t="str">
        <f t="shared" si="2"/>
        <v/>
      </c>
      <c r="L17" s="6" t="str">
        <f t="shared" si="3"/>
        <v/>
      </c>
      <c r="M17" s="6" t="str">
        <f t="shared" si="4"/>
        <v/>
      </c>
      <c r="N17" s="6" t="str">
        <f t="shared" si="5"/>
        <v/>
      </c>
    </row>
    <row r="18" spans="1:14">
      <c r="A18" s="4"/>
      <c r="B18" s="4"/>
      <c r="C18" s="4"/>
      <c r="D18" s="5"/>
      <c r="E18" s="5"/>
      <c r="F18" s="5"/>
      <c r="G18" s="4"/>
      <c r="H18" s="4"/>
      <c r="I18" s="6" t="str">
        <f t="shared" si="0"/>
        <v/>
      </c>
      <c r="J18" s="6" t="str">
        <f t="shared" si="1"/>
        <v/>
      </c>
      <c r="K18" s="6" t="str">
        <f t="shared" si="2"/>
        <v/>
      </c>
      <c r="L18" s="6" t="str">
        <f t="shared" si="3"/>
        <v/>
      </c>
      <c r="M18" s="6" t="str">
        <f t="shared" si="4"/>
        <v/>
      </c>
      <c r="N18" s="6" t="str">
        <f t="shared" si="5"/>
        <v/>
      </c>
    </row>
    <row r="19" spans="1:14">
      <c r="A19" s="4"/>
      <c r="B19" s="4"/>
      <c r="C19" s="4"/>
      <c r="D19" s="5"/>
      <c r="E19" s="5"/>
      <c r="F19" s="5"/>
      <c r="G19" s="4"/>
      <c r="H19" s="4"/>
      <c r="I19" s="6" t="str">
        <f t="shared" si="0"/>
        <v/>
      </c>
      <c r="J19" s="6" t="str">
        <f t="shared" si="1"/>
        <v/>
      </c>
      <c r="K19" s="6" t="str">
        <f t="shared" si="2"/>
        <v/>
      </c>
      <c r="L19" s="6" t="str">
        <f t="shared" si="3"/>
        <v/>
      </c>
      <c r="M19" s="6" t="str">
        <f t="shared" si="4"/>
        <v/>
      </c>
      <c r="N19" s="6" t="str">
        <f t="shared" si="5"/>
        <v/>
      </c>
    </row>
    <row r="20" spans="1:14">
      <c r="A20" s="4"/>
      <c r="B20" s="4"/>
      <c r="C20" s="4"/>
      <c r="D20" s="5"/>
      <c r="E20" s="5"/>
      <c r="F20" s="5"/>
      <c r="G20" s="4"/>
      <c r="H20" s="4"/>
      <c r="I20" s="6" t="str">
        <f t="shared" si="0"/>
        <v/>
      </c>
      <c r="J20" s="6" t="str">
        <f t="shared" si="1"/>
        <v/>
      </c>
      <c r="K20" s="6" t="str">
        <f t="shared" si="2"/>
        <v/>
      </c>
      <c r="L20" s="6" t="str">
        <f t="shared" si="3"/>
        <v/>
      </c>
      <c r="M20" s="6" t="str">
        <f t="shared" si="4"/>
        <v/>
      </c>
      <c r="N20" s="6" t="str">
        <f t="shared" si="5"/>
        <v/>
      </c>
    </row>
    <row r="21" spans="1:14">
      <c r="A21" s="4"/>
      <c r="B21" s="4"/>
      <c r="C21" s="4"/>
      <c r="D21" s="5"/>
      <c r="E21" s="5"/>
      <c r="F21" s="5"/>
      <c r="G21" s="4"/>
      <c r="H21" s="4"/>
      <c r="I21" s="6" t="str">
        <f t="shared" si="0"/>
        <v/>
      </c>
      <c r="J21" s="6" t="str">
        <f t="shared" si="1"/>
        <v/>
      </c>
      <c r="K21" s="6" t="str">
        <f t="shared" si="2"/>
        <v/>
      </c>
      <c r="L21" s="6" t="str">
        <f t="shared" si="3"/>
        <v/>
      </c>
      <c r="M21" s="6" t="str">
        <f t="shared" si="4"/>
        <v/>
      </c>
      <c r="N21" s="6" t="str">
        <f t="shared" si="5"/>
        <v/>
      </c>
    </row>
    <row r="22" spans="1:14">
      <c r="A22" s="4"/>
      <c r="B22" s="4"/>
      <c r="C22" s="4"/>
      <c r="D22" s="5"/>
      <c r="E22" s="5"/>
      <c r="F22" s="5"/>
      <c r="G22" s="4"/>
      <c r="H22" s="4"/>
      <c r="I22" s="6" t="str">
        <f t="shared" si="0"/>
        <v/>
      </c>
      <c r="J22" s="6" t="str">
        <f t="shared" si="1"/>
        <v/>
      </c>
      <c r="K22" s="6" t="str">
        <f t="shared" si="2"/>
        <v/>
      </c>
      <c r="L22" s="6" t="str">
        <f t="shared" si="3"/>
        <v/>
      </c>
      <c r="M22" s="6" t="str">
        <f t="shared" si="4"/>
        <v/>
      </c>
      <c r="N22" s="6" t="str">
        <f t="shared" si="5"/>
        <v/>
      </c>
    </row>
    <row r="23" spans="1:14">
      <c r="A23" s="4"/>
      <c r="B23" s="4"/>
      <c r="C23" s="4"/>
      <c r="D23" s="5"/>
      <c r="E23" s="5"/>
      <c r="F23" s="5"/>
      <c r="G23" s="4"/>
      <c r="H23" s="4"/>
      <c r="I23" s="6" t="str">
        <f t="shared" si="0"/>
        <v/>
      </c>
      <c r="J23" s="6" t="str">
        <f t="shared" si="1"/>
        <v/>
      </c>
      <c r="K23" s="6" t="str">
        <f t="shared" si="2"/>
        <v/>
      </c>
      <c r="L23" s="6" t="str">
        <f t="shared" si="3"/>
        <v/>
      </c>
      <c r="M23" s="6" t="str">
        <f t="shared" si="4"/>
        <v/>
      </c>
      <c r="N23" s="6" t="str">
        <f t="shared" si="5"/>
        <v/>
      </c>
    </row>
    <row r="24" spans="1:14">
      <c r="A24" s="4"/>
      <c r="B24" s="4"/>
      <c r="C24" s="4"/>
      <c r="D24" s="5"/>
      <c r="E24" s="5"/>
      <c r="F24" s="5"/>
      <c r="G24" s="4"/>
      <c r="H24" s="4"/>
      <c r="I24" s="6" t="str">
        <f t="shared" si="0"/>
        <v/>
      </c>
      <c r="J24" s="6" t="str">
        <f t="shared" si="1"/>
        <v/>
      </c>
      <c r="K24" s="6" t="str">
        <f t="shared" si="2"/>
        <v/>
      </c>
      <c r="L24" s="6" t="str">
        <f t="shared" si="3"/>
        <v/>
      </c>
      <c r="M24" s="6" t="str">
        <f t="shared" si="4"/>
        <v/>
      </c>
      <c r="N24" s="6" t="str">
        <f t="shared" si="5"/>
        <v/>
      </c>
    </row>
    <row r="25" spans="1:14">
      <c r="A25" s="4"/>
      <c r="B25" s="4"/>
      <c r="C25" s="4"/>
      <c r="D25" s="5"/>
      <c r="E25" s="5"/>
      <c r="F25" s="5"/>
      <c r="G25" s="4"/>
      <c r="H25" s="4"/>
      <c r="I25" s="6" t="str">
        <f t="shared" si="0"/>
        <v/>
      </c>
      <c r="J25" s="6" t="str">
        <f t="shared" si="1"/>
        <v/>
      </c>
      <c r="K25" s="6" t="str">
        <f t="shared" si="2"/>
        <v/>
      </c>
      <c r="L25" s="6" t="str">
        <f t="shared" si="3"/>
        <v/>
      </c>
      <c r="M25" s="6" t="str">
        <f t="shared" si="4"/>
        <v/>
      </c>
      <c r="N25" s="6" t="str">
        <f t="shared" si="5"/>
        <v/>
      </c>
    </row>
    <row r="26" spans="1:14">
      <c r="A26" s="4"/>
      <c r="B26" s="4"/>
      <c r="C26" s="4"/>
      <c r="D26" s="5"/>
      <c r="E26" s="5"/>
      <c r="F26" s="5"/>
      <c r="G26" s="4"/>
      <c r="H26" s="4"/>
      <c r="I26" s="6" t="str">
        <f t="shared" si="0"/>
        <v/>
      </c>
      <c r="J26" s="6" t="str">
        <f t="shared" si="1"/>
        <v/>
      </c>
      <c r="K26" s="6" t="str">
        <f t="shared" si="2"/>
        <v/>
      </c>
      <c r="L26" s="6" t="str">
        <f t="shared" si="3"/>
        <v/>
      </c>
      <c r="M26" s="6" t="str">
        <f t="shared" si="4"/>
        <v/>
      </c>
      <c r="N26" s="6" t="str">
        <f t="shared" si="5"/>
        <v/>
      </c>
    </row>
    <row r="27" spans="1:14">
      <c r="A27" s="4"/>
      <c r="B27" s="4"/>
      <c r="C27" s="4"/>
      <c r="D27" s="5"/>
      <c r="E27" s="5"/>
      <c r="F27" s="5"/>
      <c r="G27" s="4"/>
      <c r="H27" s="4"/>
      <c r="I27" s="6" t="str">
        <f t="shared" si="0"/>
        <v/>
      </c>
      <c r="J27" s="6" t="str">
        <f t="shared" si="1"/>
        <v/>
      </c>
      <c r="K27" s="6" t="str">
        <f t="shared" si="2"/>
        <v/>
      </c>
      <c r="L27" s="6" t="str">
        <f t="shared" si="3"/>
        <v/>
      </c>
      <c r="M27" s="6" t="str">
        <f t="shared" si="4"/>
        <v/>
      </c>
      <c r="N27" s="6" t="str">
        <f t="shared" si="5"/>
        <v/>
      </c>
    </row>
    <row r="28" spans="1:14">
      <c r="A28" s="4"/>
      <c r="B28" s="4"/>
      <c r="C28" s="4"/>
      <c r="D28" s="5"/>
      <c r="E28" s="5"/>
      <c r="F28" s="5"/>
      <c r="G28" s="4"/>
      <c r="H28" s="4"/>
      <c r="I28" s="6" t="str">
        <f t="shared" si="0"/>
        <v/>
      </c>
      <c r="J28" s="6" t="str">
        <f t="shared" si="1"/>
        <v/>
      </c>
      <c r="K28" s="6" t="str">
        <f t="shared" si="2"/>
        <v/>
      </c>
      <c r="L28" s="6" t="str">
        <f t="shared" si="3"/>
        <v/>
      </c>
      <c r="M28" s="6" t="str">
        <f t="shared" si="4"/>
        <v/>
      </c>
      <c r="N28" s="6" t="str">
        <f t="shared" si="5"/>
        <v/>
      </c>
    </row>
    <row r="29" spans="1:14">
      <c r="A29" s="4"/>
      <c r="B29" s="4"/>
      <c r="C29" s="4"/>
      <c r="D29" s="5"/>
      <c r="E29" s="5"/>
      <c r="F29" s="5"/>
      <c r="G29" s="4"/>
      <c r="H29" s="4"/>
      <c r="I29" s="6" t="str">
        <f t="shared" si="0"/>
        <v/>
      </c>
      <c r="J29" s="6" t="str">
        <f t="shared" si="1"/>
        <v/>
      </c>
      <c r="K29" s="6" t="str">
        <f t="shared" si="2"/>
        <v/>
      </c>
      <c r="L29" s="6" t="str">
        <f t="shared" si="3"/>
        <v/>
      </c>
      <c r="M29" s="6" t="str">
        <f t="shared" si="4"/>
        <v/>
      </c>
      <c r="N29" s="6" t="str">
        <f t="shared" si="5"/>
        <v/>
      </c>
    </row>
    <row r="30" spans="1:14">
      <c r="A30" s="4"/>
      <c r="B30" s="4"/>
      <c r="C30" s="4"/>
      <c r="D30" s="5"/>
      <c r="E30" s="5"/>
      <c r="F30" s="5"/>
      <c r="G30" s="4"/>
      <c r="H30" s="4"/>
      <c r="I30" s="6" t="str">
        <f t="shared" si="0"/>
        <v/>
      </c>
      <c r="J30" s="6" t="str">
        <f t="shared" si="1"/>
        <v/>
      </c>
      <c r="K30" s="6" t="str">
        <f t="shared" si="2"/>
        <v/>
      </c>
      <c r="L30" s="6" t="str">
        <f t="shared" si="3"/>
        <v/>
      </c>
      <c r="M30" s="6" t="str">
        <f t="shared" si="4"/>
        <v/>
      </c>
      <c r="N30" s="6" t="str">
        <f t="shared" si="5"/>
        <v/>
      </c>
    </row>
    <row r="31" spans="1:14">
      <c r="A31" s="4"/>
      <c r="B31" s="4"/>
      <c r="C31" s="4"/>
      <c r="D31" s="5"/>
      <c r="E31" s="5"/>
      <c r="F31" s="5"/>
      <c r="G31" s="4"/>
      <c r="H31" s="4"/>
      <c r="I31" s="6" t="str">
        <f t="shared" si="0"/>
        <v/>
      </c>
      <c r="J31" s="6" t="str">
        <f t="shared" si="1"/>
        <v/>
      </c>
      <c r="K31" s="6" t="str">
        <f t="shared" si="2"/>
        <v/>
      </c>
      <c r="L31" s="6" t="str">
        <f t="shared" si="3"/>
        <v/>
      </c>
      <c r="M31" s="6" t="str">
        <f t="shared" si="4"/>
        <v/>
      </c>
      <c r="N31" s="6" t="str">
        <f t="shared" si="5"/>
        <v/>
      </c>
    </row>
    <row r="32" spans="1:14">
      <c r="A32" s="4"/>
      <c r="B32" s="4"/>
      <c r="C32" s="4"/>
      <c r="D32" s="5"/>
      <c r="E32" s="5"/>
      <c r="F32" s="5"/>
      <c r="G32" s="4"/>
      <c r="H32" s="4"/>
      <c r="I32" s="6" t="str">
        <f t="shared" si="0"/>
        <v/>
      </c>
      <c r="J32" s="6" t="str">
        <f t="shared" si="1"/>
        <v/>
      </c>
      <c r="K32" s="6" t="str">
        <f t="shared" si="2"/>
        <v/>
      </c>
      <c r="L32" s="6" t="str">
        <f t="shared" si="3"/>
        <v/>
      </c>
      <c r="M32" s="6" t="str">
        <f t="shared" si="4"/>
        <v/>
      </c>
      <c r="N32" s="6" t="str">
        <f t="shared" si="5"/>
        <v/>
      </c>
    </row>
    <row r="33" spans="1:14">
      <c r="A33" s="4"/>
      <c r="B33" s="4"/>
      <c r="C33" s="4"/>
      <c r="D33" s="5"/>
      <c r="E33" s="5"/>
      <c r="F33" s="5"/>
      <c r="G33" s="4"/>
      <c r="H33" s="4"/>
      <c r="I33" s="6" t="str">
        <f t="shared" si="0"/>
        <v/>
      </c>
      <c r="J33" s="6" t="str">
        <f t="shared" si="1"/>
        <v/>
      </c>
      <c r="K33" s="6" t="str">
        <f t="shared" si="2"/>
        <v/>
      </c>
      <c r="L33" s="6" t="str">
        <f t="shared" si="3"/>
        <v/>
      </c>
      <c r="M33" s="6" t="str">
        <f t="shared" si="4"/>
        <v/>
      </c>
      <c r="N33" s="6" t="str">
        <f t="shared" si="5"/>
        <v/>
      </c>
    </row>
    <row r="34" spans="1:14">
      <c r="A34" s="4"/>
      <c r="B34" s="4"/>
      <c r="C34" s="4"/>
      <c r="D34" s="5"/>
      <c r="E34" s="5"/>
      <c r="F34" s="5"/>
      <c r="G34" s="4"/>
      <c r="H34" s="4"/>
      <c r="I34" s="6" t="str">
        <f t="shared" si="0"/>
        <v/>
      </c>
      <c r="J34" s="6" t="str">
        <f t="shared" si="1"/>
        <v/>
      </c>
      <c r="K34" s="6" t="str">
        <f t="shared" si="2"/>
        <v/>
      </c>
      <c r="L34" s="6" t="str">
        <f t="shared" si="3"/>
        <v/>
      </c>
      <c r="M34" s="6" t="str">
        <f t="shared" si="4"/>
        <v/>
      </c>
      <c r="N34" s="6" t="str">
        <f t="shared" si="5"/>
        <v/>
      </c>
    </row>
    <row r="35" spans="1:14">
      <c r="A35" s="4"/>
      <c r="B35" s="4"/>
      <c r="C35" s="4"/>
      <c r="D35" s="5"/>
      <c r="E35" s="5"/>
      <c r="F35" s="5"/>
      <c r="G35" s="4"/>
      <c r="H35" s="4"/>
      <c r="I35" s="6" t="str">
        <f t="shared" si="0"/>
        <v/>
      </c>
      <c r="J35" s="6" t="str">
        <f t="shared" si="1"/>
        <v/>
      </c>
      <c r="K35" s="6" t="str">
        <f t="shared" si="2"/>
        <v/>
      </c>
      <c r="L35" s="6" t="str">
        <f t="shared" si="3"/>
        <v/>
      </c>
      <c r="M35" s="6" t="str">
        <f t="shared" si="4"/>
        <v/>
      </c>
      <c r="N35" s="6" t="str">
        <f t="shared" si="5"/>
        <v/>
      </c>
    </row>
    <row r="36" spans="1:14">
      <c r="A36" s="4"/>
      <c r="B36" s="4"/>
      <c r="C36" s="4"/>
      <c r="D36" s="5"/>
      <c r="E36" s="5"/>
      <c r="F36" s="5"/>
      <c r="G36" s="4"/>
      <c r="H36" s="4"/>
      <c r="I36" s="6" t="str">
        <f t="shared" si="0"/>
        <v/>
      </c>
      <c r="J36" s="6" t="str">
        <f t="shared" si="1"/>
        <v/>
      </c>
      <c r="K36" s="6" t="str">
        <f t="shared" si="2"/>
        <v/>
      </c>
      <c r="L36" s="6" t="str">
        <f t="shared" si="3"/>
        <v/>
      </c>
      <c r="M36" s="6" t="str">
        <f t="shared" si="4"/>
        <v/>
      </c>
      <c r="N36" s="6" t="str">
        <f t="shared" si="5"/>
        <v/>
      </c>
    </row>
    <row r="37" spans="1:14">
      <c r="A37" s="4"/>
      <c r="B37" s="4"/>
      <c r="C37" s="4"/>
      <c r="D37" s="5"/>
      <c r="E37" s="5"/>
      <c r="F37" s="5"/>
      <c r="G37" s="4"/>
      <c r="H37" s="4"/>
      <c r="I37" s="6" t="str">
        <f t="shared" si="0"/>
        <v/>
      </c>
      <c r="J37" s="6" t="str">
        <f t="shared" si="1"/>
        <v/>
      </c>
      <c r="K37" s="6" t="str">
        <f t="shared" si="2"/>
        <v/>
      </c>
      <c r="L37" s="6" t="str">
        <f t="shared" si="3"/>
        <v/>
      </c>
      <c r="M37" s="6" t="str">
        <f t="shared" si="4"/>
        <v/>
      </c>
      <c r="N37" s="6" t="str">
        <f t="shared" si="5"/>
        <v/>
      </c>
    </row>
    <row r="38" spans="1:14">
      <c r="A38" s="4"/>
      <c r="B38" s="4"/>
      <c r="C38" s="4"/>
      <c r="D38" s="5"/>
      <c r="E38" s="5"/>
      <c r="F38" s="5"/>
      <c r="G38" s="4"/>
      <c r="H38" s="4"/>
      <c r="I38" s="6" t="str">
        <f t="shared" si="0"/>
        <v/>
      </c>
      <c r="J38" s="6" t="str">
        <f t="shared" si="1"/>
        <v/>
      </c>
      <c r="K38" s="6" t="str">
        <f t="shared" si="2"/>
        <v/>
      </c>
      <c r="L38" s="6" t="str">
        <f t="shared" si="3"/>
        <v/>
      </c>
      <c r="M38" s="6" t="str">
        <f t="shared" si="4"/>
        <v/>
      </c>
      <c r="N38" s="6" t="str">
        <f t="shared" si="5"/>
        <v/>
      </c>
    </row>
    <row r="39" spans="1:14">
      <c r="A39" s="4"/>
      <c r="B39" s="4"/>
      <c r="C39" s="4"/>
      <c r="D39" s="5"/>
      <c r="E39" s="5"/>
      <c r="F39" s="5"/>
      <c r="G39" s="4"/>
      <c r="H39" s="4"/>
      <c r="I39" s="6" t="str">
        <f t="shared" si="0"/>
        <v/>
      </c>
      <c r="J39" s="6" t="str">
        <f t="shared" si="1"/>
        <v/>
      </c>
      <c r="K39" s="6" t="str">
        <f t="shared" si="2"/>
        <v/>
      </c>
      <c r="L39" s="6" t="str">
        <f t="shared" si="3"/>
        <v/>
      </c>
      <c r="M39" s="6" t="str">
        <f t="shared" si="4"/>
        <v/>
      </c>
      <c r="N39" s="6" t="str">
        <f t="shared" si="5"/>
        <v/>
      </c>
    </row>
    <row r="40" spans="1:14">
      <c r="A40" s="4"/>
      <c r="B40" s="4"/>
      <c r="C40" s="4"/>
      <c r="D40" s="5"/>
      <c r="E40" s="5"/>
      <c r="F40" s="5"/>
      <c r="G40" s="4"/>
      <c r="H40" s="4"/>
      <c r="I40" s="6" t="str">
        <f t="shared" si="0"/>
        <v/>
      </c>
      <c r="J40" s="6" t="str">
        <f t="shared" si="1"/>
        <v/>
      </c>
      <c r="K40" s="6" t="str">
        <f t="shared" si="2"/>
        <v/>
      </c>
      <c r="L40" s="6" t="str">
        <f t="shared" si="3"/>
        <v/>
      </c>
      <c r="M40" s="6" t="str">
        <f t="shared" si="4"/>
        <v/>
      </c>
      <c r="N40" s="6" t="str">
        <f t="shared" si="5"/>
        <v/>
      </c>
    </row>
  </sheetData>
  <conditionalFormatting sqref="M5:M40">
    <cfRule type="expression" dxfId="8" priority="1">
      <formula>M5="Punainen"</formula>
    </cfRule>
    <cfRule type="expression" dxfId="7" priority="2">
      <formula>M5="Keltainen"</formula>
    </cfRule>
    <cfRule type="expression" dxfId="6" priority="3">
      <formula>M5="OK"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40"/>
  <sheetViews>
    <sheetView workbookViewId="0">
      <selection sqref="A1:B1"/>
    </sheetView>
  </sheetViews>
  <sheetFormatPr defaultRowHeight="13.8"/>
  <cols>
    <col min="1" max="1" width="23.19921875" customWidth="1"/>
    <col min="2" max="2" width="14" customWidth="1"/>
    <col min="3" max="9" width="16" customWidth="1"/>
    <col min="10" max="10" width="18" customWidth="1"/>
    <col min="11" max="11" width="16" customWidth="1"/>
    <col min="12" max="12" width="24" customWidth="1"/>
  </cols>
  <sheetData>
    <row r="1" spans="1:14" ht="37.049999999999997" customHeight="1">
      <c r="A1" s="22" t="s">
        <v>164</v>
      </c>
      <c r="B1" s="23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4" ht="26.4">
      <c r="A2" s="2" t="s">
        <v>165</v>
      </c>
    </row>
    <row r="4" spans="1:14">
      <c r="A4" s="3" t="s">
        <v>166</v>
      </c>
      <c r="B4" s="3" t="s">
        <v>35</v>
      </c>
      <c r="C4" s="3" t="s">
        <v>167</v>
      </c>
      <c r="D4" s="3" t="s">
        <v>168</v>
      </c>
      <c r="E4" s="3" t="s">
        <v>169</v>
      </c>
      <c r="F4" s="3" t="s">
        <v>170</v>
      </c>
      <c r="G4" s="3" t="s">
        <v>171</v>
      </c>
      <c r="H4" s="3" t="s">
        <v>40</v>
      </c>
      <c r="I4" s="3" t="s">
        <v>172</v>
      </c>
      <c r="J4" s="3" t="s">
        <v>155</v>
      </c>
      <c r="K4" s="3" t="s">
        <v>105</v>
      </c>
      <c r="L4" s="3" t="s">
        <v>12</v>
      </c>
    </row>
    <row r="5" spans="1:14">
      <c r="A5" s="4" t="s">
        <v>173</v>
      </c>
      <c r="B5" s="4">
        <v>680</v>
      </c>
      <c r="C5" s="4">
        <v>600</v>
      </c>
      <c r="D5" s="4">
        <v>80</v>
      </c>
      <c r="E5" s="17">
        <v>1380</v>
      </c>
      <c r="F5" s="17">
        <v>1120</v>
      </c>
      <c r="G5" s="18">
        <f t="shared" ref="G5:G39" si="0">IF(A5="","",E5-F5)</f>
        <v>260</v>
      </c>
      <c r="H5" s="7">
        <f t="shared" ref="H5:H39" si="1">IF(E5=0,"",G5/E5)</f>
        <v>0.18840579710144928</v>
      </c>
      <c r="I5" s="18">
        <f t="shared" ref="I5:I39" si="2">IF(C5=0,"",E5/C5)</f>
        <v>2.2999999999999998</v>
      </c>
      <c r="J5" s="7">
        <f t="shared" ref="J5:J39" si="3">IF(B5=0,"",D5/B5)</f>
        <v>0.11764705882352941</v>
      </c>
      <c r="K5" s="6" t="str">
        <f t="shared" ref="K5:K39" si="4">IF(A5="","",IF(H5&lt;0.12,"Punainen",IF(J5&gt;0.18,"Keltainen","OK")))</f>
        <v>OK</v>
      </c>
    </row>
    <row r="6" spans="1:14">
      <c r="A6" s="4" t="s">
        <v>174</v>
      </c>
      <c r="B6" s="4">
        <v>330</v>
      </c>
      <c r="C6" s="4">
        <v>290</v>
      </c>
      <c r="D6" s="4">
        <v>40</v>
      </c>
      <c r="E6" s="17">
        <v>850</v>
      </c>
      <c r="F6" s="17">
        <v>680</v>
      </c>
      <c r="G6" s="18">
        <f t="shared" si="0"/>
        <v>170</v>
      </c>
      <c r="H6" s="7">
        <f t="shared" si="1"/>
        <v>0.2</v>
      </c>
      <c r="I6" s="18">
        <f t="shared" si="2"/>
        <v>2.9310344827586206</v>
      </c>
      <c r="J6" s="7">
        <f t="shared" si="3"/>
        <v>0.12121212121212122</v>
      </c>
      <c r="K6" s="6" t="str">
        <f t="shared" si="4"/>
        <v>OK</v>
      </c>
    </row>
    <row r="7" spans="1:14">
      <c r="A7" s="4" t="s">
        <v>175</v>
      </c>
      <c r="B7" s="4">
        <v>480</v>
      </c>
      <c r="C7" s="4">
        <v>420</v>
      </c>
      <c r="D7" s="4">
        <v>60</v>
      </c>
      <c r="E7" s="17">
        <v>1180</v>
      </c>
      <c r="F7" s="17">
        <v>980</v>
      </c>
      <c r="G7" s="18">
        <f t="shared" si="0"/>
        <v>200</v>
      </c>
      <c r="H7" s="7">
        <f t="shared" si="1"/>
        <v>0.16949152542372881</v>
      </c>
      <c r="I7" s="18">
        <f t="shared" si="2"/>
        <v>2.8095238095238093</v>
      </c>
      <c r="J7" s="7">
        <f t="shared" si="3"/>
        <v>0.125</v>
      </c>
      <c r="K7" s="6" t="str">
        <f t="shared" si="4"/>
        <v>OK</v>
      </c>
    </row>
    <row r="8" spans="1:14">
      <c r="A8" s="4"/>
      <c r="B8" s="4"/>
      <c r="C8" s="4"/>
      <c r="D8" s="4"/>
      <c r="E8" s="17"/>
      <c r="F8" s="17"/>
      <c r="G8" s="18" t="str">
        <f t="shared" si="0"/>
        <v/>
      </c>
      <c r="H8" s="7" t="str">
        <f t="shared" si="1"/>
        <v/>
      </c>
      <c r="I8" s="18" t="str">
        <f t="shared" si="2"/>
        <v/>
      </c>
      <c r="J8" s="7" t="str">
        <f t="shared" si="3"/>
        <v/>
      </c>
      <c r="K8" s="6" t="str">
        <f t="shared" si="4"/>
        <v/>
      </c>
    </row>
    <row r="9" spans="1:14">
      <c r="A9" s="4"/>
      <c r="B9" s="4"/>
      <c r="C9" s="4"/>
      <c r="D9" s="4"/>
      <c r="E9" s="17"/>
      <c r="F9" s="17"/>
      <c r="G9" s="18" t="str">
        <f t="shared" si="0"/>
        <v/>
      </c>
      <c r="H9" s="7" t="str">
        <f t="shared" si="1"/>
        <v/>
      </c>
      <c r="I9" s="18" t="str">
        <f t="shared" si="2"/>
        <v/>
      </c>
      <c r="J9" s="7" t="str">
        <f t="shared" si="3"/>
        <v/>
      </c>
      <c r="K9" s="6" t="str">
        <f t="shared" si="4"/>
        <v/>
      </c>
    </row>
    <row r="10" spans="1:14">
      <c r="A10" s="4"/>
      <c r="B10" s="4"/>
      <c r="C10" s="4"/>
      <c r="D10" s="4"/>
      <c r="E10" s="17"/>
      <c r="F10" s="17"/>
      <c r="G10" s="18" t="str">
        <f t="shared" si="0"/>
        <v/>
      </c>
      <c r="H10" s="7" t="str">
        <f t="shared" si="1"/>
        <v/>
      </c>
      <c r="I10" s="18" t="str">
        <f t="shared" si="2"/>
        <v/>
      </c>
      <c r="J10" s="7" t="str">
        <f t="shared" si="3"/>
        <v/>
      </c>
      <c r="K10" s="6" t="str">
        <f t="shared" si="4"/>
        <v/>
      </c>
    </row>
    <row r="11" spans="1:14">
      <c r="A11" s="4"/>
      <c r="B11" s="4"/>
      <c r="C11" s="4"/>
      <c r="D11" s="4"/>
      <c r="E11" s="17"/>
      <c r="F11" s="17"/>
      <c r="G11" s="18" t="str">
        <f t="shared" si="0"/>
        <v/>
      </c>
      <c r="H11" s="7" t="str">
        <f t="shared" si="1"/>
        <v/>
      </c>
      <c r="I11" s="18" t="str">
        <f t="shared" si="2"/>
        <v/>
      </c>
      <c r="J11" s="7" t="str">
        <f t="shared" si="3"/>
        <v/>
      </c>
      <c r="K11" s="6" t="str">
        <f t="shared" si="4"/>
        <v/>
      </c>
    </row>
    <row r="12" spans="1:14">
      <c r="A12" s="4"/>
      <c r="B12" s="4"/>
      <c r="C12" s="4"/>
      <c r="D12" s="4"/>
      <c r="E12" s="17"/>
      <c r="F12" s="17"/>
      <c r="G12" s="18" t="str">
        <f t="shared" si="0"/>
        <v/>
      </c>
      <c r="H12" s="7" t="str">
        <f t="shared" si="1"/>
        <v/>
      </c>
      <c r="I12" s="18" t="str">
        <f t="shared" si="2"/>
        <v/>
      </c>
      <c r="J12" s="7" t="str">
        <f t="shared" si="3"/>
        <v/>
      </c>
      <c r="K12" s="6" t="str">
        <f t="shared" si="4"/>
        <v/>
      </c>
    </row>
    <row r="13" spans="1:14">
      <c r="A13" s="4"/>
      <c r="B13" s="4"/>
      <c r="C13" s="4"/>
      <c r="D13" s="4"/>
      <c r="E13" s="17"/>
      <c r="F13" s="17"/>
      <c r="G13" s="18" t="str">
        <f t="shared" si="0"/>
        <v/>
      </c>
      <c r="H13" s="7" t="str">
        <f t="shared" si="1"/>
        <v/>
      </c>
      <c r="I13" s="18" t="str">
        <f t="shared" si="2"/>
        <v/>
      </c>
      <c r="J13" s="7" t="str">
        <f t="shared" si="3"/>
        <v/>
      </c>
      <c r="K13" s="6" t="str">
        <f t="shared" si="4"/>
        <v/>
      </c>
    </row>
    <row r="14" spans="1:14">
      <c r="A14" s="4"/>
      <c r="B14" s="4"/>
      <c r="C14" s="4"/>
      <c r="D14" s="4"/>
      <c r="E14" s="17"/>
      <c r="F14" s="17"/>
      <c r="G14" s="18" t="str">
        <f t="shared" si="0"/>
        <v/>
      </c>
      <c r="H14" s="7" t="str">
        <f t="shared" si="1"/>
        <v/>
      </c>
      <c r="I14" s="18" t="str">
        <f t="shared" si="2"/>
        <v/>
      </c>
      <c r="J14" s="7" t="str">
        <f t="shared" si="3"/>
        <v/>
      </c>
      <c r="K14" s="6" t="str">
        <f t="shared" si="4"/>
        <v/>
      </c>
    </row>
    <row r="15" spans="1:14">
      <c r="A15" s="4"/>
      <c r="B15" s="4"/>
      <c r="C15" s="4"/>
      <c r="D15" s="4"/>
      <c r="E15" s="17"/>
      <c r="F15" s="17"/>
      <c r="G15" s="18" t="str">
        <f t="shared" si="0"/>
        <v/>
      </c>
      <c r="H15" s="7" t="str">
        <f t="shared" si="1"/>
        <v/>
      </c>
      <c r="I15" s="18" t="str">
        <f t="shared" si="2"/>
        <v/>
      </c>
      <c r="J15" s="7" t="str">
        <f t="shared" si="3"/>
        <v/>
      </c>
      <c r="K15" s="6" t="str">
        <f t="shared" si="4"/>
        <v/>
      </c>
    </row>
    <row r="16" spans="1:14">
      <c r="A16" s="4"/>
      <c r="B16" s="4"/>
      <c r="C16" s="4"/>
      <c r="D16" s="4"/>
      <c r="E16" s="17"/>
      <c r="F16" s="17"/>
      <c r="G16" s="18" t="str">
        <f t="shared" si="0"/>
        <v/>
      </c>
      <c r="H16" s="7" t="str">
        <f t="shared" si="1"/>
        <v/>
      </c>
      <c r="I16" s="18" t="str">
        <f t="shared" si="2"/>
        <v/>
      </c>
      <c r="J16" s="7" t="str">
        <f t="shared" si="3"/>
        <v/>
      </c>
      <c r="K16" s="6" t="str">
        <f t="shared" si="4"/>
        <v/>
      </c>
    </row>
    <row r="17" spans="1:11">
      <c r="A17" s="4"/>
      <c r="B17" s="4"/>
      <c r="C17" s="4"/>
      <c r="D17" s="4"/>
      <c r="E17" s="17"/>
      <c r="F17" s="17"/>
      <c r="G17" s="18" t="str">
        <f t="shared" si="0"/>
        <v/>
      </c>
      <c r="H17" s="7" t="str">
        <f t="shared" si="1"/>
        <v/>
      </c>
      <c r="I17" s="18" t="str">
        <f t="shared" si="2"/>
        <v/>
      </c>
      <c r="J17" s="7" t="str">
        <f t="shared" si="3"/>
        <v/>
      </c>
      <c r="K17" s="6" t="str">
        <f t="shared" si="4"/>
        <v/>
      </c>
    </row>
    <row r="18" spans="1:11">
      <c r="A18" s="4"/>
      <c r="B18" s="4"/>
      <c r="C18" s="4"/>
      <c r="D18" s="4"/>
      <c r="E18" s="17"/>
      <c r="F18" s="17"/>
      <c r="G18" s="18" t="str">
        <f t="shared" si="0"/>
        <v/>
      </c>
      <c r="H18" s="7" t="str">
        <f t="shared" si="1"/>
        <v/>
      </c>
      <c r="I18" s="18" t="str">
        <f t="shared" si="2"/>
        <v/>
      </c>
      <c r="J18" s="7" t="str">
        <f t="shared" si="3"/>
        <v/>
      </c>
      <c r="K18" s="6" t="str">
        <f t="shared" si="4"/>
        <v/>
      </c>
    </row>
    <row r="19" spans="1:11">
      <c r="A19" s="4"/>
      <c r="B19" s="4"/>
      <c r="C19" s="4"/>
      <c r="D19" s="4"/>
      <c r="E19" s="17"/>
      <c r="F19" s="17"/>
      <c r="G19" s="18" t="str">
        <f t="shared" si="0"/>
        <v/>
      </c>
      <c r="H19" s="7" t="str">
        <f t="shared" si="1"/>
        <v/>
      </c>
      <c r="I19" s="18" t="str">
        <f t="shared" si="2"/>
        <v/>
      </c>
      <c r="J19" s="7" t="str">
        <f t="shared" si="3"/>
        <v/>
      </c>
      <c r="K19" s="6" t="str">
        <f t="shared" si="4"/>
        <v/>
      </c>
    </row>
    <row r="20" spans="1:11">
      <c r="A20" s="4"/>
      <c r="B20" s="4"/>
      <c r="C20" s="4"/>
      <c r="D20" s="4"/>
      <c r="E20" s="17"/>
      <c r="F20" s="17"/>
      <c r="G20" s="18" t="str">
        <f t="shared" si="0"/>
        <v/>
      </c>
      <c r="H20" s="7" t="str">
        <f t="shared" si="1"/>
        <v/>
      </c>
      <c r="I20" s="18" t="str">
        <f t="shared" si="2"/>
        <v/>
      </c>
      <c r="J20" s="7" t="str">
        <f t="shared" si="3"/>
        <v/>
      </c>
      <c r="K20" s="6" t="str">
        <f t="shared" si="4"/>
        <v/>
      </c>
    </row>
    <row r="21" spans="1:11">
      <c r="A21" s="4"/>
      <c r="B21" s="4"/>
      <c r="C21" s="4"/>
      <c r="D21" s="4"/>
      <c r="E21" s="17"/>
      <c r="F21" s="17"/>
      <c r="G21" s="18" t="str">
        <f t="shared" si="0"/>
        <v/>
      </c>
      <c r="H21" s="7" t="str">
        <f t="shared" si="1"/>
        <v/>
      </c>
      <c r="I21" s="18" t="str">
        <f t="shared" si="2"/>
        <v/>
      </c>
      <c r="J21" s="7" t="str">
        <f t="shared" si="3"/>
        <v/>
      </c>
      <c r="K21" s="6" t="str">
        <f t="shared" si="4"/>
        <v/>
      </c>
    </row>
    <row r="22" spans="1:11">
      <c r="A22" s="4"/>
      <c r="B22" s="4"/>
      <c r="C22" s="4"/>
      <c r="D22" s="4"/>
      <c r="E22" s="17"/>
      <c r="F22" s="17"/>
      <c r="G22" s="18" t="str">
        <f t="shared" si="0"/>
        <v/>
      </c>
      <c r="H22" s="7" t="str">
        <f t="shared" si="1"/>
        <v/>
      </c>
      <c r="I22" s="18" t="str">
        <f t="shared" si="2"/>
        <v/>
      </c>
      <c r="J22" s="7" t="str">
        <f t="shared" si="3"/>
        <v/>
      </c>
      <c r="K22" s="6" t="str">
        <f t="shared" si="4"/>
        <v/>
      </c>
    </row>
    <row r="23" spans="1:11">
      <c r="A23" s="4"/>
      <c r="B23" s="4"/>
      <c r="C23" s="4"/>
      <c r="D23" s="4"/>
      <c r="E23" s="17"/>
      <c r="F23" s="17"/>
      <c r="G23" s="18" t="str">
        <f t="shared" si="0"/>
        <v/>
      </c>
      <c r="H23" s="7" t="str">
        <f t="shared" si="1"/>
        <v/>
      </c>
      <c r="I23" s="18" t="str">
        <f t="shared" si="2"/>
        <v/>
      </c>
      <c r="J23" s="7" t="str">
        <f t="shared" si="3"/>
        <v/>
      </c>
      <c r="K23" s="6" t="str">
        <f t="shared" si="4"/>
        <v/>
      </c>
    </row>
    <row r="24" spans="1:11">
      <c r="A24" s="4"/>
      <c r="B24" s="4"/>
      <c r="C24" s="4"/>
      <c r="D24" s="4"/>
      <c r="E24" s="17"/>
      <c r="F24" s="17"/>
      <c r="G24" s="18" t="str">
        <f t="shared" si="0"/>
        <v/>
      </c>
      <c r="H24" s="7" t="str">
        <f t="shared" si="1"/>
        <v/>
      </c>
      <c r="I24" s="18" t="str">
        <f t="shared" si="2"/>
        <v/>
      </c>
      <c r="J24" s="7" t="str">
        <f t="shared" si="3"/>
        <v/>
      </c>
      <c r="K24" s="6" t="str">
        <f t="shared" si="4"/>
        <v/>
      </c>
    </row>
    <row r="25" spans="1:11">
      <c r="A25" s="4"/>
      <c r="B25" s="4"/>
      <c r="C25" s="4"/>
      <c r="D25" s="4"/>
      <c r="E25" s="17"/>
      <c r="F25" s="17"/>
      <c r="G25" s="18" t="str">
        <f t="shared" si="0"/>
        <v/>
      </c>
      <c r="H25" s="7" t="str">
        <f t="shared" si="1"/>
        <v/>
      </c>
      <c r="I25" s="18" t="str">
        <f t="shared" si="2"/>
        <v/>
      </c>
      <c r="J25" s="7" t="str">
        <f t="shared" si="3"/>
        <v/>
      </c>
      <c r="K25" s="6" t="str">
        <f t="shared" si="4"/>
        <v/>
      </c>
    </row>
    <row r="26" spans="1:11">
      <c r="A26" s="4"/>
      <c r="B26" s="4"/>
      <c r="C26" s="4"/>
      <c r="D26" s="4"/>
      <c r="E26" s="17"/>
      <c r="F26" s="17"/>
      <c r="G26" s="18" t="str">
        <f t="shared" si="0"/>
        <v/>
      </c>
      <c r="H26" s="7" t="str">
        <f t="shared" si="1"/>
        <v/>
      </c>
      <c r="I26" s="18" t="str">
        <f t="shared" si="2"/>
        <v/>
      </c>
      <c r="J26" s="7" t="str">
        <f t="shared" si="3"/>
        <v/>
      </c>
      <c r="K26" s="6" t="str">
        <f t="shared" si="4"/>
        <v/>
      </c>
    </row>
    <row r="27" spans="1:11">
      <c r="A27" s="4"/>
      <c r="B27" s="4"/>
      <c r="C27" s="4"/>
      <c r="D27" s="4"/>
      <c r="E27" s="17"/>
      <c r="F27" s="17"/>
      <c r="G27" s="18" t="str">
        <f t="shared" si="0"/>
        <v/>
      </c>
      <c r="H27" s="7" t="str">
        <f t="shared" si="1"/>
        <v/>
      </c>
      <c r="I27" s="18" t="str">
        <f t="shared" si="2"/>
        <v/>
      </c>
      <c r="J27" s="7" t="str">
        <f t="shared" si="3"/>
        <v/>
      </c>
      <c r="K27" s="6" t="str">
        <f t="shared" si="4"/>
        <v/>
      </c>
    </row>
    <row r="28" spans="1:11">
      <c r="A28" s="4"/>
      <c r="B28" s="4"/>
      <c r="C28" s="4"/>
      <c r="D28" s="4"/>
      <c r="E28" s="17"/>
      <c r="F28" s="17"/>
      <c r="G28" s="18" t="str">
        <f t="shared" si="0"/>
        <v/>
      </c>
      <c r="H28" s="7" t="str">
        <f t="shared" si="1"/>
        <v/>
      </c>
      <c r="I28" s="18" t="str">
        <f t="shared" si="2"/>
        <v/>
      </c>
      <c r="J28" s="7" t="str">
        <f t="shared" si="3"/>
        <v/>
      </c>
      <c r="K28" s="6" t="str">
        <f t="shared" si="4"/>
        <v/>
      </c>
    </row>
    <row r="29" spans="1:11">
      <c r="A29" s="4"/>
      <c r="B29" s="4"/>
      <c r="C29" s="4"/>
      <c r="D29" s="4"/>
      <c r="E29" s="17"/>
      <c r="F29" s="17"/>
      <c r="G29" s="18" t="str">
        <f t="shared" si="0"/>
        <v/>
      </c>
      <c r="H29" s="7" t="str">
        <f t="shared" si="1"/>
        <v/>
      </c>
      <c r="I29" s="18" t="str">
        <f t="shared" si="2"/>
        <v/>
      </c>
      <c r="J29" s="7" t="str">
        <f t="shared" si="3"/>
        <v/>
      </c>
      <c r="K29" s="6" t="str">
        <f t="shared" si="4"/>
        <v/>
      </c>
    </row>
    <row r="30" spans="1:11">
      <c r="A30" s="4"/>
      <c r="B30" s="4"/>
      <c r="C30" s="4"/>
      <c r="D30" s="4"/>
      <c r="E30" s="17"/>
      <c r="F30" s="17"/>
      <c r="G30" s="18" t="str">
        <f t="shared" si="0"/>
        <v/>
      </c>
      <c r="H30" s="7" t="str">
        <f t="shared" si="1"/>
        <v/>
      </c>
      <c r="I30" s="18" t="str">
        <f t="shared" si="2"/>
        <v/>
      </c>
      <c r="J30" s="7" t="str">
        <f t="shared" si="3"/>
        <v/>
      </c>
      <c r="K30" s="6" t="str">
        <f t="shared" si="4"/>
        <v/>
      </c>
    </row>
    <row r="31" spans="1:11">
      <c r="A31" s="4"/>
      <c r="B31" s="4"/>
      <c r="C31" s="4"/>
      <c r="D31" s="4"/>
      <c r="E31" s="17"/>
      <c r="F31" s="17"/>
      <c r="G31" s="18" t="str">
        <f t="shared" si="0"/>
        <v/>
      </c>
      <c r="H31" s="7" t="str">
        <f t="shared" si="1"/>
        <v/>
      </c>
      <c r="I31" s="18" t="str">
        <f t="shared" si="2"/>
        <v/>
      </c>
      <c r="J31" s="7" t="str">
        <f t="shared" si="3"/>
        <v/>
      </c>
      <c r="K31" s="6" t="str">
        <f t="shared" si="4"/>
        <v/>
      </c>
    </row>
    <row r="32" spans="1:11">
      <c r="A32" s="4"/>
      <c r="B32" s="4"/>
      <c r="C32" s="4"/>
      <c r="D32" s="4"/>
      <c r="E32" s="17"/>
      <c r="F32" s="17"/>
      <c r="G32" s="18" t="str">
        <f t="shared" si="0"/>
        <v/>
      </c>
      <c r="H32" s="7" t="str">
        <f t="shared" si="1"/>
        <v/>
      </c>
      <c r="I32" s="18" t="str">
        <f t="shared" si="2"/>
        <v/>
      </c>
      <c r="J32" s="7" t="str">
        <f t="shared" si="3"/>
        <v/>
      </c>
      <c r="K32" s="6" t="str">
        <f t="shared" si="4"/>
        <v/>
      </c>
    </row>
    <row r="33" spans="1:11">
      <c r="A33" s="4"/>
      <c r="B33" s="4"/>
      <c r="C33" s="4"/>
      <c r="D33" s="4"/>
      <c r="E33" s="17"/>
      <c r="F33" s="17"/>
      <c r="G33" s="18" t="str">
        <f t="shared" si="0"/>
        <v/>
      </c>
      <c r="H33" s="7" t="str">
        <f t="shared" si="1"/>
        <v/>
      </c>
      <c r="I33" s="18" t="str">
        <f t="shared" si="2"/>
        <v/>
      </c>
      <c r="J33" s="7" t="str">
        <f t="shared" si="3"/>
        <v/>
      </c>
      <c r="K33" s="6" t="str">
        <f t="shared" si="4"/>
        <v/>
      </c>
    </row>
    <row r="34" spans="1:11">
      <c r="A34" s="4"/>
      <c r="B34" s="4"/>
      <c r="C34" s="4"/>
      <c r="D34" s="4"/>
      <c r="E34" s="17"/>
      <c r="F34" s="17"/>
      <c r="G34" s="18" t="str">
        <f t="shared" si="0"/>
        <v/>
      </c>
      <c r="H34" s="7" t="str">
        <f t="shared" si="1"/>
        <v/>
      </c>
      <c r="I34" s="18" t="str">
        <f t="shared" si="2"/>
        <v/>
      </c>
      <c r="J34" s="7" t="str">
        <f t="shared" si="3"/>
        <v/>
      </c>
      <c r="K34" s="6" t="str">
        <f t="shared" si="4"/>
        <v/>
      </c>
    </row>
    <row r="35" spans="1:11">
      <c r="A35" s="4"/>
      <c r="B35" s="4"/>
      <c r="C35" s="4"/>
      <c r="D35" s="4"/>
      <c r="E35" s="17"/>
      <c r="F35" s="17"/>
      <c r="G35" s="18" t="str">
        <f t="shared" si="0"/>
        <v/>
      </c>
      <c r="H35" s="7" t="str">
        <f t="shared" si="1"/>
        <v/>
      </c>
      <c r="I35" s="18" t="str">
        <f t="shared" si="2"/>
        <v/>
      </c>
      <c r="J35" s="7" t="str">
        <f t="shared" si="3"/>
        <v/>
      </c>
      <c r="K35" s="6" t="str">
        <f t="shared" si="4"/>
        <v/>
      </c>
    </row>
    <row r="36" spans="1:11">
      <c r="A36" s="4"/>
      <c r="B36" s="4"/>
      <c r="C36" s="4"/>
      <c r="D36" s="4"/>
      <c r="E36" s="17"/>
      <c r="F36" s="17"/>
      <c r="G36" s="18" t="str">
        <f t="shared" si="0"/>
        <v/>
      </c>
      <c r="H36" s="7" t="str">
        <f t="shared" si="1"/>
        <v/>
      </c>
      <c r="I36" s="18" t="str">
        <f t="shared" si="2"/>
        <v/>
      </c>
      <c r="J36" s="7" t="str">
        <f t="shared" si="3"/>
        <v/>
      </c>
      <c r="K36" s="6" t="str">
        <f t="shared" si="4"/>
        <v/>
      </c>
    </row>
    <row r="37" spans="1:11">
      <c r="A37" s="4"/>
      <c r="B37" s="4"/>
      <c r="C37" s="4"/>
      <c r="D37" s="4"/>
      <c r="E37" s="17"/>
      <c r="F37" s="17"/>
      <c r="G37" s="18" t="str">
        <f t="shared" si="0"/>
        <v/>
      </c>
      <c r="H37" s="7" t="str">
        <f t="shared" si="1"/>
        <v/>
      </c>
      <c r="I37" s="18" t="str">
        <f t="shared" si="2"/>
        <v/>
      </c>
      <c r="J37" s="7" t="str">
        <f t="shared" si="3"/>
        <v/>
      </c>
      <c r="K37" s="6" t="str">
        <f t="shared" si="4"/>
        <v/>
      </c>
    </row>
    <row r="38" spans="1:11">
      <c r="A38" s="4"/>
      <c r="B38" s="4"/>
      <c r="C38" s="4"/>
      <c r="D38" s="4"/>
      <c r="E38" s="17"/>
      <c r="F38" s="17"/>
      <c r="G38" s="18" t="str">
        <f t="shared" si="0"/>
        <v/>
      </c>
      <c r="H38" s="7" t="str">
        <f t="shared" si="1"/>
        <v/>
      </c>
      <c r="I38" s="18" t="str">
        <f t="shared" si="2"/>
        <v/>
      </c>
      <c r="J38" s="7" t="str">
        <f t="shared" si="3"/>
        <v/>
      </c>
      <c r="K38" s="6" t="str">
        <f t="shared" si="4"/>
        <v/>
      </c>
    </row>
    <row r="39" spans="1:11">
      <c r="A39" s="4"/>
      <c r="B39" s="4"/>
      <c r="C39" s="4"/>
      <c r="D39" s="4"/>
      <c r="E39" s="17"/>
      <c r="F39" s="17"/>
      <c r="G39" s="18" t="str">
        <f t="shared" si="0"/>
        <v/>
      </c>
      <c r="H39" s="7" t="str">
        <f t="shared" si="1"/>
        <v/>
      </c>
      <c r="I39" s="18" t="str">
        <f t="shared" si="2"/>
        <v/>
      </c>
      <c r="J39" s="7" t="str">
        <f t="shared" si="3"/>
        <v/>
      </c>
      <c r="K39" s="6" t="str">
        <f t="shared" si="4"/>
        <v/>
      </c>
    </row>
    <row r="40" spans="1:11">
      <c r="A40" s="4"/>
      <c r="B40" s="4"/>
      <c r="C40" s="4"/>
      <c r="D40" s="4"/>
      <c r="E40" s="17"/>
      <c r="F40" s="17"/>
      <c r="G40" s="18"/>
      <c r="H40" s="7"/>
      <c r="I40" s="18"/>
      <c r="J40" s="7"/>
      <c r="K40" s="6"/>
    </row>
  </sheetData>
  <mergeCells count="1">
    <mergeCell ref="A1:B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100"/>
  <sheetViews>
    <sheetView workbookViewId="0"/>
  </sheetViews>
  <sheetFormatPr defaultRowHeight="13.8"/>
  <cols>
    <col min="1" max="1" width="18.69921875" customWidth="1"/>
    <col min="2" max="2" width="18" customWidth="1"/>
    <col min="3" max="3" width="28" customWidth="1"/>
    <col min="4" max="5" width="18" customWidth="1"/>
    <col min="6" max="11" width="16" customWidth="1"/>
    <col min="12" max="12" width="14" customWidth="1"/>
    <col min="13" max="13" width="22" customWidth="1"/>
    <col min="14" max="14" width="24" customWidth="1"/>
  </cols>
  <sheetData>
    <row r="1" spans="1:14" ht="37.049999999999997" customHeight="1">
      <c r="A1" s="1" t="s">
        <v>176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4" ht="39.6">
      <c r="A2" s="2" t="s">
        <v>177</v>
      </c>
    </row>
    <row r="4" spans="1:14">
      <c r="A4" s="3" t="s">
        <v>178</v>
      </c>
      <c r="B4" s="3" t="s">
        <v>179</v>
      </c>
      <c r="C4" s="3" t="s">
        <v>34</v>
      </c>
      <c r="D4" s="3" t="s">
        <v>180</v>
      </c>
      <c r="E4" s="3" t="s">
        <v>181</v>
      </c>
      <c r="F4" s="3" t="s">
        <v>167</v>
      </c>
      <c r="G4" s="3" t="s">
        <v>168</v>
      </c>
      <c r="H4" s="3" t="s">
        <v>169</v>
      </c>
      <c r="I4" s="3" t="s">
        <v>170</v>
      </c>
      <c r="J4" s="3" t="s">
        <v>171</v>
      </c>
      <c r="K4" s="3" t="s">
        <v>40</v>
      </c>
      <c r="L4" s="3" t="s">
        <v>182</v>
      </c>
      <c r="M4" s="3" t="s">
        <v>183</v>
      </c>
      <c r="N4" s="3" t="s">
        <v>12</v>
      </c>
    </row>
    <row r="5" spans="1:14">
      <c r="A5" s="19">
        <v>46143</v>
      </c>
      <c r="B5" s="4" t="s">
        <v>184</v>
      </c>
      <c r="C5" s="4" t="s">
        <v>185</v>
      </c>
      <c r="D5" s="4" t="s">
        <v>174</v>
      </c>
      <c r="E5" s="4" t="s">
        <v>186</v>
      </c>
      <c r="F5" s="4">
        <v>180</v>
      </c>
      <c r="G5" s="4">
        <v>20</v>
      </c>
      <c r="H5" s="17">
        <v>520</v>
      </c>
      <c r="I5" s="17">
        <v>405</v>
      </c>
      <c r="J5" s="18">
        <f t="shared" ref="J5:J36" si="0">IF(A5="","",H5-I5)</f>
        <v>115</v>
      </c>
      <c r="K5" s="7">
        <f t="shared" ref="K5:K36" si="1">IF(H5=0,"",J5/H5)</f>
        <v>0.22115384615384615</v>
      </c>
      <c r="L5" s="4" t="s">
        <v>18</v>
      </c>
      <c r="M5" s="4"/>
      <c r="N5" s="4"/>
    </row>
    <row r="6" spans="1:14">
      <c r="A6" s="19">
        <v>46144</v>
      </c>
      <c r="B6" s="4" t="s">
        <v>187</v>
      </c>
      <c r="C6" s="4" t="s">
        <v>150</v>
      </c>
      <c r="D6" s="4" t="s">
        <v>188</v>
      </c>
      <c r="E6" s="4" t="s">
        <v>189</v>
      </c>
      <c r="F6" s="4">
        <v>600</v>
      </c>
      <c r="G6" s="4">
        <v>80</v>
      </c>
      <c r="H6" s="17">
        <v>1380</v>
      </c>
      <c r="I6" s="17">
        <v>1120</v>
      </c>
      <c r="J6" s="18">
        <f t="shared" si="0"/>
        <v>260</v>
      </c>
      <c r="K6" s="7">
        <f t="shared" si="1"/>
        <v>0.18840579710144928</v>
      </c>
      <c r="L6" s="4" t="s">
        <v>18</v>
      </c>
      <c r="M6" s="4"/>
      <c r="N6" s="4"/>
    </row>
    <row r="7" spans="1:14">
      <c r="A7" s="19">
        <v>46145</v>
      </c>
      <c r="B7" s="4" t="s">
        <v>190</v>
      </c>
      <c r="C7" s="4" t="s">
        <v>191</v>
      </c>
      <c r="D7" s="4" t="s">
        <v>192</v>
      </c>
      <c r="E7" s="4" t="s">
        <v>186</v>
      </c>
      <c r="F7" s="4">
        <v>95</v>
      </c>
      <c r="G7" s="4">
        <v>15</v>
      </c>
      <c r="H7" s="17">
        <v>330</v>
      </c>
      <c r="I7" s="17">
        <v>250</v>
      </c>
      <c r="J7" s="18">
        <f t="shared" si="0"/>
        <v>80</v>
      </c>
      <c r="K7" s="7">
        <f t="shared" si="1"/>
        <v>0.24242424242424243</v>
      </c>
      <c r="L7" s="4" t="s">
        <v>16</v>
      </c>
      <c r="M7" s="4" t="s">
        <v>193</v>
      </c>
      <c r="N7" s="4"/>
    </row>
    <row r="8" spans="1:14">
      <c r="A8" s="19">
        <v>46146</v>
      </c>
      <c r="B8" s="4" t="s">
        <v>194</v>
      </c>
      <c r="C8" s="4" t="s">
        <v>195</v>
      </c>
      <c r="D8" s="4" t="s">
        <v>196</v>
      </c>
      <c r="E8" s="4" t="s">
        <v>197</v>
      </c>
      <c r="F8" s="4">
        <v>110</v>
      </c>
      <c r="G8" s="4">
        <v>25</v>
      </c>
      <c r="H8" s="17">
        <v>430</v>
      </c>
      <c r="I8" s="17">
        <v>330</v>
      </c>
      <c r="J8" s="18">
        <f t="shared" si="0"/>
        <v>100</v>
      </c>
      <c r="K8" s="7">
        <f t="shared" si="1"/>
        <v>0.23255813953488372</v>
      </c>
      <c r="L8" s="4" t="s">
        <v>18</v>
      </c>
      <c r="M8" s="4"/>
      <c r="N8" s="4"/>
    </row>
    <row r="9" spans="1:14">
      <c r="A9" s="19"/>
      <c r="B9" s="4"/>
      <c r="C9" s="4"/>
      <c r="D9" s="4"/>
      <c r="E9" s="4"/>
      <c r="F9" s="4"/>
      <c r="G9" s="4"/>
      <c r="H9" s="17"/>
      <c r="I9" s="17"/>
      <c r="J9" s="18" t="str">
        <f t="shared" si="0"/>
        <v/>
      </c>
      <c r="K9" s="7" t="str">
        <f t="shared" si="1"/>
        <v/>
      </c>
      <c r="L9" s="4"/>
      <c r="M9" s="4"/>
      <c r="N9" s="4"/>
    </row>
    <row r="10" spans="1:14">
      <c r="A10" s="19"/>
      <c r="B10" s="4"/>
      <c r="C10" s="4"/>
      <c r="D10" s="4"/>
      <c r="E10" s="4"/>
      <c r="F10" s="4"/>
      <c r="G10" s="4"/>
      <c r="H10" s="17"/>
      <c r="I10" s="17"/>
      <c r="J10" s="18" t="str">
        <f t="shared" si="0"/>
        <v/>
      </c>
      <c r="K10" s="7" t="str">
        <f t="shared" si="1"/>
        <v/>
      </c>
      <c r="L10" s="4"/>
      <c r="M10" s="4"/>
      <c r="N10" s="4"/>
    </row>
    <row r="11" spans="1:14">
      <c r="A11" s="19"/>
      <c r="B11" s="4"/>
      <c r="C11" s="4"/>
      <c r="D11" s="4"/>
      <c r="E11" s="4"/>
      <c r="F11" s="4"/>
      <c r="G11" s="4"/>
      <c r="H11" s="17"/>
      <c r="I11" s="17"/>
      <c r="J11" s="18" t="str">
        <f t="shared" si="0"/>
        <v/>
      </c>
      <c r="K11" s="7" t="str">
        <f t="shared" si="1"/>
        <v/>
      </c>
      <c r="L11" s="4"/>
      <c r="M11" s="4"/>
      <c r="N11" s="4"/>
    </row>
    <row r="12" spans="1:14">
      <c r="A12" s="19"/>
      <c r="B12" s="4"/>
      <c r="C12" s="4"/>
      <c r="D12" s="4"/>
      <c r="E12" s="4"/>
      <c r="F12" s="4"/>
      <c r="G12" s="4"/>
      <c r="H12" s="17"/>
      <c r="I12" s="17"/>
      <c r="J12" s="18" t="str">
        <f t="shared" si="0"/>
        <v/>
      </c>
      <c r="K12" s="7" t="str">
        <f t="shared" si="1"/>
        <v/>
      </c>
      <c r="L12" s="4"/>
      <c r="M12" s="4"/>
      <c r="N12" s="4"/>
    </row>
    <row r="13" spans="1:14">
      <c r="A13" s="19"/>
      <c r="B13" s="4"/>
      <c r="C13" s="4"/>
      <c r="D13" s="4"/>
      <c r="E13" s="4"/>
      <c r="F13" s="4"/>
      <c r="G13" s="4"/>
      <c r="H13" s="17"/>
      <c r="I13" s="17"/>
      <c r="J13" s="18" t="str">
        <f t="shared" si="0"/>
        <v/>
      </c>
      <c r="K13" s="7" t="str">
        <f t="shared" si="1"/>
        <v/>
      </c>
      <c r="L13" s="4"/>
      <c r="M13" s="4"/>
      <c r="N13" s="4"/>
    </row>
    <row r="14" spans="1:14">
      <c r="A14" s="19"/>
      <c r="B14" s="4"/>
      <c r="C14" s="4"/>
      <c r="D14" s="4"/>
      <c r="E14" s="4"/>
      <c r="F14" s="4"/>
      <c r="G14" s="4"/>
      <c r="H14" s="17"/>
      <c r="I14" s="17"/>
      <c r="J14" s="18" t="str">
        <f t="shared" si="0"/>
        <v/>
      </c>
      <c r="K14" s="7" t="str">
        <f t="shared" si="1"/>
        <v/>
      </c>
      <c r="L14" s="4"/>
      <c r="M14" s="4"/>
      <c r="N14" s="4"/>
    </row>
    <row r="15" spans="1:14">
      <c r="A15" s="19"/>
      <c r="B15" s="4"/>
      <c r="C15" s="4"/>
      <c r="D15" s="4"/>
      <c r="E15" s="4"/>
      <c r="F15" s="4"/>
      <c r="G15" s="4"/>
      <c r="H15" s="17"/>
      <c r="I15" s="17"/>
      <c r="J15" s="18" t="str">
        <f t="shared" si="0"/>
        <v/>
      </c>
      <c r="K15" s="7" t="str">
        <f t="shared" si="1"/>
        <v/>
      </c>
      <c r="L15" s="4"/>
      <c r="M15" s="4"/>
      <c r="N15" s="4"/>
    </row>
    <row r="16" spans="1:14">
      <c r="A16" s="19"/>
      <c r="B16" s="4"/>
      <c r="C16" s="4"/>
      <c r="D16" s="4"/>
      <c r="E16" s="4"/>
      <c r="F16" s="4"/>
      <c r="G16" s="4"/>
      <c r="H16" s="17"/>
      <c r="I16" s="17"/>
      <c r="J16" s="18" t="str">
        <f t="shared" si="0"/>
        <v/>
      </c>
      <c r="K16" s="7" t="str">
        <f t="shared" si="1"/>
        <v/>
      </c>
      <c r="L16" s="4"/>
      <c r="M16" s="4"/>
      <c r="N16" s="4"/>
    </row>
    <row r="17" spans="1:14">
      <c r="A17" s="19"/>
      <c r="B17" s="4"/>
      <c r="C17" s="4"/>
      <c r="D17" s="4"/>
      <c r="E17" s="4"/>
      <c r="F17" s="4"/>
      <c r="G17" s="4"/>
      <c r="H17" s="17"/>
      <c r="I17" s="17"/>
      <c r="J17" s="18" t="str">
        <f t="shared" si="0"/>
        <v/>
      </c>
      <c r="K17" s="7" t="str">
        <f t="shared" si="1"/>
        <v/>
      </c>
      <c r="L17" s="4"/>
      <c r="M17" s="4"/>
      <c r="N17" s="4"/>
    </row>
    <row r="18" spans="1:14">
      <c r="A18" s="19"/>
      <c r="B18" s="4"/>
      <c r="C18" s="4"/>
      <c r="D18" s="4"/>
      <c r="E18" s="4"/>
      <c r="F18" s="4"/>
      <c r="G18" s="4"/>
      <c r="H18" s="17"/>
      <c r="I18" s="17"/>
      <c r="J18" s="18" t="str">
        <f t="shared" si="0"/>
        <v/>
      </c>
      <c r="K18" s="7" t="str">
        <f t="shared" si="1"/>
        <v/>
      </c>
      <c r="L18" s="4"/>
      <c r="M18" s="4"/>
      <c r="N18" s="4"/>
    </row>
    <row r="19" spans="1:14">
      <c r="A19" s="19"/>
      <c r="B19" s="4"/>
      <c r="C19" s="4"/>
      <c r="D19" s="4"/>
      <c r="E19" s="4"/>
      <c r="F19" s="4"/>
      <c r="G19" s="4"/>
      <c r="H19" s="17"/>
      <c r="I19" s="17"/>
      <c r="J19" s="18" t="str">
        <f t="shared" si="0"/>
        <v/>
      </c>
      <c r="K19" s="7" t="str">
        <f t="shared" si="1"/>
        <v/>
      </c>
      <c r="L19" s="4"/>
      <c r="M19" s="4"/>
      <c r="N19" s="4"/>
    </row>
    <row r="20" spans="1:14">
      <c r="A20" s="19"/>
      <c r="B20" s="4"/>
      <c r="C20" s="4"/>
      <c r="D20" s="4"/>
      <c r="E20" s="4"/>
      <c r="F20" s="4"/>
      <c r="G20" s="4"/>
      <c r="H20" s="17"/>
      <c r="I20" s="17"/>
      <c r="J20" s="18" t="str">
        <f t="shared" si="0"/>
        <v/>
      </c>
      <c r="K20" s="7" t="str">
        <f t="shared" si="1"/>
        <v/>
      </c>
      <c r="L20" s="4"/>
      <c r="M20" s="4"/>
      <c r="N20" s="4"/>
    </row>
    <row r="21" spans="1:14">
      <c r="A21" s="19"/>
      <c r="B21" s="4"/>
      <c r="C21" s="4"/>
      <c r="D21" s="4"/>
      <c r="E21" s="4"/>
      <c r="F21" s="4"/>
      <c r="G21" s="4"/>
      <c r="H21" s="17"/>
      <c r="I21" s="17"/>
      <c r="J21" s="18" t="str">
        <f t="shared" si="0"/>
        <v/>
      </c>
      <c r="K21" s="7" t="str">
        <f t="shared" si="1"/>
        <v/>
      </c>
      <c r="L21" s="4"/>
      <c r="M21" s="4"/>
      <c r="N21" s="4"/>
    </row>
    <row r="22" spans="1:14">
      <c r="A22" s="19"/>
      <c r="B22" s="4"/>
      <c r="C22" s="4"/>
      <c r="D22" s="4"/>
      <c r="E22" s="4"/>
      <c r="F22" s="4"/>
      <c r="G22" s="4"/>
      <c r="H22" s="17"/>
      <c r="I22" s="17"/>
      <c r="J22" s="18" t="str">
        <f t="shared" si="0"/>
        <v/>
      </c>
      <c r="K22" s="7" t="str">
        <f t="shared" si="1"/>
        <v/>
      </c>
      <c r="L22" s="4"/>
      <c r="M22" s="4"/>
      <c r="N22" s="4"/>
    </row>
    <row r="23" spans="1:14">
      <c r="A23" s="19"/>
      <c r="B23" s="4"/>
      <c r="C23" s="4"/>
      <c r="D23" s="4"/>
      <c r="E23" s="4"/>
      <c r="F23" s="4"/>
      <c r="G23" s="4"/>
      <c r="H23" s="17"/>
      <c r="I23" s="17"/>
      <c r="J23" s="18" t="str">
        <f t="shared" si="0"/>
        <v/>
      </c>
      <c r="K23" s="7" t="str">
        <f t="shared" si="1"/>
        <v/>
      </c>
      <c r="L23" s="4"/>
      <c r="M23" s="4"/>
      <c r="N23" s="4"/>
    </row>
    <row r="24" spans="1:14">
      <c r="A24" s="19"/>
      <c r="B24" s="4"/>
      <c r="C24" s="4"/>
      <c r="D24" s="4"/>
      <c r="E24" s="4"/>
      <c r="F24" s="4"/>
      <c r="G24" s="4"/>
      <c r="H24" s="17"/>
      <c r="I24" s="17"/>
      <c r="J24" s="18" t="str">
        <f t="shared" si="0"/>
        <v/>
      </c>
      <c r="K24" s="7" t="str">
        <f t="shared" si="1"/>
        <v/>
      </c>
      <c r="L24" s="4"/>
      <c r="M24" s="4"/>
      <c r="N24" s="4"/>
    </row>
    <row r="25" spans="1:14">
      <c r="A25" s="19"/>
      <c r="B25" s="4"/>
      <c r="C25" s="4"/>
      <c r="D25" s="4"/>
      <c r="E25" s="4"/>
      <c r="F25" s="4"/>
      <c r="G25" s="4"/>
      <c r="H25" s="17"/>
      <c r="I25" s="17"/>
      <c r="J25" s="18" t="str">
        <f t="shared" si="0"/>
        <v/>
      </c>
      <c r="K25" s="7" t="str">
        <f t="shared" si="1"/>
        <v/>
      </c>
      <c r="L25" s="4"/>
      <c r="M25" s="4"/>
      <c r="N25" s="4"/>
    </row>
    <row r="26" spans="1:14">
      <c r="A26" s="19"/>
      <c r="B26" s="4"/>
      <c r="C26" s="4"/>
      <c r="D26" s="4"/>
      <c r="E26" s="4"/>
      <c r="F26" s="4"/>
      <c r="G26" s="4"/>
      <c r="H26" s="17"/>
      <c r="I26" s="17"/>
      <c r="J26" s="18" t="str">
        <f t="shared" si="0"/>
        <v/>
      </c>
      <c r="K26" s="7" t="str">
        <f t="shared" si="1"/>
        <v/>
      </c>
      <c r="L26" s="4"/>
      <c r="M26" s="4"/>
      <c r="N26" s="4"/>
    </row>
    <row r="27" spans="1:14">
      <c r="A27" s="19"/>
      <c r="B27" s="4"/>
      <c r="C27" s="4"/>
      <c r="D27" s="4"/>
      <c r="E27" s="4"/>
      <c r="F27" s="4"/>
      <c r="G27" s="4"/>
      <c r="H27" s="17"/>
      <c r="I27" s="17"/>
      <c r="J27" s="18" t="str">
        <f t="shared" si="0"/>
        <v/>
      </c>
      <c r="K27" s="7" t="str">
        <f t="shared" si="1"/>
        <v/>
      </c>
      <c r="L27" s="4"/>
      <c r="M27" s="4"/>
      <c r="N27" s="4"/>
    </row>
    <row r="28" spans="1:14">
      <c r="A28" s="19"/>
      <c r="B28" s="4"/>
      <c r="C28" s="4"/>
      <c r="D28" s="4"/>
      <c r="E28" s="4"/>
      <c r="F28" s="4"/>
      <c r="G28" s="4"/>
      <c r="H28" s="17"/>
      <c r="I28" s="17"/>
      <c r="J28" s="18" t="str">
        <f t="shared" si="0"/>
        <v/>
      </c>
      <c r="K28" s="7" t="str">
        <f t="shared" si="1"/>
        <v/>
      </c>
      <c r="L28" s="4"/>
      <c r="M28" s="4"/>
      <c r="N28" s="4"/>
    </row>
    <row r="29" spans="1:14">
      <c r="A29" s="19"/>
      <c r="B29" s="4"/>
      <c r="C29" s="4"/>
      <c r="D29" s="4"/>
      <c r="E29" s="4"/>
      <c r="F29" s="4"/>
      <c r="G29" s="4"/>
      <c r="H29" s="17"/>
      <c r="I29" s="17"/>
      <c r="J29" s="18" t="str">
        <f t="shared" si="0"/>
        <v/>
      </c>
      <c r="K29" s="7" t="str">
        <f t="shared" si="1"/>
        <v/>
      </c>
      <c r="L29" s="4"/>
      <c r="M29" s="4"/>
      <c r="N29" s="4"/>
    </row>
    <row r="30" spans="1:14">
      <c r="A30" s="19"/>
      <c r="B30" s="4"/>
      <c r="C30" s="4"/>
      <c r="D30" s="4"/>
      <c r="E30" s="4"/>
      <c r="F30" s="4"/>
      <c r="G30" s="4"/>
      <c r="H30" s="17"/>
      <c r="I30" s="17"/>
      <c r="J30" s="18" t="str">
        <f t="shared" si="0"/>
        <v/>
      </c>
      <c r="K30" s="7" t="str">
        <f t="shared" si="1"/>
        <v/>
      </c>
      <c r="L30" s="4"/>
      <c r="M30" s="4"/>
      <c r="N30" s="4"/>
    </row>
    <row r="31" spans="1:14">
      <c r="A31" s="19"/>
      <c r="B31" s="4"/>
      <c r="C31" s="4"/>
      <c r="D31" s="4"/>
      <c r="E31" s="4"/>
      <c r="F31" s="4"/>
      <c r="G31" s="4"/>
      <c r="H31" s="17"/>
      <c r="I31" s="17"/>
      <c r="J31" s="18" t="str">
        <f t="shared" si="0"/>
        <v/>
      </c>
      <c r="K31" s="7" t="str">
        <f t="shared" si="1"/>
        <v/>
      </c>
      <c r="L31" s="4"/>
      <c r="M31" s="4"/>
      <c r="N31" s="4"/>
    </row>
    <row r="32" spans="1:14">
      <c r="A32" s="19"/>
      <c r="B32" s="4"/>
      <c r="C32" s="4"/>
      <c r="D32" s="4"/>
      <c r="E32" s="4"/>
      <c r="F32" s="4"/>
      <c r="G32" s="4"/>
      <c r="H32" s="17"/>
      <c r="I32" s="17"/>
      <c r="J32" s="18" t="str">
        <f t="shared" si="0"/>
        <v/>
      </c>
      <c r="K32" s="7" t="str">
        <f t="shared" si="1"/>
        <v/>
      </c>
      <c r="L32" s="4"/>
      <c r="M32" s="4"/>
      <c r="N32" s="4"/>
    </row>
    <row r="33" spans="1:14">
      <c r="A33" s="19"/>
      <c r="B33" s="4"/>
      <c r="C33" s="4"/>
      <c r="D33" s="4"/>
      <c r="E33" s="4"/>
      <c r="F33" s="4"/>
      <c r="G33" s="4"/>
      <c r="H33" s="17"/>
      <c r="I33" s="17"/>
      <c r="J33" s="18" t="str">
        <f t="shared" si="0"/>
        <v/>
      </c>
      <c r="K33" s="7" t="str">
        <f t="shared" si="1"/>
        <v/>
      </c>
      <c r="L33" s="4"/>
      <c r="M33" s="4"/>
      <c r="N33" s="4"/>
    </row>
    <row r="34" spans="1:14">
      <c r="A34" s="19"/>
      <c r="B34" s="4"/>
      <c r="C34" s="4"/>
      <c r="D34" s="4"/>
      <c r="E34" s="4"/>
      <c r="F34" s="4"/>
      <c r="G34" s="4"/>
      <c r="H34" s="17"/>
      <c r="I34" s="17"/>
      <c r="J34" s="18" t="str">
        <f t="shared" si="0"/>
        <v/>
      </c>
      <c r="K34" s="7" t="str">
        <f t="shared" si="1"/>
        <v/>
      </c>
      <c r="L34" s="4"/>
      <c r="M34" s="4"/>
      <c r="N34" s="4"/>
    </row>
    <row r="35" spans="1:14">
      <c r="A35" s="19"/>
      <c r="B35" s="4"/>
      <c r="C35" s="4"/>
      <c r="D35" s="4"/>
      <c r="E35" s="4"/>
      <c r="F35" s="4"/>
      <c r="G35" s="4"/>
      <c r="H35" s="17"/>
      <c r="I35" s="17"/>
      <c r="J35" s="18" t="str">
        <f t="shared" si="0"/>
        <v/>
      </c>
      <c r="K35" s="7" t="str">
        <f t="shared" si="1"/>
        <v/>
      </c>
      <c r="L35" s="4"/>
      <c r="M35" s="4"/>
      <c r="N35" s="4"/>
    </row>
    <row r="36" spans="1:14">
      <c r="A36" s="19"/>
      <c r="B36" s="4"/>
      <c r="C36" s="4"/>
      <c r="D36" s="4"/>
      <c r="E36" s="4"/>
      <c r="F36" s="4"/>
      <c r="G36" s="4"/>
      <c r="H36" s="17"/>
      <c r="I36" s="17"/>
      <c r="J36" s="18" t="str">
        <f t="shared" si="0"/>
        <v/>
      </c>
      <c r="K36" s="7" t="str">
        <f t="shared" si="1"/>
        <v/>
      </c>
      <c r="L36" s="4"/>
      <c r="M36" s="4"/>
      <c r="N36" s="4"/>
    </row>
    <row r="37" spans="1:14">
      <c r="A37" s="19"/>
      <c r="B37" s="4"/>
      <c r="C37" s="4"/>
      <c r="D37" s="4"/>
      <c r="E37" s="4"/>
      <c r="F37" s="4"/>
      <c r="G37" s="4"/>
      <c r="H37" s="17"/>
      <c r="I37" s="17"/>
      <c r="J37" s="18" t="str">
        <f t="shared" ref="J37:J68" si="2">IF(A37="","",H37-I37)</f>
        <v/>
      </c>
      <c r="K37" s="7" t="str">
        <f t="shared" ref="K37:K68" si="3">IF(H37=0,"",J37/H37)</f>
        <v/>
      </c>
      <c r="L37" s="4"/>
      <c r="M37" s="4"/>
      <c r="N37" s="4"/>
    </row>
    <row r="38" spans="1:14">
      <c r="A38" s="19"/>
      <c r="B38" s="4"/>
      <c r="C38" s="4"/>
      <c r="D38" s="4"/>
      <c r="E38" s="4"/>
      <c r="F38" s="4"/>
      <c r="G38" s="4"/>
      <c r="H38" s="17"/>
      <c r="I38" s="17"/>
      <c r="J38" s="18" t="str">
        <f t="shared" si="2"/>
        <v/>
      </c>
      <c r="K38" s="7" t="str">
        <f t="shared" si="3"/>
        <v/>
      </c>
      <c r="L38" s="4"/>
      <c r="M38" s="4"/>
      <c r="N38" s="4"/>
    </row>
    <row r="39" spans="1:14">
      <c r="A39" s="19"/>
      <c r="B39" s="4"/>
      <c r="C39" s="4"/>
      <c r="D39" s="4"/>
      <c r="E39" s="4"/>
      <c r="F39" s="4"/>
      <c r="G39" s="4"/>
      <c r="H39" s="17"/>
      <c r="I39" s="17"/>
      <c r="J39" s="18" t="str">
        <f t="shared" si="2"/>
        <v/>
      </c>
      <c r="K39" s="7" t="str">
        <f t="shared" si="3"/>
        <v/>
      </c>
      <c r="L39" s="4"/>
      <c r="M39" s="4"/>
      <c r="N39" s="4"/>
    </row>
    <row r="40" spans="1:14">
      <c r="A40" s="19"/>
      <c r="B40" s="4"/>
      <c r="C40" s="4"/>
      <c r="D40" s="4"/>
      <c r="E40" s="4"/>
      <c r="F40" s="4"/>
      <c r="G40" s="4"/>
      <c r="H40" s="17"/>
      <c r="I40" s="17"/>
      <c r="J40" s="18" t="str">
        <f t="shared" si="2"/>
        <v/>
      </c>
      <c r="K40" s="7" t="str">
        <f t="shared" si="3"/>
        <v/>
      </c>
      <c r="L40" s="4"/>
      <c r="M40" s="4"/>
      <c r="N40" s="4"/>
    </row>
    <row r="41" spans="1:14">
      <c r="A41" s="19"/>
      <c r="B41" s="4"/>
      <c r="C41" s="4"/>
      <c r="D41" s="4"/>
      <c r="E41" s="4"/>
      <c r="F41" s="4"/>
      <c r="G41" s="4"/>
      <c r="H41" s="17"/>
      <c r="I41" s="17"/>
      <c r="J41" s="18" t="str">
        <f t="shared" si="2"/>
        <v/>
      </c>
      <c r="K41" s="7" t="str">
        <f t="shared" si="3"/>
        <v/>
      </c>
      <c r="L41" s="4"/>
      <c r="M41" s="4"/>
      <c r="N41" s="4"/>
    </row>
    <row r="42" spans="1:14">
      <c r="A42" s="19"/>
      <c r="B42" s="4"/>
      <c r="C42" s="4"/>
      <c r="D42" s="4"/>
      <c r="E42" s="4"/>
      <c r="F42" s="4"/>
      <c r="G42" s="4"/>
      <c r="H42" s="17"/>
      <c r="I42" s="17"/>
      <c r="J42" s="18" t="str">
        <f t="shared" si="2"/>
        <v/>
      </c>
      <c r="K42" s="7" t="str">
        <f t="shared" si="3"/>
        <v/>
      </c>
      <c r="L42" s="4"/>
      <c r="M42" s="4"/>
      <c r="N42" s="4"/>
    </row>
    <row r="43" spans="1:14">
      <c r="A43" s="19"/>
      <c r="B43" s="4"/>
      <c r="C43" s="4"/>
      <c r="D43" s="4"/>
      <c r="E43" s="4"/>
      <c r="F43" s="4"/>
      <c r="G43" s="4"/>
      <c r="H43" s="17"/>
      <c r="I43" s="17"/>
      <c r="J43" s="18" t="str">
        <f t="shared" si="2"/>
        <v/>
      </c>
      <c r="K43" s="7" t="str">
        <f t="shared" si="3"/>
        <v/>
      </c>
      <c r="L43" s="4"/>
      <c r="M43" s="4"/>
      <c r="N43" s="4"/>
    </row>
    <row r="44" spans="1:14">
      <c r="A44" s="19"/>
      <c r="B44" s="4"/>
      <c r="C44" s="4"/>
      <c r="D44" s="4"/>
      <c r="E44" s="4"/>
      <c r="F44" s="4"/>
      <c r="G44" s="4"/>
      <c r="H44" s="17"/>
      <c r="I44" s="17"/>
      <c r="J44" s="18" t="str">
        <f t="shared" si="2"/>
        <v/>
      </c>
      <c r="K44" s="7" t="str">
        <f t="shared" si="3"/>
        <v/>
      </c>
      <c r="L44" s="4"/>
      <c r="M44" s="4"/>
      <c r="N44" s="4"/>
    </row>
    <row r="45" spans="1:14">
      <c r="A45" s="19"/>
      <c r="B45" s="4"/>
      <c r="C45" s="4"/>
      <c r="D45" s="4"/>
      <c r="E45" s="4"/>
      <c r="F45" s="4"/>
      <c r="G45" s="4"/>
      <c r="H45" s="17"/>
      <c r="I45" s="17"/>
      <c r="J45" s="18" t="str">
        <f t="shared" si="2"/>
        <v/>
      </c>
      <c r="K45" s="7" t="str">
        <f t="shared" si="3"/>
        <v/>
      </c>
      <c r="L45" s="4"/>
      <c r="M45" s="4"/>
      <c r="N45" s="4"/>
    </row>
    <row r="46" spans="1:14">
      <c r="A46" s="19"/>
      <c r="B46" s="4"/>
      <c r="C46" s="4"/>
      <c r="D46" s="4"/>
      <c r="E46" s="4"/>
      <c r="F46" s="4"/>
      <c r="G46" s="4"/>
      <c r="H46" s="17"/>
      <c r="I46" s="17"/>
      <c r="J46" s="18" t="str">
        <f t="shared" si="2"/>
        <v/>
      </c>
      <c r="K46" s="7" t="str">
        <f t="shared" si="3"/>
        <v/>
      </c>
      <c r="L46" s="4"/>
      <c r="M46" s="4"/>
      <c r="N46" s="4"/>
    </row>
    <row r="47" spans="1:14">
      <c r="A47" s="19"/>
      <c r="B47" s="4"/>
      <c r="C47" s="4"/>
      <c r="D47" s="4"/>
      <c r="E47" s="4"/>
      <c r="F47" s="4"/>
      <c r="G47" s="4"/>
      <c r="H47" s="17"/>
      <c r="I47" s="17"/>
      <c r="J47" s="18" t="str">
        <f t="shared" si="2"/>
        <v/>
      </c>
      <c r="K47" s="7" t="str">
        <f t="shared" si="3"/>
        <v/>
      </c>
      <c r="L47" s="4"/>
      <c r="M47" s="4"/>
      <c r="N47" s="4"/>
    </row>
    <row r="48" spans="1:14">
      <c r="A48" s="19"/>
      <c r="B48" s="4"/>
      <c r="C48" s="4"/>
      <c r="D48" s="4"/>
      <c r="E48" s="4"/>
      <c r="F48" s="4"/>
      <c r="G48" s="4"/>
      <c r="H48" s="17"/>
      <c r="I48" s="17"/>
      <c r="J48" s="18" t="str">
        <f t="shared" si="2"/>
        <v/>
      </c>
      <c r="K48" s="7" t="str">
        <f t="shared" si="3"/>
        <v/>
      </c>
      <c r="L48" s="4"/>
      <c r="M48" s="4"/>
      <c r="N48" s="4"/>
    </row>
    <row r="49" spans="1:14">
      <c r="A49" s="19"/>
      <c r="B49" s="4"/>
      <c r="C49" s="4"/>
      <c r="D49" s="4"/>
      <c r="E49" s="4"/>
      <c r="F49" s="4"/>
      <c r="G49" s="4"/>
      <c r="H49" s="17"/>
      <c r="I49" s="17"/>
      <c r="J49" s="18" t="str">
        <f t="shared" si="2"/>
        <v/>
      </c>
      <c r="K49" s="7" t="str">
        <f t="shared" si="3"/>
        <v/>
      </c>
      <c r="L49" s="4"/>
      <c r="M49" s="4"/>
      <c r="N49" s="4"/>
    </row>
    <row r="50" spans="1:14">
      <c r="A50" s="19"/>
      <c r="B50" s="4"/>
      <c r="C50" s="4"/>
      <c r="D50" s="4"/>
      <c r="E50" s="4"/>
      <c r="F50" s="4"/>
      <c r="G50" s="4"/>
      <c r="H50" s="17"/>
      <c r="I50" s="17"/>
      <c r="J50" s="18" t="str">
        <f t="shared" si="2"/>
        <v/>
      </c>
      <c r="K50" s="7" t="str">
        <f t="shared" si="3"/>
        <v/>
      </c>
      <c r="L50" s="4"/>
      <c r="M50" s="4"/>
      <c r="N50" s="4"/>
    </row>
    <row r="51" spans="1:14">
      <c r="A51" s="19"/>
      <c r="B51" s="4"/>
      <c r="C51" s="4"/>
      <c r="D51" s="4"/>
      <c r="E51" s="4"/>
      <c r="F51" s="4"/>
      <c r="G51" s="4"/>
      <c r="H51" s="17"/>
      <c r="I51" s="17"/>
      <c r="J51" s="18" t="str">
        <f t="shared" si="2"/>
        <v/>
      </c>
      <c r="K51" s="7" t="str">
        <f t="shared" si="3"/>
        <v/>
      </c>
      <c r="L51" s="4"/>
      <c r="M51" s="4"/>
      <c r="N51" s="4"/>
    </row>
    <row r="52" spans="1:14">
      <c r="A52" s="19"/>
      <c r="B52" s="4"/>
      <c r="C52" s="4"/>
      <c r="D52" s="4"/>
      <c r="E52" s="4"/>
      <c r="F52" s="4"/>
      <c r="G52" s="4"/>
      <c r="H52" s="17"/>
      <c r="I52" s="17"/>
      <c r="J52" s="18" t="str">
        <f t="shared" si="2"/>
        <v/>
      </c>
      <c r="K52" s="7" t="str">
        <f t="shared" si="3"/>
        <v/>
      </c>
      <c r="L52" s="4"/>
      <c r="M52" s="4"/>
      <c r="N52" s="4"/>
    </row>
    <row r="53" spans="1:14">
      <c r="A53" s="19"/>
      <c r="B53" s="4"/>
      <c r="C53" s="4"/>
      <c r="D53" s="4"/>
      <c r="E53" s="4"/>
      <c r="F53" s="4"/>
      <c r="G53" s="4"/>
      <c r="H53" s="17"/>
      <c r="I53" s="17"/>
      <c r="J53" s="18" t="str">
        <f t="shared" si="2"/>
        <v/>
      </c>
      <c r="K53" s="7" t="str">
        <f t="shared" si="3"/>
        <v/>
      </c>
      <c r="L53" s="4"/>
      <c r="M53" s="4"/>
      <c r="N53" s="4"/>
    </row>
    <row r="54" spans="1:14">
      <c r="A54" s="19"/>
      <c r="B54" s="4"/>
      <c r="C54" s="4"/>
      <c r="D54" s="4"/>
      <c r="E54" s="4"/>
      <c r="F54" s="4"/>
      <c r="G54" s="4"/>
      <c r="H54" s="17"/>
      <c r="I54" s="17"/>
      <c r="J54" s="18" t="str">
        <f t="shared" si="2"/>
        <v/>
      </c>
      <c r="K54" s="7" t="str">
        <f t="shared" si="3"/>
        <v/>
      </c>
      <c r="L54" s="4"/>
      <c r="M54" s="4"/>
      <c r="N54" s="4"/>
    </row>
    <row r="55" spans="1:14">
      <c r="A55" s="19"/>
      <c r="B55" s="4"/>
      <c r="C55" s="4"/>
      <c r="D55" s="4"/>
      <c r="E55" s="4"/>
      <c r="F55" s="4"/>
      <c r="G55" s="4"/>
      <c r="H55" s="17"/>
      <c r="I55" s="17"/>
      <c r="J55" s="18" t="str">
        <f t="shared" si="2"/>
        <v/>
      </c>
      <c r="K55" s="7" t="str">
        <f t="shared" si="3"/>
        <v/>
      </c>
      <c r="L55" s="4"/>
      <c r="M55" s="4"/>
      <c r="N55" s="4"/>
    </row>
    <row r="56" spans="1:14">
      <c r="A56" s="19"/>
      <c r="B56" s="4"/>
      <c r="C56" s="4"/>
      <c r="D56" s="4"/>
      <c r="E56" s="4"/>
      <c r="F56" s="4"/>
      <c r="G56" s="4"/>
      <c r="H56" s="17"/>
      <c r="I56" s="17"/>
      <c r="J56" s="18" t="str">
        <f t="shared" si="2"/>
        <v/>
      </c>
      <c r="K56" s="7" t="str">
        <f t="shared" si="3"/>
        <v/>
      </c>
      <c r="L56" s="4"/>
      <c r="M56" s="4"/>
      <c r="N56" s="4"/>
    </row>
    <row r="57" spans="1:14">
      <c r="A57" s="19"/>
      <c r="B57" s="4"/>
      <c r="C57" s="4"/>
      <c r="D57" s="4"/>
      <c r="E57" s="4"/>
      <c r="F57" s="4"/>
      <c r="G57" s="4"/>
      <c r="H57" s="17"/>
      <c r="I57" s="17"/>
      <c r="J57" s="18" t="str">
        <f t="shared" si="2"/>
        <v/>
      </c>
      <c r="K57" s="7" t="str">
        <f t="shared" si="3"/>
        <v/>
      </c>
      <c r="L57" s="4"/>
      <c r="M57" s="4"/>
      <c r="N57" s="4"/>
    </row>
    <row r="58" spans="1:14">
      <c r="A58" s="19"/>
      <c r="B58" s="4"/>
      <c r="C58" s="4"/>
      <c r="D58" s="4"/>
      <c r="E58" s="4"/>
      <c r="F58" s="4"/>
      <c r="G58" s="4"/>
      <c r="H58" s="17"/>
      <c r="I58" s="17"/>
      <c r="J58" s="18" t="str">
        <f t="shared" si="2"/>
        <v/>
      </c>
      <c r="K58" s="7" t="str">
        <f t="shared" si="3"/>
        <v/>
      </c>
      <c r="L58" s="4"/>
      <c r="M58" s="4"/>
      <c r="N58" s="4"/>
    </row>
    <row r="59" spans="1:14">
      <c r="A59" s="19"/>
      <c r="B59" s="4"/>
      <c r="C59" s="4"/>
      <c r="D59" s="4"/>
      <c r="E59" s="4"/>
      <c r="F59" s="4"/>
      <c r="G59" s="4"/>
      <c r="H59" s="17"/>
      <c r="I59" s="17"/>
      <c r="J59" s="18" t="str">
        <f t="shared" si="2"/>
        <v/>
      </c>
      <c r="K59" s="7" t="str">
        <f t="shared" si="3"/>
        <v/>
      </c>
      <c r="L59" s="4"/>
      <c r="M59" s="4"/>
      <c r="N59" s="4"/>
    </row>
    <row r="60" spans="1:14">
      <c r="A60" s="19"/>
      <c r="B60" s="4"/>
      <c r="C60" s="4"/>
      <c r="D60" s="4"/>
      <c r="E60" s="4"/>
      <c r="F60" s="4"/>
      <c r="G60" s="4"/>
      <c r="H60" s="17"/>
      <c r="I60" s="17"/>
      <c r="J60" s="18" t="str">
        <f t="shared" si="2"/>
        <v/>
      </c>
      <c r="K60" s="7" t="str">
        <f t="shared" si="3"/>
        <v/>
      </c>
      <c r="L60" s="4"/>
      <c r="M60" s="4"/>
      <c r="N60" s="4"/>
    </row>
    <row r="61" spans="1:14">
      <c r="A61" s="19"/>
      <c r="B61" s="4"/>
      <c r="C61" s="4"/>
      <c r="D61" s="4"/>
      <c r="E61" s="4"/>
      <c r="F61" s="4"/>
      <c r="G61" s="4"/>
      <c r="H61" s="17"/>
      <c r="I61" s="17"/>
      <c r="J61" s="18" t="str">
        <f t="shared" si="2"/>
        <v/>
      </c>
      <c r="K61" s="7" t="str">
        <f t="shared" si="3"/>
        <v/>
      </c>
      <c r="L61" s="4"/>
      <c r="M61" s="4"/>
      <c r="N61" s="4"/>
    </row>
    <row r="62" spans="1:14">
      <c r="A62" s="19"/>
      <c r="B62" s="4"/>
      <c r="C62" s="4"/>
      <c r="D62" s="4"/>
      <c r="E62" s="4"/>
      <c r="F62" s="4"/>
      <c r="G62" s="4"/>
      <c r="H62" s="17"/>
      <c r="I62" s="17"/>
      <c r="J62" s="18" t="str">
        <f t="shared" si="2"/>
        <v/>
      </c>
      <c r="K62" s="7" t="str">
        <f t="shared" si="3"/>
        <v/>
      </c>
      <c r="L62" s="4"/>
      <c r="M62" s="4"/>
      <c r="N62" s="4"/>
    </row>
    <row r="63" spans="1:14">
      <c r="A63" s="19"/>
      <c r="B63" s="4"/>
      <c r="C63" s="4"/>
      <c r="D63" s="4"/>
      <c r="E63" s="4"/>
      <c r="F63" s="4"/>
      <c r="G63" s="4"/>
      <c r="H63" s="17"/>
      <c r="I63" s="17"/>
      <c r="J63" s="18" t="str">
        <f t="shared" si="2"/>
        <v/>
      </c>
      <c r="K63" s="7" t="str">
        <f t="shared" si="3"/>
        <v/>
      </c>
      <c r="L63" s="4"/>
      <c r="M63" s="4"/>
      <c r="N63" s="4"/>
    </row>
    <row r="64" spans="1:14">
      <c r="A64" s="19"/>
      <c r="B64" s="4"/>
      <c r="C64" s="4"/>
      <c r="D64" s="4"/>
      <c r="E64" s="4"/>
      <c r="F64" s="4"/>
      <c r="G64" s="4"/>
      <c r="H64" s="17"/>
      <c r="I64" s="17"/>
      <c r="J64" s="18" t="str">
        <f t="shared" si="2"/>
        <v/>
      </c>
      <c r="K64" s="7" t="str">
        <f t="shared" si="3"/>
        <v/>
      </c>
      <c r="L64" s="4"/>
      <c r="M64" s="4"/>
      <c r="N64" s="4"/>
    </row>
    <row r="65" spans="1:14">
      <c r="A65" s="19"/>
      <c r="B65" s="4"/>
      <c r="C65" s="4"/>
      <c r="D65" s="4"/>
      <c r="E65" s="4"/>
      <c r="F65" s="4"/>
      <c r="G65" s="4"/>
      <c r="H65" s="17"/>
      <c r="I65" s="17"/>
      <c r="J65" s="18" t="str">
        <f t="shared" si="2"/>
        <v/>
      </c>
      <c r="K65" s="7" t="str">
        <f t="shared" si="3"/>
        <v/>
      </c>
      <c r="L65" s="4"/>
      <c r="M65" s="4"/>
      <c r="N65" s="4"/>
    </row>
    <row r="66" spans="1:14">
      <c r="A66" s="19"/>
      <c r="B66" s="4"/>
      <c r="C66" s="4"/>
      <c r="D66" s="4"/>
      <c r="E66" s="4"/>
      <c r="F66" s="4"/>
      <c r="G66" s="4"/>
      <c r="H66" s="17"/>
      <c r="I66" s="17"/>
      <c r="J66" s="18" t="str">
        <f t="shared" si="2"/>
        <v/>
      </c>
      <c r="K66" s="7" t="str">
        <f t="shared" si="3"/>
        <v/>
      </c>
      <c r="L66" s="4"/>
      <c r="M66" s="4"/>
      <c r="N66" s="4"/>
    </row>
    <row r="67" spans="1:14">
      <c r="A67" s="19"/>
      <c r="B67" s="4"/>
      <c r="C67" s="4"/>
      <c r="D67" s="4"/>
      <c r="E67" s="4"/>
      <c r="F67" s="4"/>
      <c r="G67" s="4"/>
      <c r="H67" s="17"/>
      <c r="I67" s="17"/>
      <c r="J67" s="18" t="str">
        <f t="shared" si="2"/>
        <v/>
      </c>
      <c r="K67" s="7" t="str">
        <f t="shared" si="3"/>
        <v/>
      </c>
      <c r="L67" s="4"/>
      <c r="M67" s="4"/>
      <c r="N67" s="4"/>
    </row>
    <row r="68" spans="1:14">
      <c r="A68" s="19"/>
      <c r="B68" s="4"/>
      <c r="C68" s="4"/>
      <c r="D68" s="4"/>
      <c r="E68" s="4"/>
      <c r="F68" s="4"/>
      <c r="G68" s="4"/>
      <c r="H68" s="17"/>
      <c r="I68" s="17"/>
      <c r="J68" s="18" t="str">
        <f t="shared" si="2"/>
        <v/>
      </c>
      <c r="K68" s="7" t="str">
        <f t="shared" si="3"/>
        <v/>
      </c>
      <c r="L68" s="4"/>
      <c r="M68" s="4"/>
      <c r="N68" s="4"/>
    </row>
    <row r="69" spans="1:14">
      <c r="A69" s="19"/>
      <c r="B69" s="4"/>
      <c r="C69" s="4"/>
      <c r="D69" s="4"/>
      <c r="E69" s="4"/>
      <c r="F69" s="4"/>
      <c r="G69" s="4"/>
      <c r="H69" s="17"/>
      <c r="I69" s="17"/>
      <c r="J69" s="18" t="str">
        <f t="shared" ref="J69:J100" si="4">IF(A69="","",H69-I69)</f>
        <v/>
      </c>
      <c r="K69" s="7" t="str">
        <f t="shared" ref="K69:K100" si="5">IF(H69=0,"",J69/H69)</f>
        <v/>
      </c>
      <c r="L69" s="4"/>
      <c r="M69" s="4"/>
      <c r="N69" s="4"/>
    </row>
    <row r="70" spans="1:14">
      <c r="A70" s="19"/>
      <c r="B70" s="4"/>
      <c r="C70" s="4"/>
      <c r="D70" s="4"/>
      <c r="E70" s="4"/>
      <c r="F70" s="4"/>
      <c r="G70" s="4"/>
      <c r="H70" s="17"/>
      <c r="I70" s="17"/>
      <c r="J70" s="18" t="str">
        <f t="shared" si="4"/>
        <v/>
      </c>
      <c r="K70" s="7" t="str">
        <f t="shared" si="5"/>
        <v/>
      </c>
      <c r="L70" s="4"/>
      <c r="M70" s="4"/>
      <c r="N70" s="4"/>
    </row>
    <row r="71" spans="1:14">
      <c r="A71" s="19"/>
      <c r="B71" s="4"/>
      <c r="C71" s="4"/>
      <c r="D71" s="4"/>
      <c r="E71" s="4"/>
      <c r="F71" s="4"/>
      <c r="G71" s="4"/>
      <c r="H71" s="17"/>
      <c r="I71" s="17"/>
      <c r="J71" s="18" t="str">
        <f t="shared" si="4"/>
        <v/>
      </c>
      <c r="K71" s="7" t="str">
        <f t="shared" si="5"/>
        <v/>
      </c>
      <c r="L71" s="4"/>
      <c r="M71" s="4"/>
      <c r="N71" s="4"/>
    </row>
    <row r="72" spans="1:14">
      <c r="A72" s="19"/>
      <c r="B72" s="4"/>
      <c r="C72" s="4"/>
      <c r="D72" s="4"/>
      <c r="E72" s="4"/>
      <c r="F72" s="4"/>
      <c r="G72" s="4"/>
      <c r="H72" s="17"/>
      <c r="I72" s="17"/>
      <c r="J72" s="18" t="str">
        <f t="shared" si="4"/>
        <v/>
      </c>
      <c r="K72" s="7" t="str">
        <f t="shared" si="5"/>
        <v/>
      </c>
      <c r="L72" s="4"/>
      <c r="M72" s="4"/>
      <c r="N72" s="4"/>
    </row>
    <row r="73" spans="1:14">
      <c r="A73" s="19"/>
      <c r="B73" s="4"/>
      <c r="C73" s="4"/>
      <c r="D73" s="4"/>
      <c r="E73" s="4"/>
      <c r="F73" s="4"/>
      <c r="G73" s="4"/>
      <c r="H73" s="17"/>
      <c r="I73" s="17"/>
      <c r="J73" s="18" t="str">
        <f t="shared" si="4"/>
        <v/>
      </c>
      <c r="K73" s="7" t="str">
        <f t="shared" si="5"/>
        <v/>
      </c>
      <c r="L73" s="4"/>
      <c r="M73" s="4"/>
      <c r="N73" s="4"/>
    </row>
    <row r="74" spans="1:14">
      <c r="A74" s="19"/>
      <c r="B74" s="4"/>
      <c r="C74" s="4"/>
      <c r="D74" s="4"/>
      <c r="E74" s="4"/>
      <c r="F74" s="4"/>
      <c r="G74" s="4"/>
      <c r="H74" s="17"/>
      <c r="I74" s="17"/>
      <c r="J74" s="18" t="str">
        <f t="shared" si="4"/>
        <v/>
      </c>
      <c r="K74" s="7" t="str">
        <f t="shared" si="5"/>
        <v/>
      </c>
      <c r="L74" s="4"/>
      <c r="M74" s="4"/>
      <c r="N74" s="4"/>
    </row>
    <row r="75" spans="1:14">
      <c r="A75" s="19"/>
      <c r="B75" s="4"/>
      <c r="C75" s="4"/>
      <c r="D75" s="4"/>
      <c r="E75" s="4"/>
      <c r="F75" s="4"/>
      <c r="G75" s="4"/>
      <c r="H75" s="17"/>
      <c r="I75" s="17"/>
      <c r="J75" s="18" t="str">
        <f t="shared" si="4"/>
        <v/>
      </c>
      <c r="K75" s="7" t="str">
        <f t="shared" si="5"/>
        <v/>
      </c>
      <c r="L75" s="4"/>
      <c r="M75" s="4"/>
      <c r="N75" s="4"/>
    </row>
    <row r="76" spans="1:14">
      <c r="A76" s="19"/>
      <c r="B76" s="4"/>
      <c r="C76" s="4"/>
      <c r="D76" s="4"/>
      <c r="E76" s="4"/>
      <c r="F76" s="4"/>
      <c r="G76" s="4"/>
      <c r="H76" s="17"/>
      <c r="I76" s="17"/>
      <c r="J76" s="18" t="str">
        <f t="shared" si="4"/>
        <v/>
      </c>
      <c r="K76" s="7" t="str">
        <f t="shared" si="5"/>
        <v/>
      </c>
      <c r="L76" s="4"/>
      <c r="M76" s="4"/>
      <c r="N76" s="4"/>
    </row>
    <row r="77" spans="1:14">
      <c r="A77" s="19"/>
      <c r="B77" s="4"/>
      <c r="C77" s="4"/>
      <c r="D77" s="4"/>
      <c r="E77" s="4"/>
      <c r="F77" s="4"/>
      <c r="G77" s="4"/>
      <c r="H77" s="17"/>
      <c r="I77" s="17"/>
      <c r="J77" s="18" t="str">
        <f t="shared" si="4"/>
        <v/>
      </c>
      <c r="K77" s="7" t="str">
        <f t="shared" si="5"/>
        <v/>
      </c>
      <c r="L77" s="4"/>
      <c r="M77" s="4"/>
      <c r="N77" s="4"/>
    </row>
    <row r="78" spans="1:14">
      <c r="A78" s="19"/>
      <c r="B78" s="4"/>
      <c r="C78" s="4"/>
      <c r="D78" s="4"/>
      <c r="E78" s="4"/>
      <c r="F78" s="4"/>
      <c r="G78" s="4"/>
      <c r="H78" s="17"/>
      <c r="I78" s="17"/>
      <c r="J78" s="18" t="str">
        <f t="shared" si="4"/>
        <v/>
      </c>
      <c r="K78" s="7" t="str">
        <f t="shared" si="5"/>
        <v/>
      </c>
      <c r="L78" s="4"/>
      <c r="M78" s="4"/>
      <c r="N78" s="4"/>
    </row>
    <row r="79" spans="1:14">
      <c r="A79" s="19"/>
      <c r="B79" s="4"/>
      <c r="C79" s="4"/>
      <c r="D79" s="4"/>
      <c r="E79" s="4"/>
      <c r="F79" s="4"/>
      <c r="G79" s="4"/>
      <c r="H79" s="17"/>
      <c r="I79" s="17"/>
      <c r="J79" s="18" t="str">
        <f t="shared" si="4"/>
        <v/>
      </c>
      <c r="K79" s="7" t="str">
        <f t="shared" si="5"/>
        <v/>
      </c>
      <c r="L79" s="4"/>
      <c r="M79" s="4"/>
      <c r="N79" s="4"/>
    </row>
    <row r="80" spans="1:14">
      <c r="A80" s="19"/>
      <c r="B80" s="4"/>
      <c r="C80" s="4"/>
      <c r="D80" s="4"/>
      <c r="E80" s="4"/>
      <c r="F80" s="4"/>
      <c r="G80" s="4"/>
      <c r="H80" s="17"/>
      <c r="I80" s="17"/>
      <c r="J80" s="18" t="str">
        <f t="shared" si="4"/>
        <v/>
      </c>
      <c r="K80" s="7" t="str">
        <f t="shared" si="5"/>
        <v/>
      </c>
      <c r="L80" s="4"/>
      <c r="M80" s="4"/>
      <c r="N80" s="4"/>
    </row>
    <row r="81" spans="1:14">
      <c r="A81" s="19"/>
      <c r="B81" s="4"/>
      <c r="C81" s="4"/>
      <c r="D81" s="4"/>
      <c r="E81" s="4"/>
      <c r="F81" s="4"/>
      <c r="G81" s="4"/>
      <c r="H81" s="17"/>
      <c r="I81" s="17"/>
      <c r="J81" s="18" t="str">
        <f t="shared" si="4"/>
        <v/>
      </c>
      <c r="K81" s="7" t="str">
        <f t="shared" si="5"/>
        <v/>
      </c>
      <c r="L81" s="4"/>
      <c r="M81" s="4"/>
      <c r="N81" s="4"/>
    </row>
    <row r="82" spans="1:14">
      <c r="A82" s="19"/>
      <c r="B82" s="4"/>
      <c r="C82" s="4"/>
      <c r="D82" s="4"/>
      <c r="E82" s="4"/>
      <c r="F82" s="4"/>
      <c r="G82" s="4"/>
      <c r="H82" s="17"/>
      <c r="I82" s="17"/>
      <c r="J82" s="18" t="str">
        <f t="shared" si="4"/>
        <v/>
      </c>
      <c r="K82" s="7" t="str">
        <f t="shared" si="5"/>
        <v/>
      </c>
      <c r="L82" s="4"/>
      <c r="M82" s="4"/>
      <c r="N82" s="4"/>
    </row>
    <row r="83" spans="1:14">
      <c r="A83" s="19"/>
      <c r="B83" s="4"/>
      <c r="C83" s="4"/>
      <c r="D83" s="4"/>
      <c r="E83" s="4"/>
      <c r="F83" s="4"/>
      <c r="G83" s="4"/>
      <c r="H83" s="17"/>
      <c r="I83" s="17"/>
      <c r="J83" s="18" t="str">
        <f t="shared" si="4"/>
        <v/>
      </c>
      <c r="K83" s="7" t="str">
        <f t="shared" si="5"/>
        <v/>
      </c>
      <c r="L83" s="4"/>
      <c r="M83" s="4"/>
      <c r="N83" s="4"/>
    </row>
    <row r="84" spans="1:14">
      <c r="A84" s="19"/>
      <c r="B84" s="4"/>
      <c r="C84" s="4"/>
      <c r="D84" s="4"/>
      <c r="E84" s="4"/>
      <c r="F84" s="4"/>
      <c r="G84" s="4"/>
      <c r="H84" s="17"/>
      <c r="I84" s="17"/>
      <c r="J84" s="18" t="str">
        <f t="shared" si="4"/>
        <v/>
      </c>
      <c r="K84" s="7" t="str">
        <f t="shared" si="5"/>
        <v/>
      </c>
      <c r="L84" s="4"/>
      <c r="M84" s="4"/>
      <c r="N84" s="4"/>
    </row>
    <row r="85" spans="1:14">
      <c r="A85" s="19"/>
      <c r="B85" s="4"/>
      <c r="C85" s="4"/>
      <c r="D85" s="4"/>
      <c r="E85" s="4"/>
      <c r="F85" s="4"/>
      <c r="G85" s="4"/>
      <c r="H85" s="17"/>
      <c r="I85" s="17"/>
      <c r="J85" s="18" t="str">
        <f t="shared" si="4"/>
        <v/>
      </c>
      <c r="K85" s="7" t="str">
        <f t="shared" si="5"/>
        <v/>
      </c>
      <c r="L85" s="4"/>
      <c r="M85" s="4"/>
      <c r="N85" s="4"/>
    </row>
    <row r="86" spans="1:14">
      <c r="A86" s="19"/>
      <c r="B86" s="4"/>
      <c r="C86" s="4"/>
      <c r="D86" s="4"/>
      <c r="E86" s="4"/>
      <c r="F86" s="4"/>
      <c r="G86" s="4"/>
      <c r="H86" s="17"/>
      <c r="I86" s="17"/>
      <c r="J86" s="18" t="str">
        <f t="shared" si="4"/>
        <v/>
      </c>
      <c r="K86" s="7" t="str">
        <f t="shared" si="5"/>
        <v/>
      </c>
      <c r="L86" s="4"/>
      <c r="M86" s="4"/>
      <c r="N86" s="4"/>
    </row>
    <row r="87" spans="1:14">
      <c r="A87" s="19"/>
      <c r="B87" s="4"/>
      <c r="C87" s="4"/>
      <c r="D87" s="4"/>
      <c r="E87" s="4"/>
      <c r="F87" s="4"/>
      <c r="G87" s="4"/>
      <c r="H87" s="17"/>
      <c r="I87" s="17"/>
      <c r="J87" s="18" t="str">
        <f t="shared" si="4"/>
        <v/>
      </c>
      <c r="K87" s="7" t="str">
        <f t="shared" si="5"/>
        <v/>
      </c>
      <c r="L87" s="4"/>
      <c r="M87" s="4"/>
      <c r="N87" s="4"/>
    </row>
    <row r="88" spans="1:14">
      <c r="A88" s="19"/>
      <c r="B88" s="4"/>
      <c r="C88" s="4"/>
      <c r="D88" s="4"/>
      <c r="E88" s="4"/>
      <c r="F88" s="4"/>
      <c r="G88" s="4"/>
      <c r="H88" s="17"/>
      <c r="I88" s="17"/>
      <c r="J88" s="18" t="str">
        <f t="shared" si="4"/>
        <v/>
      </c>
      <c r="K88" s="7" t="str">
        <f t="shared" si="5"/>
        <v/>
      </c>
      <c r="L88" s="4"/>
      <c r="M88" s="4"/>
      <c r="N88" s="4"/>
    </row>
    <row r="89" spans="1:14">
      <c r="A89" s="19"/>
      <c r="B89" s="4"/>
      <c r="C89" s="4"/>
      <c r="D89" s="4"/>
      <c r="E89" s="4"/>
      <c r="F89" s="4"/>
      <c r="G89" s="4"/>
      <c r="H89" s="17"/>
      <c r="I89" s="17"/>
      <c r="J89" s="18" t="str">
        <f t="shared" si="4"/>
        <v/>
      </c>
      <c r="K89" s="7" t="str">
        <f t="shared" si="5"/>
        <v/>
      </c>
      <c r="L89" s="4"/>
      <c r="M89" s="4"/>
      <c r="N89" s="4"/>
    </row>
    <row r="90" spans="1:14">
      <c r="A90" s="19"/>
      <c r="B90" s="4"/>
      <c r="C90" s="4"/>
      <c r="D90" s="4"/>
      <c r="E90" s="4"/>
      <c r="F90" s="4"/>
      <c r="G90" s="4"/>
      <c r="H90" s="17"/>
      <c r="I90" s="17"/>
      <c r="J90" s="18" t="str">
        <f t="shared" si="4"/>
        <v/>
      </c>
      <c r="K90" s="7" t="str">
        <f t="shared" si="5"/>
        <v/>
      </c>
      <c r="L90" s="4"/>
      <c r="M90" s="4"/>
      <c r="N90" s="4"/>
    </row>
    <row r="91" spans="1:14">
      <c r="A91" s="19"/>
      <c r="B91" s="4"/>
      <c r="C91" s="4"/>
      <c r="D91" s="4"/>
      <c r="E91" s="4"/>
      <c r="F91" s="4"/>
      <c r="G91" s="4"/>
      <c r="H91" s="17"/>
      <c r="I91" s="17"/>
      <c r="J91" s="18" t="str">
        <f t="shared" si="4"/>
        <v/>
      </c>
      <c r="K91" s="7" t="str">
        <f t="shared" si="5"/>
        <v/>
      </c>
      <c r="L91" s="4"/>
      <c r="M91" s="4"/>
      <c r="N91" s="4"/>
    </row>
    <row r="92" spans="1:14">
      <c r="A92" s="19"/>
      <c r="B92" s="4"/>
      <c r="C92" s="4"/>
      <c r="D92" s="4"/>
      <c r="E92" s="4"/>
      <c r="F92" s="4"/>
      <c r="G92" s="4"/>
      <c r="H92" s="17"/>
      <c r="I92" s="17"/>
      <c r="J92" s="18" t="str">
        <f t="shared" si="4"/>
        <v/>
      </c>
      <c r="K92" s="7" t="str">
        <f t="shared" si="5"/>
        <v/>
      </c>
      <c r="L92" s="4"/>
      <c r="M92" s="4"/>
      <c r="N92" s="4"/>
    </row>
    <row r="93" spans="1:14">
      <c r="A93" s="19"/>
      <c r="B93" s="4"/>
      <c r="C93" s="4"/>
      <c r="D93" s="4"/>
      <c r="E93" s="4"/>
      <c r="F93" s="4"/>
      <c r="G93" s="4"/>
      <c r="H93" s="17"/>
      <c r="I93" s="17"/>
      <c r="J93" s="18" t="str">
        <f t="shared" si="4"/>
        <v/>
      </c>
      <c r="K93" s="7" t="str">
        <f t="shared" si="5"/>
        <v/>
      </c>
      <c r="L93" s="4"/>
      <c r="M93" s="4"/>
      <c r="N93" s="4"/>
    </row>
    <row r="94" spans="1:14">
      <c r="A94" s="19"/>
      <c r="B94" s="4"/>
      <c r="C94" s="4"/>
      <c r="D94" s="4"/>
      <c r="E94" s="4"/>
      <c r="F94" s="4"/>
      <c r="G94" s="4"/>
      <c r="H94" s="17"/>
      <c r="I94" s="17"/>
      <c r="J94" s="18" t="str">
        <f t="shared" si="4"/>
        <v/>
      </c>
      <c r="K94" s="7" t="str">
        <f t="shared" si="5"/>
        <v/>
      </c>
      <c r="L94" s="4"/>
      <c r="M94" s="4"/>
      <c r="N94" s="4"/>
    </row>
    <row r="95" spans="1:14">
      <c r="A95" s="19"/>
      <c r="B95" s="4"/>
      <c r="C95" s="4"/>
      <c r="D95" s="4"/>
      <c r="E95" s="4"/>
      <c r="F95" s="4"/>
      <c r="G95" s="4"/>
      <c r="H95" s="17"/>
      <c r="I95" s="17"/>
      <c r="J95" s="18" t="str">
        <f t="shared" si="4"/>
        <v/>
      </c>
      <c r="K95" s="7" t="str">
        <f t="shared" si="5"/>
        <v/>
      </c>
      <c r="L95" s="4"/>
      <c r="M95" s="4"/>
      <c r="N95" s="4"/>
    </row>
    <row r="96" spans="1:14">
      <c r="A96" s="19"/>
      <c r="B96" s="4"/>
      <c r="C96" s="4"/>
      <c r="D96" s="4"/>
      <c r="E96" s="4"/>
      <c r="F96" s="4"/>
      <c r="G96" s="4"/>
      <c r="H96" s="17"/>
      <c r="I96" s="17"/>
      <c r="J96" s="18" t="str">
        <f t="shared" si="4"/>
        <v/>
      </c>
      <c r="K96" s="7" t="str">
        <f t="shared" si="5"/>
        <v/>
      </c>
      <c r="L96" s="4"/>
      <c r="M96" s="4"/>
      <c r="N96" s="4"/>
    </row>
    <row r="97" spans="1:14">
      <c r="A97" s="19"/>
      <c r="B97" s="4"/>
      <c r="C97" s="4"/>
      <c r="D97" s="4"/>
      <c r="E97" s="4"/>
      <c r="F97" s="4"/>
      <c r="G97" s="4"/>
      <c r="H97" s="17"/>
      <c r="I97" s="17"/>
      <c r="J97" s="18" t="str">
        <f t="shared" si="4"/>
        <v/>
      </c>
      <c r="K97" s="7" t="str">
        <f t="shared" si="5"/>
        <v/>
      </c>
      <c r="L97" s="4"/>
      <c r="M97" s="4"/>
      <c r="N97" s="4"/>
    </row>
    <row r="98" spans="1:14">
      <c r="A98" s="19"/>
      <c r="B98" s="4"/>
      <c r="C98" s="4"/>
      <c r="D98" s="4"/>
      <c r="E98" s="4"/>
      <c r="F98" s="4"/>
      <c r="G98" s="4"/>
      <c r="H98" s="17"/>
      <c r="I98" s="17"/>
      <c r="J98" s="18" t="str">
        <f t="shared" si="4"/>
        <v/>
      </c>
      <c r="K98" s="7" t="str">
        <f t="shared" si="5"/>
        <v/>
      </c>
      <c r="L98" s="4"/>
      <c r="M98" s="4"/>
      <c r="N98" s="4"/>
    </row>
    <row r="99" spans="1:14">
      <c r="A99" s="19"/>
      <c r="B99" s="4"/>
      <c r="C99" s="4"/>
      <c r="D99" s="4"/>
      <c r="E99" s="4"/>
      <c r="F99" s="4"/>
      <c r="G99" s="4"/>
      <c r="H99" s="17"/>
      <c r="I99" s="17"/>
      <c r="J99" s="18" t="str">
        <f t="shared" si="4"/>
        <v/>
      </c>
      <c r="K99" s="7" t="str">
        <f t="shared" si="5"/>
        <v/>
      </c>
      <c r="L99" s="4"/>
      <c r="M99" s="4"/>
      <c r="N99" s="4"/>
    </row>
    <row r="100" spans="1:14">
      <c r="A100" s="19"/>
      <c r="B100" s="4"/>
      <c r="C100" s="4"/>
      <c r="D100" s="4"/>
      <c r="E100" s="4"/>
      <c r="F100" s="4"/>
      <c r="G100" s="4"/>
      <c r="H100" s="17"/>
      <c r="I100" s="17"/>
      <c r="J100" s="18" t="str">
        <f t="shared" si="4"/>
        <v/>
      </c>
      <c r="K100" s="7" t="str">
        <f t="shared" si="5"/>
        <v/>
      </c>
      <c r="L100" s="4"/>
      <c r="M100" s="4"/>
      <c r="N100" s="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100"/>
  <sheetViews>
    <sheetView workbookViewId="0">
      <selection sqref="A1:B1"/>
    </sheetView>
  </sheetViews>
  <sheetFormatPr defaultRowHeight="13.8"/>
  <cols>
    <col min="1" max="1" width="10" customWidth="1"/>
    <col min="2" max="2" width="15" customWidth="1"/>
    <col min="3" max="3" width="18" customWidth="1"/>
    <col min="4" max="7" width="14" customWidth="1"/>
    <col min="8" max="9" width="16" customWidth="1"/>
    <col min="10" max="10" width="14" customWidth="1"/>
    <col min="11" max="12" width="16" customWidth="1"/>
    <col min="13" max="13" width="20" customWidth="1"/>
    <col min="14" max="14" width="24" customWidth="1"/>
  </cols>
  <sheetData>
    <row r="1" spans="1:14" ht="37.049999999999997" customHeight="1">
      <c r="A1" s="22" t="s">
        <v>198</v>
      </c>
      <c r="B1" s="23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4" ht="66">
      <c r="A2" s="2" t="s">
        <v>199</v>
      </c>
    </row>
    <row r="4" spans="1:14">
      <c r="A4" s="3" t="s">
        <v>200</v>
      </c>
      <c r="B4" s="3" t="s">
        <v>201</v>
      </c>
      <c r="C4" s="3" t="s">
        <v>202</v>
      </c>
      <c r="D4" s="3" t="s">
        <v>203</v>
      </c>
      <c r="E4" s="3" t="s">
        <v>204</v>
      </c>
      <c r="F4" s="3" t="s">
        <v>205</v>
      </c>
      <c r="G4" s="3" t="s">
        <v>206</v>
      </c>
      <c r="H4" s="3" t="s">
        <v>167</v>
      </c>
      <c r="I4" s="3" t="s">
        <v>168</v>
      </c>
      <c r="J4" s="3" t="s">
        <v>40</v>
      </c>
      <c r="K4" s="3" t="s">
        <v>207</v>
      </c>
      <c r="L4" s="3" t="s">
        <v>90</v>
      </c>
      <c r="M4" s="3" t="s">
        <v>208</v>
      </c>
      <c r="N4" s="3" t="s">
        <v>12</v>
      </c>
    </row>
    <row r="5" spans="1:14">
      <c r="A5" s="4" t="s">
        <v>43</v>
      </c>
      <c r="B5" s="4" t="s">
        <v>14</v>
      </c>
      <c r="C5" s="4" t="s">
        <v>21</v>
      </c>
      <c r="D5" s="4">
        <v>60.293399999999998</v>
      </c>
      <c r="E5" s="4">
        <v>25.037800000000001</v>
      </c>
      <c r="F5" s="4">
        <v>61.485100000000003</v>
      </c>
      <c r="G5" s="4">
        <v>21.7972</v>
      </c>
      <c r="H5" s="4">
        <v>290</v>
      </c>
      <c r="I5" s="4">
        <v>40</v>
      </c>
      <c r="J5" s="5">
        <v>0.18</v>
      </c>
      <c r="K5" s="4">
        <v>304.5</v>
      </c>
      <c r="L5" s="4" t="s">
        <v>209</v>
      </c>
      <c r="M5" s="4" t="s">
        <v>210</v>
      </c>
      <c r="N5" s="4"/>
    </row>
    <row r="6" spans="1:14">
      <c r="A6" s="4" t="s">
        <v>47</v>
      </c>
      <c r="B6" s="4" t="s">
        <v>14</v>
      </c>
      <c r="C6" s="4" t="s">
        <v>24</v>
      </c>
      <c r="D6" s="4">
        <v>60.293399999999998</v>
      </c>
      <c r="E6" s="4">
        <v>25.037800000000001</v>
      </c>
      <c r="F6" s="4">
        <v>65.012100000000004</v>
      </c>
      <c r="G6" s="4">
        <v>25.4651</v>
      </c>
      <c r="H6" s="4">
        <v>600</v>
      </c>
      <c r="I6" s="4">
        <v>80</v>
      </c>
      <c r="J6" s="5">
        <v>0.16</v>
      </c>
      <c r="K6" s="4">
        <v>540</v>
      </c>
      <c r="L6" s="4" t="s">
        <v>211</v>
      </c>
      <c r="M6" s="4" t="s">
        <v>210</v>
      </c>
      <c r="N6" s="4"/>
    </row>
    <row r="7" spans="1:14">
      <c r="A7" s="4" t="s">
        <v>50</v>
      </c>
      <c r="B7" s="4" t="s">
        <v>28</v>
      </c>
      <c r="C7" s="4" t="s">
        <v>212</v>
      </c>
      <c r="D7" s="4">
        <v>60.451799999999999</v>
      </c>
      <c r="E7" s="4">
        <v>22.2666</v>
      </c>
      <c r="F7" s="4">
        <v>61.130899999999997</v>
      </c>
      <c r="G7" s="4">
        <v>21.5059</v>
      </c>
      <c r="H7" s="4">
        <v>95</v>
      </c>
      <c r="I7" s="4">
        <v>15</v>
      </c>
      <c r="J7" s="5">
        <v>0.24</v>
      </c>
      <c r="K7" s="4">
        <v>85.5</v>
      </c>
      <c r="L7" s="4" t="s">
        <v>209</v>
      </c>
      <c r="M7" s="4" t="s">
        <v>210</v>
      </c>
      <c r="N7" s="4"/>
    </row>
    <row r="8" spans="1:14">
      <c r="A8" s="4" t="s">
        <v>54</v>
      </c>
      <c r="B8" s="4" t="s">
        <v>14</v>
      </c>
      <c r="C8" s="4" t="s">
        <v>213</v>
      </c>
      <c r="D8" s="4">
        <v>60.293399999999998</v>
      </c>
      <c r="E8" s="4">
        <v>25.037800000000001</v>
      </c>
      <c r="F8" s="4">
        <v>52.132599999999996</v>
      </c>
      <c r="G8" s="4">
        <v>5.2912999999999997</v>
      </c>
      <c r="H8" s="4">
        <v>590</v>
      </c>
      <c r="I8" s="4">
        <v>70</v>
      </c>
      <c r="J8" s="5">
        <v>0.14000000000000001</v>
      </c>
      <c r="K8" s="4">
        <v>678.5</v>
      </c>
      <c r="L8" s="4" t="s">
        <v>214</v>
      </c>
      <c r="M8" s="4" t="s">
        <v>210</v>
      </c>
      <c r="N8" s="4" t="s">
        <v>215</v>
      </c>
    </row>
    <row r="9" spans="1:14">
      <c r="A9" s="4"/>
      <c r="B9" s="4"/>
      <c r="C9" s="4"/>
      <c r="D9" s="4"/>
      <c r="E9" s="4"/>
      <c r="F9" s="4"/>
      <c r="G9" s="4"/>
      <c r="H9" s="4"/>
      <c r="I9" s="4"/>
      <c r="J9" s="5"/>
      <c r="K9" s="4"/>
      <c r="L9" s="4"/>
      <c r="M9" s="4"/>
      <c r="N9" s="4"/>
    </row>
    <row r="10" spans="1:14">
      <c r="A10" s="4"/>
      <c r="B10" s="4"/>
      <c r="C10" s="4"/>
      <c r="D10" s="4"/>
      <c r="E10" s="4"/>
      <c r="F10" s="4"/>
      <c r="G10" s="4"/>
      <c r="H10" s="4"/>
      <c r="I10" s="4"/>
      <c r="J10" s="5"/>
      <c r="K10" s="4"/>
      <c r="L10" s="4"/>
      <c r="M10" s="4"/>
      <c r="N10" s="4"/>
    </row>
    <row r="11" spans="1:14">
      <c r="A11" s="4"/>
      <c r="B11" s="4"/>
      <c r="C11" s="4"/>
      <c r="D11" s="4"/>
      <c r="E11" s="4"/>
      <c r="F11" s="4"/>
      <c r="G11" s="4"/>
      <c r="H11" s="4"/>
      <c r="I11" s="4"/>
      <c r="J11" s="5"/>
      <c r="K11" s="4"/>
      <c r="L11" s="4"/>
      <c r="M11" s="4"/>
      <c r="N11" s="4"/>
    </row>
    <row r="12" spans="1:14">
      <c r="A12" s="4"/>
      <c r="B12" s="4"/>
      <c r="C12" s="4"/>
      <c r="D12" s="4"/>
      <c r="E12" s="4"/>
      <c r="F12" s="4"/>
      <c r="G12" s="4"/>
      <c r="H12" s="4"/>
      <c r="I12" s="4"/>
      <c r="J12" s="5"/>
      <c r="K12" s="4"/>
      <c r="L12" s="4"/>
      <c r="M12" s="4"/>
      <c r="N12" s="4"/>
    </row>
    <row r="13" spans="1:14">
      <c r="A13" s="4"/>
      <c r="B13" s="4"/>
      <c r="C13" s="4"/>
      <c r="D13" s="4"/>
      <c r="E13" s="4"/>
      <c r="F13" s="4"/>
      <c r="G13" s="4"/>
      <c r="H13" s="4"/>
      <c r="I13" s="4"/>
      <c r="J13" s="5"/>
      <c r="K13" s="4"/>
      <c r="L13" s="4"/>
      <c r="M13" s="4"/>
      <c r="N13" s="4"/>
    </row>
    <row r="14" spans="1:14">
      <c r="A14" s="4"/>
      <c r="B14" s="4"/>
      <c r="C14" s="4"/>
      <c r="D14" s="4"/>
      <c r="E14" s="4"/>
      <c r="F14" s="4"/>
      <c r="G14" s="4"/>
      <c r="H14" s="4"/>
      <c r="I14" s="4"/>
      <c r="J14" s="5"/>
      <c r="K14" s="4"/>
      <c r="L14" s="4"/>
      <c r="M14" s="4"/>
      <c r="N14" s="4"/>
    </row>
    <row r="15" spans="1:14">
      <c r="A15" s="4"/>
      <c r="B15" s="4"/>
      <c r="C15" s="4"/>
      <c r="D15" s="4"/>
      <c r="E15" s="4"/>
      <c r="F15" s="4"/>
      <c r="G15" s="4"/>
      <c r="H15" s="4"/>
      <c r="I15" s="4"/>
      <c r="J15" s="5"/>
      <c r="K15" s="4"/>
      <c r="L15" s="4"/>
      <c r="M15" s="4"/>
      <c r="N15" s="4"/>
    </row>
    <row r="16" spans="1:14">
      <c r="A16" s="4"/>
      <c r="B16" s="4"/>
      <c r="C16" s="4"/>
      <c r="D16" s="4"/>
      <c r="E16" s="4"/>
      <c r="F16" s="4"/>
      <c r="G16" s="4"/>
      <c r="H16" s="4"/>
      <c r="I16" s="4"/>
      <c r="J16" s="5"/>
      <c r="K16" s="4"/>
      <c r="L16" s="4"/>
      <c r="M16" s="4"/>
      <c r="N16" s="4"/>
    </row>
    <row r="17" spans="1:14">
      <c r="A17" s="4"/>
      <c r="B17" s="4"/>
      <c r="C17" s="4"/>
      <c r="D17" s="4"/>
      <c r="E17" s="4"/>
      <c r="F17" s="4"/>
      <c r="G17" s="4"/>
      <c r="H17" s="4"/>
      <c r="I17" s="4"/>
      <c r="J17" s="5"/>
      <c r="K17" s="4"/>
      <c r="L17" s="4"/>
      <c r="M17" s="4"/>
      <c r="N17" s="4"/>
    </row>
    <row r="18" spans="1:14">
      <c r="A18" s="4"/>
      <c r="B18" s="4"/>
      <c r="C18" s="4"/>
      <c r="D18" s="4"/>
      <c r="E18" s="4"/>
      <c r="F18" s="4"/>
      <c r="G18" s="4"/>
      <c r="H18" s="4"/>
      <c r="I18" s="4"/>
      <c r="J18" s="5"/>
      <c r="K18" s="4"/>
      <c r="L18" s="4"/>
      <c r="M18" s="4"/>
      <c r="N18" s="4"/>
    </row>
    <row r="19" spans="1:14">
      <c r="A19" s="4"/>
      <c r="B19" s="4"/>
      <c r="C19" s="4"/>
      <c r="D19" s="4"/>
      <c r="E19" s="4"/>
      <c r="F19" s="4"/>
      <c r="G19" s="4"/>
      <c r="H19" s="4"/>
      <c r="I19" s="4"/>
      <c r="J19" s="5"/>
      <c r="K19" s="4"/>
      <c r="L19" s="4"/>
      <c r="M19" s="4"/>
      <c r="N19" s="4"/>
    </row>
    <row r="20" spans="1:14">
      <c r="A20" s="4"/>
      <c r="B20" s="4"/>
      <c r="C20" s="4"/>
      <c r="D20" s="4"/>
      <c r="E20" s="4"/>
      <c r="F20" s="4"/>
      <c r="G20" s="4"/>
      <c r="H20" s="4"/>
      <c r="I20" s="4"/>
      <c r="J20" s="5"/>
      <c r="K20" s="4"/>
      <c r="L20" s="4"/>
      <c r="M20" s="4"/>
      <c r="N20" s="4"/>
    </row>
    <row r="21" spans="1:14">
      <c r="A21" s="4"/>
      <c r="B21" s="4"/>
      <c r="C21" s="4"/>
      <c r="D21" s="4"/>
      <c r="E21" s="4"/>
      <c r="F21" s="4"/>
      <c r="G21" s="4"/>
      <c r="H21" s="4"/>
      <c r="I21" s="4"/>
      <c r="J21" s="5"/>
      <c r="K21" s="4"/>
      <c r="L21" s="4"/>
      <c r="M21" s="4"/>
      <c r="N21" s="4"/>
    </row>
    <row r="22" spans="1:14">
      <c r="A22" s="4"/>
      <c r="B22" s="4"/>
      <c r="C22" s="4"/>
      <c r="D22" s="4"/>
      <c r="E22" s="4"/>
      <c r="F22" s="4"/>
      <c r="G22" s="4"/>
      <c r="H22" s="4"/>
      <c r="I22" s="4"/>
      <c r="J22" s="5"/>
      <c r="K22" s="4"/>
      <c r="L22" s="4"/>
      <c r="M22" s="4"/>
      <c r="N22" s="4"/>
    </row>
    <row r="23" spans="1:14">
      <c r="A23" s="4"/>
      <c r="B23" s="4"/>
      <c r="C23" s="4"/>
      <c r="D23" s="4"/>
      <c r="E23" s="4"/>
      <c r="F23" s="4"/>
      <c r="G23" s="4"/>
      <c r="H23" s="4"/>
      <c r="I23" s="4"/>
      <c r="J23" s="5"/>
      <c r="K23" s="4"/>
      <c r="L23" s="4"/>
      <c r="M23" s="4"/>
      <c r="N23" s="4"/>
    </row>
    <row r="24" spans="1:14">
      <c r="A24" s="4"/>
      <c r="B24" s="4"/>
      <c r="C24" s="4"/>
      <c r="D24" s="4"/>
      <c r="E24" s="4"/>
      <c r="F24" s="4"/>
      <c r="G24" s="4"/>
      <c r="H24" s="4"/>
      <c r="I24" s="4"/>
      <c r="J24" s="5"/>
      <c r="K24" s="4"/>
      <c r="L24" s="4"/>
      <c r="M24" s="4"/>
      <c r="N24" s="4"/>
    </row>
    <row r="25" spans="1:14">
      <c r="A25" s="4"/>
      <c r="B25" s="4"/>
      <c r="C25" s="4"/>
      <c r="D25" s="4"/>
      <c r="E25" s="4"/>
      <c r="F25" s="4"/>
      <c r="G25" s="4"/>
      <c r="H25" s="4"/>
      <c r="I25" s="4"/>
      <c r="J25" s="5"/>
      <c r="K25" s="4"/>
      <c r="L25" s="4"/>
      <c r="M25" s="4"/>
      <c r="N25" s="4"/>
    </row>
    <row r="26" spans="1:14">
      <c r="A26" s="4"/>
      <c r="B26" s="4"/>
      <c r="C26" s="4"/>
      <c r="D26" s="4"/>
      <c r="E26" s="4"/>
      <c r="F26" s="4"/>
      <c r="G26" s="4"/>
      <c r="H26" s="4"/>
      <c r="I26" s="4"/>
      <c r="J26" s="5"/>
      <c r="K26" s="4"/>
      <c r="L26" s="4"/>
      <c r="M26" s="4"/>
      <c r="N26" s="4"/>
    </row>
    <row r="27" spans="1:14">
      <c r="A27" s="4"/>
      <c r="B27" s="4"/>
      <c r="C27" s="4"/>
      <c r="D27" s="4"/>
      <c r="E27" s="4"/>
      <c r="F27" s="4"/>
      <c r="G27" s="4"/>
      <c r="H27" s="4"/>
      <c r="I27" s="4"/>
      <c r="J27" s="5"/>
      <c r="K27" s="4"/>
      <c r="L27" s="4"/>
      <c r="M27" s="4"/>
      <c r="N27" s="4"/>
    </row>
    <row r="28" spans="1:14">
      <c r="A28" s="4"/>
      <c r="B28" s="4"/>
      <c r="C28" s="4"/>
      <c r="D28" s="4"/>
      <c r="E28" s="4"/>
      <c r="F28" s="4"/>
      <c r="G28" s="4"/>
      <c r="H28" s="4"/>
      <c r="I28" s="4"/>
      <c r="J28" s="5"/>
      <c r="K28" s="4"/>
      <c r="L28" s="4"/>
      <c r="M28" s="4"/>
      <c r="N28" s="4"/>
    </row>
    <row r="29" spans="1:14">
      <c r="A29" s="4"/>
      <c r="B29" s="4"/>
      <c r="C29" s="4"/>
      <c r="D29" s="4"/>
      <c r="E29" s="4"/>
      <c r="F29" s="4"/>
      <c r="G29" s="4"/>
      <c r="H29" s="4"/>
      <c r="I29" s="4"/>
      <c r="J29" s="5"/>
      <c r="K29" s="4"/>
      <c r="L29" s="4"/>
      <c r="M29" s="4"/>
      <c r="N29" s="4"/>
    </row>
    <row r="30" spans="1:14">
      <c r="A30" s="4"/>
      <c r="B30" s="4"/>
      <c r="C30" s="4"/>
      <c r="D30" s="4"/>
      <c r="E30" s="4"/>
      <c r="F30" s="4"/>
      <c r="G30" s="4"/>
      <c r="H30" s="4"/>
      <c r="I30" s="4"/>
      <c r="J30" s="5"/>
      <c r="K30" s="4"/>
      <c r="L30" s="4"/>
      <c r="M30" s="4"/>
      <c r="N30" s="4"/>
    </row>
    <row r="31" spans="1:14">
      <c r="A31" s="4"/>
      <c r="B31" s="4"/>
      <c r="C31" s="4"/>
      <c r="D31" s="4"/>
      <c r="E31" s="4"/>
      <c r="F31" s="4"/>
      <c r="G31" s="4"/>
      <c r="H31" s="4"/>
      <c r="I31" s="4"/>
      <c r="J31" s="5"/>
      <c r="K31" s="4"/>
      <c r="L31" s="4"/>
      <c r="M31" s="4"/>
      <c r="N31" s="4"/>
    </row>
    <row r="32" spans="1:14">
      <c r="A32" s="4"/>
      <c r="B32" s="4"/>
      <c r="C32" s="4"/>
      <c r="D32" s="4"/>
      <c r="E32" s="4"/>
      <c r="F32" s="4"/>
      <c r="G32" s="4"/>
      <c r="H32" s="4"/>
      <c r="I32" s="4"/>
      <c r="J32" s="5"/>
      <c r="K32" s="4"/>
      <c r="L32" s="4"/>
      <c r="M32" s="4"/>
      <c r="N32" s="4"/>
    </row>
    <row r="33" spans="1:14">
      <c r="A33" s="4"/>
      <c r="B33" s="4"/>
      <c r="C33" s="4"/>
      <c r="D33" s="4"/>
      <c r="E33" s="4"/>
      <c r="F33" s="4"/>
      <c r="G33" s="4"/>
      <c r="H33" s="4"/>
      <c r="I33" s="4"/>
      <c r="J33" s="5"/>
      <c r="K33" s="4"/>
      <c r="L33" s="4"/>
      <c r="M33" s="4"/>
      <c r="N33" s="4"/>
    </row>
    <row r="34" spans="1:14">
      <c r="A34" s="4"/>
      <c r="B34" s="4"/>
      <c r="C34" s="4"/>
      <c r="D34" s="4"/>
      <c r="E34" s="4"/>
      <c r="F34" s="4"/>
      <c r="G34" s="4"/>
      <c r="H34" s="4"/>
      <c r="I34" s="4"/>
      <c r="J34" s="5"/>
      <c r="K34" s="4"/>
      <c r="L34" s="4"/>
      <c r="M34" s="4"/>
      <c r="N34" s="4"/>
    </row>
    <row r="35" spans="1:14">
      <c r="A35" s="4"/>
      <c r="B35" s="4"/>
      <c r="C35" s="4"/>
      <c r="D35" s="4"/>
      <c r="E35" s="4"/>
      <c r="F35" s="4"/>
      <c r="G35" s="4"/>
      <c r="H35" s="4"/>
      <c r="I35" s="4"/>
      <c r="J35" s="5"/>
      <c r="K35" s="4"/>
      <c r="L35" s="4"/>
      <c r="M35" s="4"/>
      <c r="N35" s="4"/>
    </row>
    <row r="36" spans="1:14">
      <c r="A36" s="4"/>
      <c r="B36" s="4"/>
      <c r="C36" s="4"/>
      <c r="D36" s="4"/>
      <c r="E36" s="4"/>
      <c r="F36" s="4"/>
      <c r="G36" s="4"/>
      <c r="H36" s="4"/>
      <c r="I36" s="4"/>
      <c r="J36" s="5"/>
      <c r="K36" s="4"/>
      <c r="L36" s="4"/>
      <c r="M36" s="4"/>
      <c r="N36" s="4"/>
    </row>
    <row r="37" spans="1:14">
      <c r="A37" s="4"/>
      <c r="B37" s="4"/>
      <c r="C37" s="4"/>
      <c r="D37" s="4"/>
      <c r="E37" s="4"/>
      <c r="F37" s="4"/>
      <c r="G37" s="4"/>
      <c r="H37" s="4"/>
      <c r="I37" s="4"/>
      <c r="J37" s="5"/>
      <c r="K37" s="4"/>
      <c r="L37" s="4"/>
      <c r="M37" s="4"/>
      <c r="N37" s="4"/>
    </row>
    <row r="38" spans="1:14">
      <c r="A38" s="4"/>
      <c r="B38" s="4"/>
      <c r="C38" s="4"/>
      <c r="D38" s="4"/>
      <c r="E38" s="4"/>
      <c r="F38" s="4"/>
      <c r="G38" s="4"/>
      <c r="H38" s="4"/>
      <c r="I38" s="4"/>
      <c r="J38" s="5"/>
      <c r="K38" s="4"/>
      <c r="L38" s="4"/>
      <c r="M38" s="4"/>
      <c r="N38" s="4"/>
    </row>
    <row r="39" spans="1:14">
      <c r="A39" s="4"/>
      <c r="B39" s="4"/>
      <c r="C39" s="4"/>
      <c r="D39" s="4"/>
      <c r="E39" s="4"/>
      <c r="F39" s="4"/>
      <c r="G39" s="4"/>
      <c r="H39" s="4"/>
      <c r="I39" s="4"/>
      <c r="J39" s="5"/>
      <c r="K39" s="4"/>
      <c r="L39" s="4"/>
      <c r="M39" s="4"/>
      <c r="N39" s="4"/>
    </row>
    <row r="40" spans="1:14">
      <c r="A40" s="4"/>
      <c r="B40" s="4"/>
      <c r="C40" s="4"/>
      <c r="D40" s="4"/>
      <c r="E40" s="4"/>
      <c r="F40" s="4"/>
      <c r="G40" s="4"/>
      <c r="H40" s="4"/>
      <c r="I40" s="4"/>
      <c r="J40" s="5"/>
      <c r="K40" s="4"/>
      <c r="L40" s="4"/>
      <c r="M40" s="4"/>
      <c r="N40" s="4"/>
    </row>
    <row r="41" spans="1:14">
      <c r="A41" s="4"/>
      <c r="B41" s="4"/>
      <c r="C41" s="4"/>
      <c r="D41" s="4"/>
      <c r="E41" s="4"/>
      <c r="F41" s="4"/>
      <c r="G41" s="4"/>
      <c r="H41" s="4"/>
      <c r="I41" s="4"/>
      <c r="J41" s="5"/>
      <c r="K41" s="4"/>
      <c r="L41" s="4"/>
      <c r="M41" s="4"/>
      <c r="N41" s="4"/>
    </row>
    <row r="42" spans="1:14">
      <c r="A42" s="4"/>
      <c r="B42" s="4"/>
      <c r="C42" s="4"/>
      <c r="D42" s="4"/>
      <c r="E42" s="4"/>
      <c r="F42" s="4"/>
      <c r="G42" s="4"/>
      <c r="H42" s="4"/>
      <c r="I42" s="4"/>
      <c r="J42" s="5"/>
      <c r="K42" s="4"/>
      <c r="L42" s="4"/>
      <c r="M42" s="4"/>
      <c r="N42" s="4"/>
    </row>
    <row r="43" spans="1:14">
      <c r="A43" s="4"/>
      <c r="B43" s="4"/>
      <c r="C43" s="4"/>
      <c r="D43" s="4"/>
      <c r="E43" s="4"/>
      <c r="F43" s="4"/>
      <c r="G43" s="4"/>
      <c r="H43" s="4"/>
      <c r="I43" s="4"/>
      <c r="J43" s="5"/>
      <c r="K43" s="4"/>
      <c r="L43" s="4"/>
      <c r="M43" s="4"/>
      <c r="N43" s="4"/>
    </row>
    <row r="44" spans="1:14">
      <c r="A44" s="4"/>
      <c r="B44" s="4"/>
      <c r="C44" s="4"/>
      <c r="D44" s="4"/>
      <c r="E44" s="4"/>
      <c r="F44" s="4"/>
      <c r="G44" s="4"/>
      <c r="H44" s="4"/>
      <c r="I44" s="4"/>
      <c r="J44" s="5"/>
      <c r="K44" s="4"/>
      <c r="L44" s="4"/>
      <c r="M44" s="4"/>
      <c r="N44" s="4"/>
    </row>
    <row r="45" spans="1:14">
      <c r="A45" s="4"/>
      <c r="B45" s="4"/>
      <c r="C45" s="4"/>
      <c r="D45" s="4"/>
      <c r="E45" s="4"/>
      <c r="F45" s="4"/>
      <c r="G45" s="4"/>
      <c r="H45" s="4"/>
      <c r="I45" s="4"/>
      <c r="J45" s="5"/>
      <c r="K45" s="4"/>
      <c r="L45" s="4"/>
      <c r="M45" s="4"/>
      <c r="N45" s="4"/>
    </row>
    <row r="46" spans="1:14">
      <c r="A46" s="4"/>
      <c r="B46" s="4"/>
      <c r="C46" s="4"/>
      <c r="D46" s="4"/>
      <c r="E46" s="4"/>
      <c r="F46" s="4"/>
      <c r="G46" s="4"/>
      <c r="H46" s="4"/>
      <c r="I46" s="4"/>
      <c r="J46" s="5"/>
      <c r="K46" s="4"/>
      <c r="L46" s="4"/>
      <c r="M46" s="4"/>
      <c r="N46" s="4"/>
    </row>
    <row r="47" spans="1:14">
      <c r="A47" s="4"/>
      <c r="B47" s="4"/>
      <c r="C47" s="4"/>
      <c r="D47" s="4"/>
      <c r="E47" s="4"/>
      <c r="F47" s="4"/>
      <c r="G47" s="4"/>
      <c r="H47" s="4"/>
      <c r="I47" s="4"/>
      <c r="J47" s="5"/>
      <c r="K47" s="4"/>
      <c r="L47" s="4"/>
      <c r="M47" s="4"/>
      <c r="N47" s="4"/>
    </row>
    <row r="48" spans="1:14">
      <c r="A48" s="4"/>
      <c r="B48" s="4"/>
      <c r="C48" s="4"/>
      <c r="D48" s="4"/>
      <c r="E48" s="4"/>
      <c r="F48" s="4"/>
      <c r="G48" s="4"/>
      <c r="H48" s="4"/>
      <c r="I48" s="4"/>
      <c r="J48" s="5"/>
      <c r="K48" s="4"/>
      <c r="L48" s="4"/>
      <c r="M48" s="4"/>
      <c r="N48" s="4"/>
    </row>
    <row r="49" spans="1:14">
      <c r="A49" s="4"/>
      <c r="B49" s="4"/>
      <c r="C49" s="4"/>
      <c r="D49" s="4"/>
      <c r="E49" s="4"/>
      <c r="F49" s="4"/>
      <c r="G49" s="4"/>
      <c r="H49" s="4"/>
      <c r="I49" s="4"/>
      <c r="J49" s="5"/>
      <c r="K49" s="4"/>
      <c r="L49" s="4"/>
      <c r="M49" s="4"/>
      <c r="N49" s="4"/>
    </row>
    <row r="50" spans="1:14">
      <c r="A50" s="4"/>
      <c r="B50" s="4"/>
      <c r="C50" s="4"/>
      <c r="D50" s="4"/>
      <c r="E50" s="4"/>
      <c r="F50" s="4"/>
      <c r="G50" s="4"/>
      <c r="H50" s="4"/>
      <c r="I50" s="4"/>
      <c r="J50" s="5"/>
      <c r="K50" s="4"/>
      <c r="L50" s="4"/>
      <c r="M50" s="4"/>
      <c r="N50" s="4"/>
    </row>
    <row r="51" spans="1:14">
      <c r="A51" s="4"/>
      <c r="B51" s="4"/>
      <c r="C51" s="4"/>
      <c r="D51" s="4"/>
      <c r="E51" s="4"/>
      <c r="F51" s="4"/>
      <c r="G51" s="4"/>
      <c r="H51" s="4"/>
      <c r="I51" s="4"/>
      <c r="J51" s="5"/>
      <c r="K51" s="4"/>
      <c r="L51" s="4"/>
      <c r="M51" s="4"/>
      <c r="N51" s="4"/>
    </row>
    <row r="52" spans="1:14">
      <c r="A52" s="4"/>
      <c r="B52" s="4"/>
      <c r="C52" s="4"/>
      <c r="D52" s="4"/>
      <c r="E52" s="4"/>
      <c r="F52" s="4"/>
      <c r="G52" s="4"/>
      <c r="H52" s="4"/>
      <c r="I52" s="4"/>
      <c r="J52" s="5"/>
      <c r="K52" s="4"/>
      <c r="L52" s="4"/>
      <c r="M52" s="4"/>
      <c r="N52" s="4"/>
    </row>
    <row r="53" spans="1:14">
      <c r="A53" s="4"/>
      <c r="B53" s="4"/>
      <c r="C53" s="4"/>
      <c r="D53" s="4"/>
      <c r="E53" s="4"/>
      <c r="F53" s="4"/>
      <c r="G53" s="4"/>
      <c r="H53" s="4"/>
      <c r="I53" s="4"/>
      <c r="J53" s="5"/>
      <c r="K53" s="4"/>
      <c r="L53" s="4"/>
      <c r="M53" s="4"/>
      <c r="N53" s="4"/>
    </row>
    <row r="54" spans="1:14">
      <c r="A54" s="4"/>
      <c r="B54" s="4"/>
      <c r="C54" s="4"/>
      <c r="D54" s="4"/>
      <c r="E54" s="4"/>
      <c r="F54" s="4"/>
      <c r="G54" s="4"/>
      <c r="H54" s="4"/>
      <c r="I54" s="4"/>
      <c r="J54" s="5"/>
      <c r="K54" s="4"/>
      <c r="L54" s="4"/>
      <c r="M54" s="4"/>
      <c r="N54" s="4"/>
    </row>
    <row r="55" spans="1:14">
      <c r="A55" s="4"/>
      <c r="B55" s="4"/>
      <c r="C55" s="4"/>
      <c r="D55" s="4"/>
      <c r="E55" s="4"/>
      <c r="F55" s="4"/>
      <c r="G55" s="4"/>
      <c r="H55" s="4"/>
      <c r="I55" s="4"/>
      <c r="J55" s="5"/>
      <c r="K55" s="4"/>
      <c r="L55" s="4"/>
      <c r="M55" s="4"/>
      <c r="N55" s="4"/>
    </row>
    <row r="56" spans="1:14">
      <c r="A56" s="4"/>
      <c r="B56" s="4"/>
      <c r="C56" s="4"/>
      <c r="D56" s="4"/>
      <c r="E56" s="4"/>
      <c r="F56" s="4"/>
      <c r="G56" s="4"/>
      <c r="H56" s="4"/>
      <c r="I56" s="4"/>
      <c r="J56" s="5"/>
      <c r="K56" s="4"/>
      <c r="L56" s="4"/>
      <c r="M56" s="4"/>
      <c r="N56" s="4"/>
    </row>
    <row r="57" spans="1:14">
      <c r="A57" s="4"/>
      <c r="B57" s="4"/>
      <c r="C57" s="4"/>
      <c r="D57" s="4"/>
      <c r="E57" s="4"/>
      <c r="F57" s="4"/>
      <c r="G57" s="4"/>
      <c r="H57" s="4"/>
      <c r="I57" s="4"/>
      <c r="J57" s="5"/>
      <c r="K57" s="4"/>
      <c r="L57" s="4"/>
      <c r="M57" s="4"/>
      <c r="N57" s="4"/>
    </row>
    <row r="58" spans="1:14">
      <c r="A58" s="4"/>
      <c r="B58" s="4"/>
      <c r="C58" s="4"/>
      <c r="D58" s="4"/>
      <c r="E58" s="4"/>
      <c r="F58" s="4"/>
      <c r="G58" s="4"/>
      <c r="H58" s="4"/>
      <c r="I58" s="4"/>
      <c r="J58" s="5"/>
      <c r="K58" s="4"/>
      <c r="L58" s="4"/>
      <c r="M58" s="4"/>
      <c r="N58" s="4"/>
    </row>
    <row r="59" spans="1:14">
      <c r="A59" s="4"/>
      <c r="B59" s="4"/>
      <c r="C59" s="4"/>
      <c r="D59" s="4"/>
      <c r="E59" s="4"/>
      <c r="F59" s="4"/>
      <c r="G59" s="4"/>
      <c r="H59" s="4"/>
      <c r="I59" s="4"/>
      <c r="J59" s="5"/>
      <c r="K59" s="4"/>
      <c r="L59" s="4"/>
      <c r="M59" s="4"/>
      <c r="N59" s="4"/>
    </row>
    <row r="60" spans="1:14">
      <c r="A60" s="4"/>
      <c r="B60" s="4"/>
      <c r="C60" s="4"/>
      <c r="D60" s="4"/>
      <c r="E60" s="4"/>
      <c r="F60" s="4"/>
      <c r="G60" s="4"/>
      <c r="H60" s="4"/>
      <c r="I60" s="4"/>
      <c r="J60" s="5"/>
      <c r="K60" s="4"/>
      <c r="L60" s="4"/>
      <c r="M60" s="4"/>
      <c r="N60" s="4"/>
    </row>
    <row r="61" spans="1:14">
      <c r="A61" s="4"/>
      <c r="B61" s="4"/>
      <c r="C61" s="4"/>
      <c r="D61" s="4"/>
      <c r="E61" s="4"/>
      <c r="F61" s="4"/>
      <c r="G61" s="4"/>
      <c r="H61" s="4"/>
      <c r="I61" s="4"/>
      <c r="J61" s="5"/>
      <c r="K61" s="4"/>
      <c r="L61" s="4"/>
      <c r="M61" s="4"/>
      <c r="N61" s="4"/>
    </row>
    <row r="62" spans="1:14">
      <c r="A62" s="4"/>
      <c r="B62" s="4"/>
      <c r="C62" s="4"/>
      <c r="D62" s="4"/>
      <c r="E62" s="4"/>
      <c r="F62" s="4"/>
      <c r="G62" s="4"/>
      <c r="H62" s="4"/>
      <c r="I62" s="4"/>
      <c r="J62" s="5"/>
      <c r="K62" s="4"/>
      <c r="L62" s="4"/>
      <c r="M62" s="4"/>
      <c r="N62" s="4"/>
    </row>
    <row r="63" spans="1:14">
      <c r="A63" s="4"/>
      <c r="B63" s="4"/>
      <c r="C63" s="4"/>
      <c r="D63" s="4"/>
      <c r="E63" s="4"/>
      <c r="F63" s="4"/>
      <c r="G63" s="4"/>
      <c r="H63" s="4"/>
      <c r="I63" s="4"/>
      <c r="J63" s="5"/>
      <c r="K63" s="4"/>
      <c r="L63" s="4"/>
      <c r="M63" s="4"/>
      <c r="N63" s="4"/>
    </row>
    <row r="64" spans="1:14">
      <c r="A64" s="4"/>
      <c r="B64" s="4"/>
      <c r="C64" s="4"/>
      <c r="D64" s="4"/>
      <c r="E64" s="4"/>
      <c r="F64" s="4"/>
      <c r="G64" s="4"/>
      <c r="H64" s="4"/>
      <c r="I64" s="4"/>
      <c r="J64" s="5"/>
      <c r="K64" s="4"/>
      <c r="L64" s="4"/>
      <c r="M64" s="4"/>
      <c r="N64" s="4"/>
    </row>
    <row r="65" spans="1:14">
      <c r="A65" s="4"/>
      <c r="B65" s="4"/>
      <c r="C65" s="4"/>
      <c r="D65" s="4"/>
      <c r="E65" s="4"/>
      <c r="F65" s="4"/>
      <c r="G65" s="4"/>
      <c r="H65" s="4"/>
      <c r="I65" s="4"/>
      <c r="J65" s="5"/>
      <c r="K65" s="4"/>
      <c r="L65" s="4"/>
      <c r="M65" s="4"/>
      <c r="N65" s="4"/>
    </row>
    <row r="66" spans="1:14">
      <c r="A66" s="4"/>
      <c r="B66" s="4"/>
      <c r="C66" s="4"/>
      <c r="D66" s="4"/>
      <c r="E66" s="4"/>
      <c r="F66" s="4"/>
      <c r="G66" s="4"/>
      <c r="H66" s="4"/>
      <c r="I66" s="4"/>
      <c r="J66" s="5"/>
      <c r="K66" s="4"/>
      <c r="L66" s="4"/>
      <c r="M66" s="4"/>
      <c r="N66" s="4"/>
    </row>
    <row r="67" spans="1:14">
      <c r="A67" s="4"/>
      <c r="B67" s="4"/>
      <c r="C67" s="4"/>
      <c r="D67" s="4"/>
      <c r="E67" s="4"/>
      <c r="F67" s="4"/>
      <c r="G67" s="4"/>
      <c r="H67" s="4"/>
      <c r="I67" s="4"/>
      <c r="J67" s="5"/>
      <c r="K67" s="4"/>
      <c r="L67" s="4"/>
      <c r="M67" s="4"/>
      <c r="N67" s="4"/>
    </row>
    <row r="68" spans="1:14">
      <c r="A68" s="4"/>
      <c r="B68" s="4"/>
      <c r="C68" s="4"/>
      <c r="D68" s="4"/>
      <c r="E68" s="4"/>
      <c r="F68" s="4"/>
      <c r="G68" s="4"/>
      <c r="H68" s="4"/>
      <c r="I68" s="4"/>
      <c r="J68" s="5"/>
      <c r="K68" s="4"/>
      <c r="L68" s="4"/>
      <c r="M68" s="4"/>
      <c r="N68" s="4"/>
    </row>
    <row r="69" spans="1:14">
      <c r="A69" s="4"/>
      <c r="B69" s="4"/>
      <c r="C69" s="4"/>
      <c r="D69" s="4"/>
      <c r="E69" s="4"/>
      <c r="F69" s="4"/>
      <c r="G69" s="4"/>
      <c r="H69" s="4"/>
      <c r="I69" s="4"/>
      <c r="J69" s="5"/>
      <c r="K69" s="4"/>
      <c r="L69" s="4"/>
      <c r="M69" s="4"/>
      <c r="N69" s="4"/>
    </row>
    <row r="70" spans="1:14">
      <c r="A70" s="4"/>
      <c r="B70" s="4"/>
      <c r="C70" s="4"/>
      <c r="D70" s="4"/>
      <c r="E70" s="4"/>
      <c r="F70" s="4"/>
      <c r="G70" s="4"/>
      <c r="H70" s="4"/>
      <c r="I70" s="4"/>
      <c r="J70" s="5"/>
      <c r="K70" s="4"/>
      <c r="L70" s="4"/>
      <c r="M70" s="4"/>
      <c r="N70" s="4"/>
    </row>
    <row r="71" spans="1:14">
      <c r="A71" s="4"/>
      <c r="B71" s="4"/>
      <c r="C71" s="4"/>
      <c r="D71" s="4"/>
      <c r="E71" s="4"/>
      <c r="F71" s="4"/>
      <c r="G71" s="4"/>
      <c r="H71" s="4"/>
      <c r="I71" s="4"/>
      <c r="J71" s="5"/>
      <c r="K71" s="4"/>
      <c r="L71" s="4"/>
      <c r="M71" s="4"/>
      <c r="N71" s="4"/>
    </row>
    <row r="72" spans="1:14">
      <c r="A72" s="4"/>
      <c r="B72" s="4"/>
      <c r="C72" s="4"/>
      <c r="D72" s="4"/>
      <c r="E72" s="4"/>
      <c r="F72" s="4"/>
      <c r="G72" s="4"/>
      <c r="H72" s="4"/>
      <c r="I72" s="4"/>
      <c r="J72" s="5"/>
      <c r="K72" s="4"/>
      <c r="L72" s="4"/>
      <c r="M72" s="4"/>
      <c r="N72" s="4"/>
    </row>
    <row r="73" spans="1:14">
      <c r="A73" s="4"/>
      <c r="B73" s="4"/>
      <c r="C73" s="4"/>
      <c r="D73" s="4"/>
      <c r="E73" s="4"/>
      <c r="F73" s="4"/>
      <c r="G73" s="4"/>
      <c r="H73" s="4"/>
      <c r="I73" s="4"/>
      <c r="J73" s="5"/>
      <c r="K73" s="4"/>
      <c r="L73" s="4"/>
      <c r="M73" s="4"/>
      <c r="N73" s="4"/>
    </row>
    <row r="74" spans="1:14">
      <c r="A74" s="4"/>
      <c r="B74" s="4"/>
      <c r="C74" s="4"/>
      <c r="D74" s="4"/>
      <c r="E74" s="4"/>
      <c r="F74" s="4"/>
      <c r="G74" s="4"/>
      <c r="H74" s="4"/>
      <c r="I74" s="4"/>
      <c r="J74" s="5"/>
      <c r="K74" s="4"/>
      <c r="L74" s="4"/>
      <c r="M74" s="4"/>
      <c r="N74" s="4"/>
    </row>
    <row r="75" spans="1:14">
      <c r="A75" s="4"/>
      <c r="B75" s="4"/>
      <c r="C75" s="4"/>
      <c r="D75" s="4"/>
      <c r="E75" s="4"/>
      <c r="F75" s="4"/>
      <c r="G75" s="4"/>
      <c r="H75" s="4"/>
      <c r="I75" s="4"/>
      <c r="J75" s="5"/>
      <c r="K75" s="4"/>
      <c r="L75" s="4"/>
      <c r="M75" s="4"/>
      <c r="N75" s="4"/>
    </row>
    <row r="76" spans="1:14">
      <c r="A76" s="4"/>
      <c r="B76" s="4"/>
      <c r="C76" s="4"/>
      <c r="D76" s="4"/>
      <c r="E76" s="4"/>
      <c r="F76" s="4"/>
      <c r="G76" s="4"/>
      <c r="H76" s="4"/>
      <c r="I76" s="4"/>
      <c r="J76" s="5"/>
      <c r="K76" s="4"/>
      <c r="L76" s="4"/>
      <c r="M76" s="4"/>
      <c r="N76" s="4"/>
    </row>
    <row r="77" spans="1:14">
      <c r="A77" s="4"/>
      <c r="B77" s="4"/>
      <c r="C77" s="4"/>
      <c r="D77" s="4"/>
      <c r="E77" s="4"/>
      <c r="F77" s="4"/>
      <c r="G77" s="4"/>
      <c r="H77" s="4"/>
      <c r="I77" s="4"/>
      <c r="J77" s="5"/>
      <c r="K77" s="4"/>
      <c r="L77" s="4"/>
      <c r="M77" s="4"/>
      <c r="N77" s="4"/>
    </row>
    <row r="78" spans="1:14">
      <c r="A78" s="4"/>
      <c r="B78" s="4"/>
      <c r="C78" s="4"/>
      <c r="D78" s="4"/>
      <c r="E78" s="4"/>
      <c r="F78" s="4"/>
      <c r="G78" s="4"/>
      <c r="H78" s="4"/>
      <c r="I78" s="4"/>
      <c r="J78" s="5"/>
      <c r="K78" s="4"/>
      <c r="L78" s="4"/>
      <c r="M78" s="4"/>
      <c r="N78" s="4"/>
    </row>
    <row r="79" spans="1:14">
      <c r="A79" s="4"/>
      <c r="B79" s="4"/>
      <c r="C79" s="4"/>
      <c r="D79" s="4"/>
      <c r="E79" s="4"/>
      <c r="F79" s="4"/>
      <c r="G79" s="4"/>
      <c r="H79" s="4"/>
      <c r="I79" s="4"/>
      <c r="J79" s="5"/>
      <c r="K79" s="4"/>
      <c r="L79" s="4"/>
      <c r="M79" s="4"/>
      <c r="N79" s="4"/>
    </row>
    <row r="80" spans="1:14">
      <c r="A80" s="4"/>
      <c r="B80" s="4"/>
      <c r="C80" s="4"/>
      <c r="D80" s="4"/>
      <c r="E80" s="4"/>
      <c r="F80" s="4"/>
      <c r="G80" s="4"/>
      <c r="H80" s="4"/>
      <c r="I80" s="4"/>
      <c r="J80" s="5"/>
      <c r="K80" s="4"/>
      <c r="L80" s="4"/>
      <c r="M80" s="4"/>
      <c r="N80" s="4"/>
    </row>
    <row r="81" spans="1:14">
      <c r="A81" s="4"/>
      <c r="B81" s="4"/>
      <c r="C81" s="4"/>
      <c r="D81" s="4"/>
      <c r="E81" s="4"/>
      <c r="F81" s="4"/>
      <c r="G81" s="4"/>
      <c r="H81" s="4"/>
      <c r="I81" s="4"/>
      <c r="J81" s="5"/>
      <c r="K81" s="4"/>
      <c r="L81" s="4"/>
      <c r="M81" s="4"/>
      <c r="N81" s="4"/>
    </row>
    <row r="82" spans="1:14">
      <c r="A82" s="4"/>
      <c r="B82" s="4"/>
      <c r="C82" s="4"/>
      <c r="D82" s="4"/>
      <c r="E82" s="4"/>
      <c r="F82" s="4"/>
      <c r="G82" s="4"/>
      <c r="H82" s="4"/>
      <c r="I82" s="4"/>
      <c r="J82" s="5"/>
      <c r="K82" s="4"/>
      <c r="L82" s="4"/>
      <c r="M82" s="4"/>
      <c r="N82" s="4"/>
    </row>
    <row r="83" spans="1:14">
      <c r="A83" s="4"/>
      <c r="B83" s="4"/>
      <c r="C83" s="4"/>
      <c r="D83" s="4"/>
      <c r="E83" s="4"/>
      <c r="F83" s="4"/>
      <c r="G83" s="4"/>
      <c r="H83" s="4"/>
      <c r="I83" s="4"/>
      <c r="J83" s="5"/>
      <c r="K83" s="4"/>
      <c r="L83" s="4"/>
      <c r="M83" s="4"/>
      <c r="N83" s="4"/>
    </row>
    <row r="84" spans="1:14">
      <c r="A84" s="4"/>
      <c r="B84" s="4"/>
      <c r="C84" s="4"/>
      <c r="D84" s="4"/>
      <c r="E84" s="4"/>
      <c r="F84" s="4"/>
      <c r="G84" s="4"/>
      <c r="H84" s="4"/>
      <c r="I84" s="4"/>
      <c r="J84" s="5"/>
      <c r="K84" s="4"/>
      <c r="L84" s="4"/>
      <c r="M84" s="4"/>
      <c r="N84" s="4"/>
    </row>
    <row r="85" spans="1:14">
      <c r="A85" s="4"/>
      <c r="B85" s="4"/>
      <c r="C85" s="4"/>
      <c r="D85" s="4"/>
      <c r="E85" s="4"/>
      <c r="F85" s="4"/>
      <c r="G85" s="4"/>
      <c r="H85" s="4"/>
      <c r="I85" s="4"/>
      <c r="J85" s="5"/>
      <c r="K85" s="4"/>
      <c r="L85" s="4"/>
      <c r="M85" s="4"/>
      <c r="N85" s="4"/>
    </row>
    <row r="86" spans="1:14">
      <c r="A86" s="4"/>
      <c r="B86" s="4"/>
      <c r="C86" s="4"/>
      <c r="D86" s="4"/>
      <c r="E86" s="4"/>
      <c r="F86" s="4"/>
      <c r="G86" s="4"/>
      <c r="H86" s="4"/>
      <c r="I86" s="4"/>
      <c r="J86" s="5"/>
      <c r="K86" s="4"/>
      <c r="L86" s="4"/>
      <c r="M86" s="4"/>
      <c r="N86" s="4"/>
    </row>
    <row r="87" spans="1:14">
      <c r="A87" s="4"/>
      <c r="B87" s="4"/>
      <c r="C87" s="4"/>
      <c r="D87" s="4"/>
      <c r="E87" s="4"/>
      <c r="F87" s="4"/>
      <c r="G87" s="4"/>
      <c r="H87" s="4"/>
      <c r="I87" s="4"/>
      <c r="J87" s="5"/>
      <c r="K87" s="4"/>
      <c r="L87" s="4"/>
      <c r="M87" s="4"/>
      <c r="N87" s="4"/>
    </row>
    <row r="88" spans="1:14">
      <c r="A88" s="4"/>
      <c r="B88" s="4"/>
      <c r="C88" s="4"/>
      <c r="D88" s="4"/>
      <c r="E88" s="4"/>
      <c r="F88" s="4"/>
      <c r="G88" s="4"/>
      <c r="H88" s="4"/>
      <c r="I88" s="4"/>
      <c r="J88" s="5"/>
      <c r="K88" s="4"/>
      <c r="L88" s="4"/>
      <c r="M88" s="4"/>
      <c r="N88" s="4"/>
    </row>
    <row r="89" spans="1:14">
      <c r="A89" s="4"/>
      <c r="B89" s="4"/>
      <c r="C89" s="4"/>
      <c r="D89" s="4"/>
      <c r="E89" s="4"/>
      <c r="F89" s="4"/>
      <c r="G89" s="4"/>
      <c r="H89" s="4"/>
      <c r="I89" s="4"/>
      <c r="J89" s="5"/>
      <c r="K89" s="4"/>
      <c r="L89" s="4"/>
      <c r="M89" s="4"/>
      <c r="N89" s="4"/>
    </row>
    <row r="90" spans="1:14">
      <c r="A90" s="4"/>
      <c r="B90" s="4"/>
      <c r="C90" s="4"/>
      <c r="D90" s="4"/>
      <c r="E90" s="4"/>
      <c r="F90" s="4"/>
      <c r="G90" s="4"/>
      <c r="H90" s="4"/>
      <c r="I90" s="4"/>
      <c r="J90" s="5"/>
      <c r="K90" s="4"/>
      <c r="L90" s="4"/>
      <c r="M90" s="4"/>
      <c r="N90" s="4"/>
    </row>
    <row r="91" spans="1:14">
      <c r="A91" s="4"/>
      <c r="B91" s="4"/>
      <c r="C91" s="4"/>
      <c r="D91" s="4"/>
      <c r="E91" s="4"/>
      <c r="F91" s="4"/>
      <c r="G91" s="4"/>
      <c r="H91" s="4"/>
      <c r="I91" s="4"/>
      <c r="J91" s="5"/>
      <c r="K91" s="4"/>
      <c r="L91" s="4"/>
      <c r="M91" s="4"/>
      <c r="N91" s="4"/>
    </row>
    <row r="92" spans="1:14">
      <c r="A92" s="4"/>
      <c r="B92" s="4"/>
      <c r="C92" s="4"/>
      <c r="D92" s="4"/>
      <c r="E92" s="4"/>
      <c r="F92" s="4"/>
      <c r="G92" s="4"/>
      <c r="H92" s="4"/>
      <c r="I92" s="4"/>
      <c r="J92" s="5"/>
      <c r="K92" s="4"/>
      <c r="L92" s="4"/>
      <c r="M92" s="4"/>
      <c r="N92" s="4"/>
    </row>
    <row r="93" spans="1:14">
      <c r="A93" s="4"/>
      <c r="B93" s="4"/>
      <c r="C93" s="4"/>
      <c r="D93" s="4"/>
      <c r="E93" s="4"/>
      <c r="F93" s="4"/>
      <c r="G93" s="4"/>
      <c r="H93" s="4"/>
      <c r="I93" s="4"/>
      <c r="J93" s="5"/>
      <c r="K93" s="4"/>
      <c r="L93" s="4"/>
      <c r="M93" s="4"/>
      <c r="N93" s="4"/>
    </row>
    <row r="94" spans="1:14">
      <c r="A94" s="4"/>
      <c r="B94" s="4"/>
      <c r="C94" s="4"/>
      <c r="D94" s="4"/>
      <c r="E94" s="4"/>
      <c r="F94" s="4"/>
      <c r="G94" s="4"/>
      <c r="H94" s="4"/>
      <c r="I94" s="4"/>
      <c r="J94" s="5"/>
      <c r="K94" s="4"/>
      <c r="L94" s="4"/>
      <c r="M94" s="4"/>
      <c r="N94" s="4"/>
    </row>
    <row r="95" spans="1:14">
      <c r="A95" s="4"/>
      <c r="B95" s="4"/>
      <c r="C95" s="4"/>
      <c r="D95" s="4"/>
      <c r="E95" s="4"/>
      <c r="F95" s="4"/>
      <c r="G95" s="4"/>
      <c r="H95" s="4"/>
      <c r="I95" s="4"/>
      <c r="J95" s="5"/>
      <c r="K95" s="4"/>
      <c r="L95" s="4"/>
      <c r="M95" s="4"/>
      <c r="N95" s="4"/>
    </row>
    <row r="96" spans="1:14">
      <c r="A96" s="4"/>
      <c r="B96" s="4"/>
      <c r="C96" s="4"/>
      <c r="D96" s="4"/>
      <c r="E96" s="4"/>
      <c r="F96" s="4"/>
      <c r="G96" s="4"/>
      <c r="H96" s="4"/>
      <c r="I96" s="4"/>
      <c r="J96" s="5"/>
      <c r="K96" s="4"/>
      <c r="L96" s="4"/>
      <c r="M96" s="4"/>
      <c r="N96" s="4"/>
    </row>
    <row r="97" spans="1:14">
      <c r="A97" s="4"/>
      <c r="B97" s="4"/>
      <c r="C97" s="4"/>
      <c r="D97" s="4"/>
      <c r="E97" s="4"/>
      <c r="F97" s="4"/>
      <c r="G97" s="4"/>
      <c r="H97" s="4"/>
      <c r="I97" s="4"/>
      <c r="J97" s="5"/>
      <c r="K97" s="4"/>
      <c r="L97" s="4"/>
      <c r="M97" s="4"/>
      <c r="N97" s="4"/>
    </row>
    <row r="98" spans="1:14">
      <c r="A98" s="4"/>
      <c r="B98" s="4"/>
      <c r="C98" s="4"/>
      <c r="D98" s="4"/>
      <c r="E98" s="4"/>
      <c r="F98" s="4"/>
      <c r="G98" s="4"/>
      <c r="H98" s="4"/>
      <c r="I98" s="4"/>
      <c r="J98" s="5"/>
      <c r="K98" s="4"/>
      <c r="L98" s="4"/>
      <c r="M98" s="4"/>
      <c r="N98" s="4"/>
    </row>
    <row r="99" spans="1:14">
      <c r="A99" s="4"/>
      <c r="B99" s="4"/>
      <c r="C99" s="4"/>
      <c r="D99" s="4"/>
      <c r="E99" s="4"/>
      <c r="F99" s="4"/>
      <c r="G99" s="4"/>
      <c r="H99" s="4"/>
      <c r="I99" s="4"/>
      <c r="J99" s="5"/>
      <c r="K99" s="4"/>
      <c r="L99" s="4"/>
      <c r="M99" s="4"/>
      <c r="N99" s="4"/>
    </row>
    <row r="100" spans="1:14">
      <c r="A100" s="4"/>
      <c r="B100" s="4"/>
      <c r="C100" s="4"/>
      <c r="D100" s="4"/>
      <c r="E100" s="4"/>
      <c r="F100" s="4"/>
      <c r="G100" s="4"/>
      <c r="H100" s="4"/>
      <c r="I100" s="4"/>
      <c r="J100" s="5"/>
      <c r="K100" s="4"/>
      <c r="L100" s="4"/>
      <c r="M100" s="4"/>
      <c r="N100" s="4"/>
    </row>
  </sheetData>
  <mergeCells count="1">
    <mergeCell ref="A1:B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18"/>
  <sheetViews>
    <sheetView workbookViewId="0">
      <selection sqref="A1:B1"/>
    </sheetView>
  </sheetViews>
  <sheetFormatPr defaultRowHeight="13.8"/>
  <cols>
    <col min="1" max="1" width="24" customWidth="1"/>
    <col min="2" max="2" width="22" customWidth="1"/>
    <col min="3" max="3" width="20" customWidth="1"/>
    <col min="4" max="4" width="18" customWidth="1"/>
    <col min="5" max="5" width="24" customWidth="1"/>
    <col min="6" max="7" width="22" customWidth="1"/>
    <col min="8" max="8" width="18" customWidth="1"/>
  </cols>
  <sheetData>
    <row r="1" spans="1:14" ht="31.8" customHeight="1">
      <c r="A1" s="22" t="s">
        <v>216</v>
      </c>
      <c r="B1" s="23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4" ht="39.6">
      <c r="A2" s="2" t="s">
        <v>217</v>
      </c>
    </row>
    <row r="4" spans="1:14">
      <c r="A4" s="10" t="s">
        <v>218</v>
      </c>
    </row>
    <row r="5" spans="1:14">
      <c r="A5" s="3" t="s">
        <v>219</v>
      </c>
      <c r="B5" s="3" t="s">
        <v>103</v>
      </c>
      <c r="C5" s="3" t="s">
        <v>220</v>
      </c>
      <c r="D5" s="3" t="s">
        <v>105</v>
      </c>
      <c r="E5" s="3" t="s">
        <v>219</v>
      </c>
      <c r="F5" s="3" t="s">
        <v>103</v>
      </c>
      <c r="G5" s="3" t="s">
        <v>220</v>
      </c>
      <c r="H5" s="3" t="s">
        <v>105</v>
      </c>
    </row>
    <row r="6" spans="1:14" ht="27.6">
      <c r="A6" t="s">
        <v>221</v>
      </c>
      <c r="B6" s="6" t="str">
        <f>Optimointi!A19</f>
        <v>Vantaa → Tampere → Pori</v>
      </c>
      <c r="C6" s="6"/>
      <c r="D6" s="6" t="s">
        <v>136</v>
      </c>
      <c r="E6" t="s">
        <v>222</v>
      </c>
      <c r="F6" s="6">
        <f>COUNTIF(ETA!K5:K40,"Myöhässä")</f>
        <v>0</v>
      </c>
      <c r="G6" s="6" t="s">
        <v>223</v>
      </c>
      <c r="H6" s="6" t="str">
        <f>IF(F6=0,"OK","Tarkista")</f>
        <v>OK</v>
      </c>
    </row>
    <row r="7" spans="1:14">
      <c r="A7" t="s">
        <v>224</v>
      </c>
      <c r="B7" s="6">
        <f>Optimointi!B19</f>
        <v>76.187400318979257</v>
      </c>
      <c r="C7" s="6" t="s">
        <v>225</v>
      </c>
      <c r="D7" s="6" t="str">
        <f>IF(B7&gt;=75,"OK","Tarkista")</f>
        <v>OK</v>
      </c>
      <c r="E7" t="s">
        <v>226</v>
      </c>
      <c r="F7" s="6">
        <f>COUNTIF(Riskit!M5:M40,"Punainen")</f>
        <v>2</v>
      </c>
      <c r="G7" s="6" t="s">
        <v>223</v>
      </c>
      <c r="H7" s="6" t="str">
        <f>IF(F7=0,"OK","Punainen")</f>
        <v>Punainen</v>
      </c>
    </row>
    <row r="8" spans="1:14">
      <c r="A8" t="s">
        <v>82</v>
      </c>
      <c r="B8" s="7">
        <f>Kuormaoptimointi!B21</f>
        <v>0.54545454545454541</v>
      </c>
      <c r="C8" s="6" t="s">
        <v>133</v>
      </c>
      <c r="D8" s="6" t="str">
        <f>Kuormaoptimointi!D21</f>
        <v>Vajaakuorma</v>
      </c>
      <c r="E8" t="s">
        <v>227</v>
      </c>
      <c r="F8" s="7">
        <f>AVERAGE(Reittihistoria!K5:K8)</f>
        <v>0.2211355063036054</v>
      </c>
      <c r="G8" s="6" t="s">
        <v>228</v>
      </c>
      <c r="H8" s="6" t="str">
        <f>IF(F8&gt;=0.15,"OK","Tarkista")</f>
        <v>OK</v>
      </c>
    </row>
    <row r="9" spans="1:14">
      <c r="A9" t="s">
        <v>229</v>
      </c>
      <c r="B9" s="7">
        <f>AVERAGE(Kustannukset!J5:J7)</f>
        <v>0.12128639334521689</v>
      </c>
      <c r="C9" s="6" t="s">
        <v>230</v>
      </c>
      <c r="D9" s="6" t="str">
        <f>IF(B9&lt;=0.15,"OK","Tarkista")</f>
        <v>OK</v>
      </c>
      <c r="E9" t="s">
        <v>231</v>
      </c>
      <c r="F9" s="6">
        <f>COUNTA('Power BI Data'!A5:A100)</f>
        <v>4</v>
      </c>
      <c r="G9" s="6" t="s">
        <v>232</v>
      </c>
      <c r="H9" s="6" t="str">
        <f>"OK"</f>
        <v>OK</v>
      </c>
    </row>
    <row r="10" spans="1:14">
      <c r="A10" t="s">
        <v>176</v>
      </c>
      <c r="B10" s="6">
        <f>COUNTA(Reittihistoria!A5:A100)</f>
        <v>4</v>
      </c>
      <c r="C10" s="6" t="s">
        <v>232</v>
      </c>
      <c r="D10" s="6" t="s">
        <v>136</v>
      </c>
      <c r="E10" t="s">
        <v>233</v>
      </c>
      <c r="F10" t="s">
        <v>234</v>
      </c>
      <c r="G10" t="s">
        <v>136</v>
      </c>
      <c r="H10" t="s">
        <v>136</v>
      </c>
    </row>
    <row r="13" spans="1:14">
      <c r="A13" s="10" t="s">
        <v>235</v>
      </c>
    </row>
    <row r="14" spans="1:14" ht="27.6">
      <c r="A14" s="3" t="s">
        <v>236</v>
      </c>
      <c r="B14" s="3" t="s">
        <v>237</v>
      </c>
      <c r="C14" s="3" t="s">
        <v>238</v>
      </c>
      <c r="D14" s="3" t="s">
        <v>239</v>
      </c>
    </row>
    <row r="15" spans="1:14" ht="27.6">
      <c r="A15" s="20" t="s">
        <v>240</v>
      </c>
      <c r="B15" s="20" t="s">
        <v>241</v>
      </c>
      <c r="C15" s="20" t="s">
        <v>242</v>
      </c>
      <c r="D15" s="20" t="s">
        <v>243</v>
      </c>
    </row>
    <row r="16" spans="1:14" ht="27.6">
      <c r="A16" s="20" t="s">
        <v>94</v>
      </c>
      <c r="B16" s="20" t="s">
        <v>244</v>
      </c>
      <c r="C16" s="20" t="s">
        <v>245</v>
      </c>
      <c r="D16" s="20" t="s">
        <v>94</v>
      </c>
    </row>
    <row r="17" spans="1:4" ht="27.6">
      <c r="A17" s="20" t="s">
        <v>112</v>
      </c>
      <c r="B17" s="20" t="s">
        <v>246</v>
      </c>
      <c r="C17" s="20" t="s">
        <v>247</v>
      </c>
      <c r="D17" s="20" t="s">
        <v>112</v>
      </c>
    </row>
    <row r="18" spans="1:4">
      <c r="A18" s="21" t="s">
        <v>198</v>
      </c>
      <c r="B18" s="21" t="s">
        <v>248</v>
      </c>
      <c r="C18" s="21" t="s">
        <v>249</v>
      </c>
      <c r="D18" s="21" t="s">
        <v>198</v>
      </c>
    </row>
  </sheetData>
  <mergeCells count="1">
    <mergeCell ref="A1:B1"/>
  </mergeCells>
  <conditionalFormatting sqref="D6:D10">
    <cfRule type="expression" dxfId="5" priority="1">
      <formula>D6="OK"</formula>
    </cfRule>
    <cfRule type="expression" dxfId="4" priority="2">
      <formula>OR(D6="Tarkista",D6="Vajaakuorma")</formula>
    </cfRule>
  </conditionalFormatting>
  <conditionalFormatting sqref="H6:H9">
    <cfRule type="expression" dxfId="3" priority="3">
      <formula>H6="OK"</formula>
    </cfRule>
    <cfRule type="expression" dxfId="2" priority="4">
      <formula>OR(H6="Tarkista",H6="Punainen")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13"/>
  <sheetViews>
    <sheetView workbookViewId="0"/>
  </sheetViews>
  <sheetFormatPr defaultRowHeight="13.8"/>
  <cols>
    <col min="1" max="1" width="24.09765625" customWidth="1"/>
    <col min="2" max="2" width="70" customWidth="1"/>
    <col min="3" max="3" width="24" customWidth="1"/>
  </cols>
  <sheetData>
    <row r="1" spans="1:14" ht="21">
      <c r="A1" s="1" t="s">
        <v>250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4" ht="39.6">
      <c r="A2" s="2" t="s">
        <v>251</v>
      </c>
    </row>
    <row r="4" spans="1:14">
      <c r="A4" s="3" t="s">
        <v>252</v>
      </c>
      <c r="B4" s="3" t="s">
        <v>253</v>
      </c>
      <c r="C4" s="3" t="s">
        <v>239</v>
      </c>
    </row>
    <row r="5" spans="1:14">
      <c r="A5" s="20" t="s">
        <v>115</v>
      </c>
      <c r="B5" s="20" t="s">
        <v>254</v>
      </c>
      <c r="C5" s="20" t="s">
        <v>0</v>
      </c>
    </row>
    <row r="6" spans="1:14" ht="27.6">
      <c r="A6" s="20" t="s">
        <v>116</v>
      </c>
      <c r="B6" s="20" t="s">
        <v>255</v>
      </c>
      <c r="C6" s="20" t="s">
        <v>256</v>
      </c>
    </row>
    <row r="7" spans="1:14">
      <c r="A7" s="20" t="s">
        <v>117</v>
      </c>
      <c r="B7" s="20" t="s">
        <v>257</v>
      </c>
      <c r="C7" s="20" t="s">
        <v>243</v>
      </c>
    </row>
    <row r="8" spans="1:14" ht="27.6">
      <c r="A8" s="20" t="s">
        <v>118</v>
      </c>
      <c r="B8" s="20" t="s">
        <v>258</v>
      </c>
      <c r="C8" s="20" t="s">
        <v>259</v>
      </c>
    </row>
    <row r="9" spans="1:14">
      <c r="A9" s="20" t="s">
        <v>119</v>
      </c>
      <c r="B9" s="20" t="s">
        <v>260</v>
      </c>
      <c r="C9" s="20" t="s">
        <v>261</v>
      </c>
    </row>
    <row r="10" spans="1:14">
      <c r="A10" s="20" t="s">
        <v>120</v>
      </c>
      <c r="B10" s="20" t="s">
        <v>262</v>
      </c>
      <c r="C10" s="20" t="s">
        <v>263</v>
      </c>
    </row>
    <row r="11" spans="1:14">
      <c r="A11" s="20" t="s">
        <v>121</v>
      </c>
      <c r="B11" s="20" t="s">
        <v>264</v>
      </c>
      <c r="C11" s="20" t="s">
        <v>198</v>
      </c>
    </row>
    <row r="12" spans="1:14" ht="27.6">
      <c r="A12" s="20" t="s">
        <v>12</v>
      </c>
      <c r="B12" s="20" t="s">
        <v>265</v>
      </c>
      <c r="C12" s="20"/>
    </row>
    <row r="13" spans="1:14">
      <c r="A13" s="21" t="s">
        <v>266</v>
      </c>
      <c r="B13" s="21" t="s">
        <v>267</v>
      </c>
      <c r="C13" s="21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11"/>
  <sheetViews>
    <sheetView workbookViewId="0">
      <selection activeCell="B2" sqref="B2"/>
    </sheetView>
  </sheetViews>
  <sheetFormatPr defaultRowHeight="13.8"/>
  <cols>
    <col min="1" max="1" width="19.69921875" customWidth="1"/>
    <col min="2" max="2" width="48" customWidth="1"/>
    <col min="3" max="4" width="22" customWidth="1"/>
    <col min="5" max="5" width="16" customWidth="1"/>
    <col min="6" max="6" width="36" customWidth="1"/>
  </cols>
  <sheetData>
    <row r="1" spans="1:14" ht="21">
      <c r="A1" s="1" t="s">
        <v>268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4" ht="26.4">
      <c r="A2" s="2" t="s">
        <v>289</v>
      </c>
    </row>
    <row r="4" spans="1:14">
      <c r="A4" s="3" t="s">
        <v>269</v>
      </c>
      <c r="B4" s="3" t="s">
        <v>270</v>
      </c>
      <c r="C4" s="3" t="s">
        <v>271</v>
      </c>
      <c r="D4" s="3" t="s">
        <v>272</v>
      </c>
      <c r="E4" s="3" t="s">
        <v>105</v>
      </c>
      <c r="F4" s="3" t="s">
        <v>12</v>
      </c>
    </row>
    <row r="5" spans="1:14">
      <c r="A5" t="s">
        <v>273</v>
      </c>
      <c r="B5" t="s">
        <v>274</v>
      </c>
      <c r="C5" t="s">
        <v>223</v>
      </c>
      <c r="D5" t="s">
        <v>275</v>
      </c>
      <c r="E5" t="s">
        <v>136</v>
      </c>
    </row>
    <row r="6" spans="1:14">
      <c r="A6" t="s">
        <v>61</v>
      </c>
      <c r="B6" t="s">
        <v>276</v>
      </c>
      <c r="C6" t="s">
        <v>277</v>
      </c>
      <c r="D6" s="7">
        <f>Painotukset!B10</f>
        <v>1</v>
      </c>
      <c r="E6" s="6" t="str">
        <f>IF(ABS(D6-1)&lt;0.0001,"OK","TARKISTA")</f>
        <v>OK</v>
      </c>
    </row>
    <row r="7" spans="1:14">
      <c r="A7" t="s">
        <v>278</v>
      </c>
      <c r="B7" t="s">
        <v>279</v>
      </c>
      <c r="C7" t="s">
        <v>115</v>
      </c>
      <c r="D7" s="6">
        <f>COUNTIF(Optimointi!N5:N14,"SUOSITUS")</f>
        <v>1</v>
      </c>
      <c r="E7" s="6" t="str">
        <f>IF(D7=1,"OK","TARKISTA")</f>
        <v>OK</v>
      </c>
    </row>
    <row r="8" spans="1:14">
      <c r="A8" t="s">
        <v>280</v>
      </c>
      <c r="B8" t="s">
        <v>281</v>
      </c>
      <c r="C8" t="s">
        <v>282</v>
      </c>
      <c r="D8" s="6">
        <f>Kuormaoptimointi!B19</f>
        <v>18</v>
      </c>
      <c r="E8" s="6" t="str">
        <f>IF(D8=18,"OK","TARKISTA")</f>
        <v>OK</v>
      </c>
    </row>
    <row r="9" spans="1:14">
      <c r="A9" t="s">
        <v>283</v>
      </c>
      <c r="B9" t="s">
        <v>284</v>
      </c>
      <c r="C9" t="s">
        <v>162</v>
      </c>
      <c r="D9" s="6" t="str">
        <f>ETA!K5</f>
        <v>Ajoissa</v>
      </c>
      <c r="E9" s="6" t="str">
        <f>IF(D9="Ajoissa","OK","TARKISTA")</f>
        <v>OK</v>
      </c>
    </row>
    <row r="10" spans="1:14">
      <c r="A10" t="s">
        <v>285</v>
      </c>
      <c r="B10" t="s">
        <v>286</v>
      </c>
      <c r="C10" t="s">
        <v>116</v>
      </c>
      <c r="D10" s="6">
        <f>COUNTIF(Riskit!M5:M40,"Punainen")</f>
        <v>2</v>
      </c>
      <c r="E10" s="6" t="str">
        <f>IF(D10=2,"OK","TARKISTA")</f>
        <v>OK</v>
      </c>
    </row>
    <row r="11" spans="1:14">
      <c r="A11" t="s">
        <v>198</v>
      </c>
      <c r="B11" t="s">
        <v>287</v>
      </c>
      <c r="C11" t="s">
        <v>288</v>
      </c>
      <c r="D11" s="6">
        <f>COUNTA('Power BI Data'!A5:A100)</f>
        <v>4</v>
      </c>
      <c r="E11" s="6" t="str">
        <f>IF(D11&gt;0,"OK","TARKISTA")</f>
        <v>OK</v>
      </c>
    </row>
  </sheetData>
  <conditionalFormatting sqref="E5:E11">
    <cfRule type="expression" dxfId="1" priority="1">
      <formula>E5="OK"</formula>
    </cfRule>
    <cfRule type="expression" dxfId="0" priority="2">
      <formula>E5="TARKISTA"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14</vt:i4>
      </vt:variant>
    </vt:vector>
  </HeadingPairs>
  <TitlesOfParts>
    <vt:vector size="14" baseType="lpstr">
      <vt:lpstr>Lähetykset</vt:lpstr>
      <vt:lpstr>Reittivaihtoehdot</vt:lpstr>
      <vt:lpstr>Painotukset</vt:lpstr>
      <vt:lpstr>Optimointi</vt:lpstr>
      <vt:lpstr>Kuormaoptimointi</vt:lpstr>
      <vt:lpstr>Trailer Layout</vt:lpstr>
      <vt:lpstr>ETA</vt:lpstr>
      <vt:lpstr>Riskit</vt:lpstr>
      <vt:lpstr>Kustannukset</vt:lpstr>
      <vt:lpstr>Reittihistoria</vt:lpstr>
      <vt:lpstr>Power BI Data</vt:lpstr>
      <vt:lpstr>Dashboard</vt:lpstr>
      <vt:lpstr>Ohje</vt:lpstr>
      <vt:lpstr>Testiraportti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Toni Voutilainen</dc:creator>
  <cp:lastModifiedBy>Toni Voutilainen</cp:lastModifiedBy>
  <dcterms:created xsi:type="dcterms:W3CDTF">2026-05-03T12:58:05Z</dcterms:created>
  <dcterms:modified xsi:type="dcterms:W3CDTF">2026-05-03T13:28:21Z</dcterms:modified>
</cp:coreProperties>
</file>