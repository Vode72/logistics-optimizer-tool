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053365cd39567d92/Traffic_Coordinator_tools/"/>
    </mc:Choice>
  </mc:AlternateContent>
  <xr:revisionPtr revIDLastSave="2" documentId="11_39080B302039F4C907A87C8DC21FEB5D1691B867" xr6:coauthVersionLast="47" xr6:coauthVersionMax="47" xr10:uidLastSave="{D31CBE11-DACF-4DCA-BDF3-4FB4E7989B39}"/>
  <bookViews>
    <workbookView xWindow="-108" yWindow="-108" windowWidth="23256" windowHeight="12456" activeTab="34" xr2:uid="{00000000-000D-0000-FFFF-FFFF00000000}"/>
  </bookViews>
  <sheets>
    <sheet name="Logistics Optimizer Dashboard" sheetId="1" r:id="rId1"/>
    <sheet name="Lähetykset" sheetId="2" r:id="rId2"/>
    <sheet name="Reittivaihtoehdot" sheetId="3" r:id="rId3"/>
    <sheet name="Painotukset" sheetId="4" r:id="rId4"/>
    <sheet name="Optimointi" sheetId="5" r:id="rId5"/>
    <sheet name="Kuormaoptimointi" sheetId="6" r:id="rId6"/>
    <sheet name="Ohje" sheetId="7" r:id="rId7"/>
    <sheet name="Testiraportti" sheetId="8" r:id="rId8"/>
    <sheet name="TMS Dashboard" sheetId="9" r:id="rId9"/>
    <sheet name="TMS Orders" sheetId="10" r:id="rId10"/>
    <sheet name="TMS Consolidation" sheetId="11" r:id="rId11"/>
    <sheet name="TMS Dynamic Routing" sheetId="12" r:id="rId12"/>
    <sheet name="TMS Carrier Selection" sheetId="13" r:id="rId13"/>
    <sheet name="TMS Cost per Order" sheetId="14" r:id="rId14"/>
    <sheet name="TMS Tracking" sheetId="15" r:id="rId15"/>
    <sheet name="TMS Exceptions" sheetId="16" r:id="rId16"/>
    <sheet name="TMS Tendering" sheetId="17" r:id="rId17"/>
    <sheet name="TMS Capacity" sheetId="18" r:id="rId18"/>
    <sheet name="TMS Network" sheetId="19" r:id="rId19"/>
    <sheet name="TMS Testiraportti" sheetId="20" r:id="rId20"/>
    <sheet name="ETA-laskenta" sheetId="21" r:id="rId21"/>
    <sheet name="Ajopäivän simulointi" sheetId="22" r:id="rId22"/>
    <sheet name="Tyhjä ajo" sheetId="23" r:id="rId23"/>
    <sheet name="Palautettu_Taul1" sheetId="24" r:id="rId24"/>
    <sheet name="Trailerityyppi vaikutus" sheetId="25" r:id="rId25"/>
    <sheet name="CO2 yksikkökohtainen" sheetId="26" r:id="rId26"/>
    <sheet name="Asiakas analyysi" sheetId="27" r:id="rId27"/>
    <sheet name="Reittihistoria" sheetId="28" r:id="rId28"/>
    <sheet name="Riskivaroitukset" sheetId="29" r:id="rId29"/>
    <sheet name="PowerBI karttadata" sheetId="30" r:id="rId30"/>
    <sheet name="Analytiikka 1-10 Dashboard" sheetId="31" r:id="rId31"/>
    <sheet name="Analytiikka 1-10 Testiraportti" sheetId="32" r:id="rId32"/>
    <sheet name="AI Score Dashboard" sheetId="33" r:id="rId33"/>
    <sheet name="Trailer Layout" sheetId="34" r:id="rId34"/>
    <sheet name="Power BI KPI Dashboard" sheetId="35" r:id="rId3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35" l="1"/>
  <c r="H18" i="35"/>
  <c r="G18" i="35"/>
  <c r="E18" i="35"/>
  <c r="C18" i="35"/>
  <c r="B18" i="35"/>
  <c r="A18" i="35"/>
  <c r="I17" i="35"/>
  <c r="H17" i="35"/>
  <c r="G17" i="35"/>
  <c r="E17" i="35"/>
  <c r="C17" i="35"/>
  <c r="B17" i="35"/>
  <c r="A17" i="35"/>
  <c r="I16" i="35"/>
  <c r="H16" i="35"/>
  <c r="G16" i="35"/>
  <c r="E16" i="35"/>
  <c r="C16" i="35"/>
  <c r="B16" i="35"/>
  <c r="A16" i="35"/>
  <c r="I15" i="35"/>
  <c r="H15" i="35"/>
  <c r="G15" i="35"/>
  <c r="E15" i="35"/>
  <c r="C15" i="35"/>
  <c r="B15" i="35"/>
  <c r="A15" i="35"/>
  <c r="J10" i="35"/>
  <c r="H10" i="35"/>
  <c r="J9" i="35"/>
  <c r="H9" i="35"/>
  <c r="D6" i="35"/>
  <c r="J20" i="33"/>
  <c r="D13" i="32"/>
  <c r="E13" i="32" s="1"/>
  <c r="E8" i="32"/>
  <c r="D22" i="31"/>
  <c r="N40" i="29"/>
  <c r="M40" i="29"/>
  <c r="L40" i="29"/>
  <c r="K40" i="29"/>
  <c r="J40" i="29"/>
  <c r="I40" i="29"/>
  <c r="N39" i="29"/>
  <c r="M39" i="29"/>
  <c r="L39" i="29"/>
  <c r="K39" i="29"/>
  <c r="J39" i="29"/>
  <c r="I39" i="29"/>
  <c r="N38" i="29"/>
  <c r="M38" i="29"/>
  <c r="L38" i="29"/>
  <c r="K38" i="29"/>
  <c r="J38" i="29"/>
  <c r="I38" i="29"/>
  <c r="N37" i="29"/>
  <c r="M37" i="29"/>
  <c r="L37" i="29"/>
  <c r="K37" i="29"/>
  <c r="J37" i="29"/>
  <c r="I37" i="29"/>
  <c r="N36" i="29"/>
  <c r="M36" i="29"/>
  <c r="L36" i="29"/>
  <c r="K36" i="29"/>
  <c r="J36" i="29"/>
  <c r="I36" i="29"/>
  <c r="N35" i="29"/>
  <c r="M35" i="29"/>
  <c r="L35" i="29"/>
  <c r="K35" i="29"/>
  <c r="J35" i="29"/>
  <c r="I35" i="29"/>
  <c r="N34" i="29"/>
  <c r="M34" i="29"/>
  <c r="L34" i="29"/>
  <c r="K34" i="29"/>
  <c r="J34" i="29"/>
  <c r="I34" i="29"/>
  <c r="N33" i="29"/>
  <c r="M33" i="29"/>
  <c r="L33" i="29"/>
  <c r="K33" i="29"/>
  <c r="J33" i="29"/>
  <c r="I33" i="29"/>
  <c r="N32" i="29"/>
  <c r="M32" i="29"/>
  <c r="L32" i="29"/>
  <c r="K32" i="29"/>
  <c r="J32" i="29"/>
  <c r="I32" i="29"/>
  <c r="N31" i="29"/>
  <c r="M31" i="29"/>
  <c r="L31" i="29"/>
  <c r="K31" i="29"/>
  <c r="J31" i="29"/>
  <c r="I31" i="29"/>
  <c r="N30" i="29"/>
  <c r="M30" i="29"/>
  <c r="L30" i="29"/>
  <c r="K30" i="29"/>
  <c r="J30" i="29"/>
  <c r="I30" i="29"/>
  <c r="N29" i="29"/>
  <c r="M29" i="29"/>
  <c r="L29" i="29"/>
  <c r="K29" i="29"/>
  <c r="J29" i="29"/>
  <c r="I29" i="29"/>
  <c r="N28" i="29"/>
  <c r="M28" i="29"/>
  <c r="L28" i="29"/>
  <c r="K28" i="29"/>
  <c r="J28" i="29"/>
  <c r="I28" i="29"/>
  <c r="N27" i="29"/>
  <c r="M27" i="29"/>
  <c r="L27" i="29"/>
  <c r="K27" i="29"/>
  <c r="J27" i="29"/>
  <c r="I27" i="29"/>
  <c r="N26" i="29"/>
  <c r="M26" i="29"/>
  <c r="L26" i="29"/>
  <c r="K26" i="29"/>
  <c r="J26" i="29"/>
  <c r="I26" i="29"/>
  <c r="N25" i="29"/>
  <c r="M25" i="29"/>
  <c r="L25" i="29"/>
  <c r="K25" i="29"/>
  <c r="J25" i="29"/>
  <c r="I25" i="29"/>
  <c r="N24" i="29"/>
  <c r="M24" i="29"/>
  <c r="L24" i="29"/>
  <c r="K24" i="29"/>
  <c r="J24" i="29"/>
  <c r="I24" i="29"/>
  <c r="N23" i="29"/>
  <c r="M23" i="29"/>
  <c r="L23" i="29"/>
  <c r="K23" i="29"/>
  <c r="J23" i="29"/>
  <c r="I23" i="29"/>
  <c r="N22" i="29"/>
  <c r="M22" i="29"/>
  <c r="L22" i="29"/>
  <c r="K22" i="29"/>
  <c r="J22" i="29"/>
  <c r="I22" i="29"/>
  <c r="N21" i="29"/>
  <c r="M21" i="29"/>
  <c r="L21" i="29"/>
  <c r="K21" i="29"/>
  <c r="J21" i="29"/>
  <c r="I21" i="29"/>
  <c r="N20" i="29"/>
  <c r="M20" i="29"/>
  <c r="L20" i="29"/>
  <c r="K20" i="29"/>
  <c r="J20" i="29"/>
  <c r="I20" i="29"/>
  <c r="N19" i="29"/>
  <c r="M19" i="29"/>
  <c r="L19" i="29"/>
  <c r="K19" i="29"/>
  <c r="J19" i="29"/>
  <c r="I19" i="29"/>
  <c r="N18" i="29"/>
  <c r="M18" i="29"/>
  <c r="L18" i="29"/>
  <c r="K18" i="29"/>
  <c r="J18" i="29"/>
  <c r="I18" i="29"/>
  <c r="N17" i="29"/>
  <c r="M17" i="29"/>
  <c r="L17" i="29"/>
  <c r="K17" i="29"/>
  <c r="J17" i="29"/>
  <c r="I17" i="29"/>
  <c r="N16" i="29"/>
  <c r="M16" i="29"/>
  <c r="L16" i="29"/>
  <c r="K16" i="29"/>
  <c r="J16" i="29"/>
  <c r="I16" i="29"/>
  <c r="N15" i="29"/>
  <c r="M15" i="29"/>
  <c r="L15" i="29"/>
  <c r="K15" i="29"/>
  <c r="J15" i="29"/>
  <c r="I15" i="29"/>
  <c r="N14" i="29"/>
  <c r="M14" i="29"/>
  <c r="L14" i="29"/>
  <c r="K14" i="29"/>
  <c r="J14" i="29"/>
  <c r="I14" i="29"/>
  <c r="N13" i="29"/>
  <c r="M13" i="29"/>
  <c r="L13" i="29"/>
  <c r="K13" i="29"/>
  <c r="J13" i="29"/>
  <c r="I13" i="29"/>
  <c r="N12" i="29"/>
  <c r="M12" i="29"/>
  <c r="L12" i="29"/>
  <c r="K12" i="29"/>
  <c r="J12" i="29"/>
  <c r="I12" i="29"/>
  <c r="N11" i="29"/>
  <c r="M11" i="29"/>
  <c r="L11" i="29"/>
  <c r="K11" i="29"/>
  <c r="J11" i="29"/>
  <c r="I11" i="29"/>
  <c r="N10" i="29"/>
  <c r="M10" i="29"/>
  <c r="L10" i="29"/>
  <c r="K10" i="29"/>
  <c r="J10" i="29"/>
  <c r="I10" i="29"/>
  <c r="N9" i="29"/>
  <c r="M9" i="29"/>
  <c r="L9" i="29"/>
  <c r="K9" i="29"/>
  <c r="J9" i="29"/>
  <c r="I9" i="29"/>
  <c r="N8" i="29"/>
  <c r="M8" i="29"/>
  <c r="L8" i="29"/>
  <c r="K8" i="29"/>
  <c r="J8" i="29"/>
  <c r="I8" i="29"/>
  <c r="M7" i="29"/>
  <c r="N7" i="29" s="1"/>
  <c r="L7" i="29"/>
  <c r="K7" i="29"/>
  <c r="J7" i="29"/>
  <c r="I7" i="29"/>
  <c r="L6" i="29"/>
  <c r="K6" i="29"/>
  <c r="M6" i="29" s="1"/>
  <c r="N6" i="29" s="1"/>
  <c r="J6" i="29"/>
  <c r="I6" i="29"/>
  <c r="L5" i="29"/>
  <c r="K5" i="29"/>
  <c r="J5" i="29"/>
  <c r="I5" i="29"/>
  <c r="M5" i="29" s="1"/>
  <c r="K100" i="28"/>
  <c r="J100" i="28"/>
  <c r="K99" i="28"/>
  <c r="J99" i="28"/>
  <c r="K98" i="28"/>
  <c r="J98" i="28"/>
  <c r="K97" i="28"/>
  <c r="J97" i="28"/>
  <c r="K96" i="28"/>
  <c r="J96" i="28"/>
  <c r="K95" i="28"/>
  <c r="J95" i="28"/>
  <c r="K94" i="28"/>
  <c r="J94" i="28"/>
  <c r="K93" i="28"/>
  <c r="J93" i="28"/>
  <c r="K92" i="28"/>
  <c r="J92" i="28"/>
  <c r="K91" i="28"/>
  <c r="J91" i="28"/>
  <c r="K90" i="28"/>
  <c r="J90" i="28"/>
  <c r="K89" i="28"/>
  <c r="J89" i="28"/>
  <c r="K88" i="28"/>
  <c r="J88" i="28"/>
  <c r="K87" i="28"/>
  <c r="J87" i="28"/>
  <c r="K86" i="28"/>
  <c r="J86" i="28"/>
  <c r="K85" i="28"/>
  <c r="J85" i="28"/>
  <c r="K84" i="28"/>
  <c r="J84" i="28"/>
  <c r="K83" i="28"/>
  <c r="J83" i="28"/>
  <c r="K82" i="28"/>
  <c r="J82" i="28"/>
  <c r="K81" i="28"/>
  <c r="J81" i="28"/>
  <c r="K80" i="28"/>
  <c r="J80" i="28"/>
  <c r="K79" i="28"/>
  <c r="J79" i="28"/>
  <c r="K78" i="28"/>
  <c r="J78" i="28"/>
  <c r="K77" i="28"/>
  <c r="J77" i="28"/>
  <c r="K76" i="28"/>
  <c r="J76" i="28"/>
  <c r="K75" i="28"/>
  <c r="J75" i="28"/>
  <c r="K74" i="28"/>
  <c r="J74" i="28"/>
  <c r="K73" i="28"/>
  <c r="J73" i="28"/>
  <c r="K72" i="28"/>
  <c r="J72" i="28"/>
  <c r="K71" i="28"/>
  <c r="J71" i="28"/>
  <c r="K70" i="28"/>
  <c r="J70" i="28"/>
  <c r="K69" i="28"/>
  <c r="J69" i="28"/>
  <c r="K68" i="28"/>
  <c r="J68" i="28"/>
  <c r="K67" i="28"/>
  <c r="J67" i="28"/>
  <c r="K66" i="28"/>
  <c r="J66" i="28"/>
  <c r="K65" i="28"/>
  <c r="J65" i="28"/>
  <c r="K64" i="28"/>
  <c r="J64" i="28"/>
  <c r="K63" i="28"/>
  <c r="J63" i="28"/>
  <c r="K62" i="28"/>
  <c r="J62" i="28"/>
  <c r="K61" i="28"/>
  <c r="J61" i="28"/>
  <c r="K60" i="28"/>
  <c r="J60" i="28"/>
  <c r="K59" i="28"/>
  <c r="J59" i="28"/>
  <c r="K58" i="28"/>
  <c r="J58" i="28"/>
  <c r="K57" i="28"/>
  <c r="J57" i="28"/>
  <c r="K56" i="28"/>
  <c r="J56" i="28"/>
  <c r="K55" i="28"/>
  <c r="J55" i="28"/>
  <c r="K54" i="28"/>
  <c r="J54" i="28"/>
  <c r="K53" i="28"/>
  <c r="J53" i="28"/>
  <c r="K52" i="28"/>
  <c r="J52" i="28"/>
  <c r="K51" i="28"/>
  <c r="J51" i="28"/>
  <c r="K50" i="28"/>
  <c r="J50" i="28"/>
  <c r="K49" i="28"/>
  <c r="J49" i="28"/>
  <c r="K48" i="28"/>
  <c r="J48" i="28"/>
  <c r="K47" i="28"/>
  <c r="J47" i="28"/>
  <c r="K46" i="28"/>
  <c r="J46" i="28"/>
  <c r="K45" i="28"/>
  <c r="J45" i="28"/>
  <c r="K44" i="28"/>
  <c r="J44" i="28"/>
  <c r="K43" i="28"/>
  <c r="J43" i="28"/>
  <c r="K42" i="28"/>
  <c r="J42" i="28"/>
  <c r="K41" i="28"/>
  <c r="J41" i="28"/>
  <c r="K40" i="28"/>
  <c r="J40" i="28"/>
  <c r="K39" i="28"/>
  <c r="J39" i="28"/>
  <c r="K38" i="28"/>
  <c r="J38" i="28"/>
  <c r="K37" i="28"/>
  <c r="J37" i="28"/>
  <c r="K36" i="28"/>
  <c r="J36" i="28"/>
  <c r="K35" i="28"/>
  <c r="J35" i="28"/>
  <c r="K34" i="28"/>
  <c r="J34" i="28"/>
  <c r="K33" i="28"/>
  <c r="J33" i="28"/>
  <c r="K32" i="28"/>
  <c r="J32" i="28"/>
  <c r="K31" i="28"/>
  <c r="J31" i="28"/>
  <c r="K30" i="28"/>
  <c r="J30" i="28"/>
  <c r="K29" i="28"/>
  <c r="J29" i="28"/>
  <c r="K28" i="28"/>
  <c r="J28" i="28"/>
  <c r="K27" i="28"/>
  <c r="J27" i="28"/>
  <c r="K26" i="28"/>
  <c r="J26" i="28"/>
  <c r="K25" i="28"/>
  <c r="J25" i="28"/>
  <c r="K24" i="28"/>
  <c r="J24" i="28"/>
  <c r="K23" i="28"/>
  <c r="J23" i="28"/>
  <c r="K22" i="28"/>
  <c r="J22" i="28"/>
  <c r="K21" i="28"/>
  <c r="J21" i="28"/>
  <c r="K20" i="28"/>
  <c r="J20" i="28"/>
  <c r="K19" i="28"/>
  <c r="J19" i="28"/>
  <c r="K18" i="28"/>
  <c r="J18" i="28"/>
  <c r="K17" i="28"/>
  <c r="J17" i="28"/>
  <c r="K16" i="28"/>
  <c r="J16" i="28"/>
  <c r="K15" i="28"/>
  <c r="J15" i="28"/>
  <c r="K14" i="28"/>
  <c r="J14" i="28"/>
  <c r="K13" i="28"/>
  <c r="J13" i="28"/>
  <c r="K12" i="28"/>
  <c r="J12" i="28"/>
  <c r="K11" i="28"/>
  <c r="J11" i="28"/>
  <c r="K10" i="28"/>
  <c r="J10" i="28"/>
  <c r="K9" i="28"/>
  <c r="J9" i="28"/>
  <c r="J8" i="28"/>
  <c r="K8" i="28" s="1"/>
  <c r="D18" i="35" s="1"/>
  <c r="J7" i="28"/>
  <c r="K7" i="28" s="1"/>
  <c r="D17" i="35" s="1"/>
  <c r="J6" i="28"/>
  <c r="K6" i="28" s="1"/>
  <c r="D16" i="35" s="1"/>
  <c r="J5" i="28"/>
  <c r="K5" i="28" s="1"/>
  <c r="M40" i="27"/>
  <c r="L40" i="27"/>
  <c r="K40" i="27"/>
  <c r="J40" i="27"/>
  <c r="H40" i="27"/>
  <c r="I40" i="27" s="1"/>
  <c r="G40" i="27"/>
  <c r="F40" i="27"/>
  <c r="E40" i="27"/>
  <c r="M39" i="27"/>
  <c r="L39" i="27"/>
  <c r="K39" i="27"/>
  <c r="J39" i="27"/>
  <c r="H39" i="27"/>
  <c r="G39" i="27"/>
  <c r="I39" i="27" s="1"/>
  <c r="F39" i="27"/>
  <c r="E39" i="27"/>
  <c r="M38" i="27"/>
  <c r="L38" i="27"/>
  <c r="K38" i="27"/>
  <c r="J38" i="27"/>
  <c r="H38" i="27"/>
  <c r="G38" i="27"/>
  <c r="I38" i="27" s="1"/>
  <c r="F38" i="27"/>
  <c r="E38" i="27"/>
  <c r="M37" i="27"/>
  <c r="L37" i="27"/>
  <c r="K37" i="27"/>
  <c r="J37" i="27"/>
  <c r="I37" i="27"/>
  <c r="H37" i="27"/>
  <c r="G37" i="27"/>
  <c r="F37" i="27"/>
  <c r="E37" i="27"/>
  <c r="M36" i="27"/>
  <c r="L36" i="27"/>
  <c r="K36" i="27"/>
  <c r="J36" i="27"/>
  <c r="H36" i="27"/>
  <c r="I36" i="27" s="1"/>
  <c r="G36" i="27"/>
  <c r="F36" i="27"/>
  <c r="E36" i="27"/>
  <c r="M35" i="27"/>
  <c r="L35" i="27"/>
  <c r="K35" i="27"/>
  <c r="J35" i="27"/>
  <c r="I35" i="27"/>
  <c r="H35" i="27"/>
  <c r="G35" i="27"/>
  <c r="F35" i="27"/>
  <c r="E35" i="27"/>
  <c r="M34" i="27"/>
  <c r="L34" i="27"/>
  <c r="K34" i="27"/>
  <c r="J34" i="27"/>
  <c r="H34" i="27"/>
  <c r="G34" i="27"/>
  <c r="I34" i="27" s="1"/>
  <c r="F34" i="27"/>
  <c r="E34" i="27"/>
  <c r="M33" i="27"/>
  <c r="L33" i="27"/>
  <c r="K33" i="27"/>
  <c r="J33" i="27"/>
  <c r="H33" i="27"/>
  <c r="G33" i="27"/>
  <c r="I33" i="27" s="1"/>
  <c r="F33" i="27"/>
  <c r="E33" i="27"/>
  <c r="M32" i="27"/>
  <c r="L32" i="27"/>
  <c r="K32" i="27"/>
  <c r="J32" i="27"/>
  <c r="H32" i="27"/>
  <c r="I32" i="27" s="1"/>
  <c r="G32" i="27"/>
  <c r="F32" i="27"/>
  <c r="E32" i="27"/>
  <c r="M31" i="27"/>
  <c r="L31" i="27"/>
  <c r="K31" i="27"/>
  <c r="J31" i="27"/>
  <c r="H31" i="27"/>
  <c r="G31" i="27"/>
  <c r="I31" i="27" s="1"/>
  <c r="F31" i="27"/>
  <c r="E31" i="27"/>
  <c r="M30" i="27"/>
  <c r="L30" i="27"/>
  <c r="K30" i="27"/>
  <c r="J30" i="27"/>
  <c r="H30" i="27"/>
  <c r="G30" i="27"/>
  <c r="I30" i="27" s="1"/>
  <c r="F30" i="27"/>
  <c r="E30" i="27"/>
  <c r="M29" i="27"/>
  <c r="L29" i="27"/>
  <c r="K29" i="27"/>
  <c r="J29" i="27"/>
  <c r="I29" i="27"/>
  <c r="H29" i="27"/>
  <c r="G29" i="27"/>
  <c r="F29" i="27"/>
  <c r="E29" i="27"/>
  <c r="M28" i="27"/>
  <c r="L28" i="27"/>
  <c r="K28" i="27"/>
  <c r="J28" i="27"/>
  <c r="H28" i="27"/>
  <c r="I28" i="27" s="1"/>
  <c r="G28" i="27"/>
  <c r="F28" i="27"/>
  <c r="E28" i="27"/>
  <c r="M27" i="27"/>
  <c r="L27" i="27"/>
  <c r="K27" i="27"/>
  <c r="J27" i="27"/>
  <c r="I27" i="27"/>
  <c r="H27" i="27"/>
  <c r="G27" i="27"/>
  <c r="F27" i="27"/>
  <c r="E27" i="27"/>
  <c r="M26" i="27"/>
  <c r="L26" i="27"/>
  <c r="K26" i="27"/>
  <c r="J26" i="27"/>
  <c r="H26" i="27"/>
  <c r="G26" i="27"/>
  <c r="I26" i="27" s="1"/>
  <c r="F26" i="27"/>
  <c r="E26" i="27"/>
  <c r="M25" i="27"/>
  <c r="L25" i="27"/>
  <c r="K25" i="27"/>
  <c r="J25" i="27"/>
  <c r="H25" i="27"/>
  <c r="G25" i="27"/>
  <c r="I25" i="27" s="1"/>
  <c r="F25" i="27"/>
  <c r="E25" i="27"/>
  <c r="M24" i="27"/>
  <c r="L24" i="27"/>
  <c r="K24" i="27"/>
  <c r="J24" i="27"/>
  <c r="H24" i="27"/>
  <c r="I24" i="27" s="1"/>
  <c r="G24" i="27"/>
  <c r="F24" i="27"/>
  <c r="E24" i="27"/>
  <c r="M23" i="27"/>
  <c r="L23" i="27"/>
  <c r="K23" i="27"/>
  <c r="J23" i="27"/>
  <c r="H23" i="27"/>
  <c r="G23" i="27"/>
  <c r="I23" i="27" s="1"/>
  <c r="F23" i="27"/>
  <c r="E23" i="27"/>
  <c r="M22" i="27"/>
  <c r="L22" i="27"/>
  <c r="K22" i="27"/>
  <c r="J22" i="27"/>
  <c r="H22" i="27"/>
  <c r="G22" i="27"/>
  <c r="F22" i="27"/>
  <c r="E22" i="27"/>
  <c r="M21" i="27"/>
  <c r="L21" i="27"/>
  <c r="K21" i="27"/>
  <c r="J21" i="27"/>
  <c r="I21" i="27"/>
  <c r="H21" i="27"/>
  <c r="G21" i="27"/>
  <c r="F21" i="27"/>
  <c r="E21" i="27"/>
  <c r="M20" i="27"/>
  <c r="L20" i="27"/>
  <c r="K20" i="27"/>
  <c r="J20" i="27"/>
  <c r="H20" i="27"/>
  <c r="I20" i="27" s="1"/>
  <c r="G20" i="27"/>
  <c r="F20" i="27"/>
  <c r="E20" i="27"/>
  <c r="M19" i="27"/>
  <c r="L19" i="27"/>
  <c r="K19" i="27"/>
  <c r="J19" i="27"/>
  <c r="I19" i="27"/>
  <c r="H19" i="27"/>
  <c r="G19" i="27"/>
  <c r="F19" i="27"/>
  <c r="E19" i="27"/>
  <c r="M18" i="27"/>
  <c r="L18" i="27"/>
  <c r="K18" i="27"/>
  <c r="J18" i="27"/>
  <c r="H18" i="27"/>
  <c r="G18" i="27"/>
  <c r="I18" i="27" s="1"/>
  <c r="F18" i="27"/>
  <c r="E18" i="27"/>
  <c r="M17" i="27"/>
  <c r="L17" i="27"/>
  <c r="K17" i="27"/>
  <c r="J17" i="27"/>
  <c r="H17" i="27"/>
  <c r="G17" i="27"/>
  <c r="I17" i="27" s="1"/>
  <c r="F17" i="27"/>
  <c r="E17" i="27"/>
  <c r="M16" i="27"/>
  <c r="L16" i="27"/>
  <c r="K16" i="27"/>
  <c r="J16" i="27"/>
  <c r="H16" i="27"/>
  <c r="I16" i="27" s="1"/>
  <c r="G16" i="27"/>
  <c r="F16" i="27"/>
  <c r="E16" i="27"/>
  <c r="M15" i="27"/>
  <c r="L15" i="27"/>
  <c r="K15" i="27"/>
  <c r="J15" i="27"/>
  <c r="I15" i="27"/>
  <c r="H15" i="27"/>
  <c r="G15" i="27"/>
  <c r="F15" i="27"/>
  <c r="E15" i="27"/>
  <c r="M14" i="27"/>
  <c r="L14" i="27"/>
  <c r="K14" i="27"/>
  <c r="J14" i="27"/>
  <c r="H14" i="27"/>
  <c r="G14" i="27"/>
  <c r="F14" i="27"/>
  <c r="E14" i="27"/>
  <c r="M13" i="27"/>
  <c r="L13" i="27"/>
  <c r="K13" i="27"/>
  <c r="J13" i="27"/>
  <c r="I13" i="27"/>
  <c r="H13" i="27"/>
  <c r="G13" i="27"/>
  <c r="F13" i="27"/>
  <c r="E13" i="27"/>
  <c r="M12" i="27"/>
  <c r="L12" i="27"/>
  <c r="K12" i="27"/>
  <c r="J12" i="27"/>
  <c r="H12" i="27"/>
  <c r="I12" i="27" s="1"/>
  <c r="G12" i="27"/>
  <c r="F12" i="27"/>
  <c r="E12" i="27"/>
  <c r="M11" i="27"/>
  <c r="L11" i="27"/>
  <c r="K11" i="27"/>
  <c r="J11" i="27"/>
  <c r="I11" i="27"/>
  <c r="H11" i="27"/>
  <c r="G11" i="27"/>
  <c r="F11" i="27"/>
  <c r="E11" i="27"/>
  <c r="M10" i="27"/>
  <c r="L10" i="27"/>
  <c r="K10" i="27"/>
  <c r="J10" i="27"/>
  <c r="H10" i="27"/>
  <c r="G10" i="27"/>
  <c r="I10" i="27" s="1"/>
  <c r="F10" i="27"/>
  <c r="E10" i="27"/>
  <c r="M9" i="27"/>
  <c r="L9" i="27"/>
  <c r="K9" i="27"/>
  <c r="J9" i="27"/>
  <c r="H9" i="27"/>
  <c r="G9" i="27"/>
  <c r="I9" i="27" s="1"/>
  <c r="F9" i="27"/>
  <c r="E9" i="27"/>
  <c r="L8" i="27"/>
  <c r="I8" i="27"/>
  <c r="K18" i="35" s="1"/>
  <c r="F8" i="27"/>
  <c r="J18" i="35" s="1"/>
  <c r="E8" i="27"/>
  <c r="I7" i="27"/>
  <c r="K17" i="35" s="1"/>
  <c r="E7" i="27"/>
  <c r="F7" i="27" s="1"/>
  <c r="I6" i="27"/>
  <c r="K16" i="35" s="1"/>
  <c r="F6" i="27"/>
  <c r="E6" i="27"/>
  <c r="I5" i="27"/>
  <c r="K15" i="35" s="1"/>
  <c r="E5" i="27"/>
  <c r="F5" i="27" s="1"/>
  <c r="L40" i="26"/>
  <c r="I40" i="26"/>
  <c r="K40" i="26" s="1"/>
  <c r="H40" i="26"/>
  <c r="G40" i="26"/>
  <c r="J40" i="26" s="1"/>
  <c r="F40" i="26"/>
  <c r="L39" i="26"/>
  <c r="H39" i="26"/>
  <c r="I39" i="26" s="1"/>
  <c r="K39" i="26" s="1"/>
  <c r="G39" i="26"/>
  <c r="F39" i="26"/>
  <c r="J39" i="26" s="1"/>
  <c r="L38" i="26"/>
  <c r="I38" i="26"/>
  <c r="K38" i="26" s="1"/>
  <c r="H38" i="26"/>
  <c r="G38" i="26"/>
  <c r="J38" i="26" s="1"/>
  <c r="F38" i="26"/>
  <c r="L37" i="26"/>
  <c r="H37" i="26"/>
  <c r="I37" i="26" s="1"/>
  <c r="K37" i="26" s="1"/>
  <c r="G37" i="26"/>
  <c r="F37" i="26"/>
  <c r="J37" i="26" s="1"/>
  <c r="L36" i="26"/>
  <c r="K36" i="26"/>
  <c r="I36" i="26"/>
  <c r="H36" i="26"/>
  <c r="G36" i="26"/>
  <c r="J36" i="26" s="1"/>
  <c r="F36" i="26"/>
  <c r="L35" i="26"/>
  <c r="H35" i="26"/>
  <c r="I35" i="26" s="1"/>
  <c r="K35" i="26" s="1"/>
  <c r="G35" i="26"/>
  <c r="F35" i="26"/>
  <c r="J35" i="26" s="1"/>
  <c r="L34" i="26"/>
  <c r="K34" i="26"/>
  <c r="I34" i="26"/>
  <c r="H34" i="26"/>
  <c r="G34" i="26"/>
  <c r="J34" i="26" s="1"/>
  <c r="F34" i="26"/>
  <c r="L33" i="26"/>
  <c r="J33" i="26"/>
  <c r="H33" i="26"/>
  <c r="I33" i="26" s="1"/>
  <c r="K33" i="26" s="1"/>
  <c r="G33" i="26"/>
  <c r="F33" i="26"/>
  <c r="L32" i="26"/>
  <c r="I32" i="26"/>
  <c r="K32" i="26" s="1"/>
  <c r="H32" i="26"/>
  <c r="G32" i="26"/>
  <c r="J32" i="26" s="1"/>
  <c r="F32" i="26"/>
  <c r="L31" i="26"/>
  <c r="H31" i="26"/>
  <c r="I31" i="26" s="1"/>
  <c r="K31" i="26" s="1"/>
  <c r="G31" i="26"/>
  <c r="F31" i="26"/>
  <c r="J31" i="26" s="1"/>
  <c r="L30" i="26"/>
  <c r="I30" i="26"/>
  <c r="K30" i="26" s="1"/>
  <c r="H30" i="26"/>
  <c r="G30" i="26"/>
  <c r="J30" i="26" s="1"/>
  <c r="F30" i="26"/>
  <c r="L29" i="26"/>
  <c r="H29" i="26"/>
  <c r="I29" i="26" s="1"/>
  <c r="K29" i="26" s="1"/>
  <c r="G29" i="26"/>
  <c r="F29" i="26"/>
  <c r="J29" i="26" s="1"/>
  <c r="L28" i="26"/>
  <c r="K28" i="26"/>
  <c r="I28" i="26"/>
  <c r="H28" i="26"/>
  <c r="G28" i="26"/>
  <c r="J28" i="26" s="1"/>
  <c r="F28" i="26"/>
  <c r="L27" i="26"/>
  <c r="H27" i="26"/>
  <c r="I27" i="26" s="1"/>
  <c r="K27" i="26" s="1"/>
  <c r="G27" i="26"/>
  <c r="F27" i="26"/>
  <c r="J27" i="26" s="1"/>
  <c r="L26" i="26"/>
  <c r="K26" i="26"/>
  <c r="I26" i="26"/>
  <c r="H26" i="26"/>
  <c r="G26" i="26"/>
  <c r="J26" i="26" s="1"/>
  <c r="F26" i="26"/>
  <c r="L25" i="26"/>
  <c r="J25" i="26"/>
  <c r="H25" i="26"/>
  <c r="I25" i="26" s="1"/>
  <c r="K25" i="26" s="1"/>
  <c r="G25" i="26"/>
  <c r="F25" i="26"/>
  <c r="L24" i="26"/>
  <c r="K24" i="26"/>
  <c r="I24" i="26"/>
  <c r="H24" i="26"/>
  <c r="G24" i="26"/>
  <c r="J24" i="26" s="1"/>
  <c r="F24" i="26"/>
  <c r="L23" i="26"/>
  <c r="H23" i="26"/>
  <c r="I23" i="26" s="1"/>
  <c r="K23" i="26" s="1"/>
  <c r="G23" i="26"/>
  <c r="F23" i="26"/>
  <c r="J23" i="26" s="1"/>
  <c r="L22" i="26"/>
  <c r="I22" i="26"/>
  <c r="K22" i="26" s="1"/>
  <c r="H22" i="26"/>
  <c r="G22" i="26"/>
  <c r="J22" i="26" s="1"/>
  <c r="F22" i="26"/>
  <c r="L21" i="26"/>
  <c r="H21" i="26"/>
  <c r="I21" i="26" s="1"/>
  <c r="K21" i="26" s="1"/>
  <c r="G21" i="26"/>
  <c r="F21" i="26"/>
  <c r="J21" i="26" s="1"/>
  <c r="L20" i="26"/>
  <c r="K20" i="26"/>
  <c r="I20" i="26"/>
  <c r="H20" i="26"/>
  <c r="G20" i="26"/>
  <c r="J20" i="26" s="1"/>
  <c r="F20" i="26"/>
  <c r="L19" i="26"/>
  <c r="H19" i="26"/>
  <c r="I19" i="26" s="1"/>
  <c r="K19" i="26" s="1"/>
  <c r="G19" i="26"/>
  <c r="F19" i="26"/>
  <c r="J19" i="26" s="1"/>
  <c r="L18" i="26"/>
  <c r="I18" i="26"/>
  <c r="K18" i="26" s="1"/>
  <c r="H18" i="26"/>
  <c r="G18" i="26"/>
  <c r="J18" i="26" s="1"/>
  <c r="F18" i="26"/>
  <c r="L17" i="26"/>
  <c r="J17" i="26"/>
  <c r="H17" i="26"/>
  <c r="I17" i="26" s="1"/>
  <c r="K17" i="26" s="1"/>
  <c r="G17" i="26"/>
  <c r="F17" i="26"/>
  <c r="L16" i="26"/>
  <c r="I16" i="26"/>
  <c r="K16" i="26" s="1"/>
  <c r="H16" i="26"/>
  <c r="G16" i="26"/>
  <c r="J16" i="26" s="1"/>
  <c r="F16" i="26"/>
  <c r="L15" i="26"/>
  <c r="H15" i="26"/>
  <c r="I15" i="26" s="1"/>
  <c r="K15" i="26" s="1"/>
  <c r="G15" i="26"/>
  <c r="F15" i="26"/>
  <c r="J15" i="26" s="1"/>
  <c r="L14" i="26"/>
  <c r="I14" i="26"/>
  <c r="K14" i="26" s="1"/>
  <c r="H14" i="26"/>
  <c r="G14" i="26"/>
  <c r="J14" i="26" s="1"/>
  <c r="F14" i="26"/>
  <c r="L13" i="26"/>
  <c r="H13" i="26"/>
  <c r="I13" i="26" s="1"/>
  <c r="K13" i="26" s="1"/>
  <c r="G13" i="26"/>
  <c r="F13" i="26"/>
  <c r="J13" i="26" s="1"/>
  <c r="L12" i="26"/>
  <c r="K12" i="26"/>
  <c r="I12" i="26"/>
  <c r="H12" i="26"/>
  <c r="G12" i="26"/>
  <c r="J12" i="26" s="1"/>
  <c r="F12" i="26"/>
  <c r="L11" i="26"/>
  <c r="H11" i="26"/>
  <c r="I11" i="26" s="1"/>
  <c r="K11" i="26" s="1"/>
  <c r="G11" i="26"/>
  <c r="F11" i="26"/>
  <c r="J11" i="26" s="1"/>
  <c r="L10" i="26"/>
  <c r="K10" i="26"/>
  <c r="I10" i="26"/>
  <c r="H10" i="26"/>
  <c r="G10" i="26"/>
  <c r="J10" i="26" s="1"/>
  <c r="F10" i="26"/>
  <c r="L9" i="26"/>
  <c r="J9" i="26"/>
  <c r="H9" i="26"/>
  <c r="I9" i="26" s="1"/>
  <c r="K9" i="26" s="1"/>
  <c r="G9" i="26"/>
  <c r="F9" i="26"/>
  <c r="L8" i="26"/>
  <c r="I8" i="26"/>
  <c r="K8" i="26" s="1"/>
  <c r="H8" i="26"/>
  <c r="G8" i="26"/>
  <c r="J8" i="26" s="1"/>
  <c r="F8" i="26"/>
  <c r="I7" i="26"/>
  <c r="F7" i="26"/>
  <c r="K6" i="26"/>
  <c r="I6" i="26"/>
  <c r="F6" i="26"/>
  <c r="J6" i="26" s="1"/>
  <c r="L6" i="26" s="1"/>
  <c r="J5" i="26"/>
  <c r="D9" i="32" s="1"/>
  <c r="E9" i="32" s="1"/>
  <c r="I5" i="26"/>
  <c r="K5" i="26" s="1"/>
  <c r="F5" i="26"/>
  <c r="M20" i="25"/>
  <c r="L20" i="25"/>
  <c r="M19" i="25"/>
  <c r="L19" i="25"/>
  <c r="M18" i="25"/>
  <c r="L18" i="25"/>
  <c r="M17" i="25"/>
  <c r="L17" i="25"/>
  <c r="M16" i="25"/>
  <c r="L16" i="25"/>
  <c r="M15" i="25"/>
  <c r="L15" i="25"/>
  <c r="M14" i="25"/>
  <c r="L14" i="25"/>
  <c r="M13" i="25"/>
  <c r="L13" i="25"/>
  <c r="M12" i="25"/>
  <c r="L12" i="25"/>
  <c r="M11" i="25"/>
  <c r="L11" i="25"/>
  <c r="M10" i="25"/>
  <c r="L10" i="25"/>
  <c r="M9" i="25"/>
  <c r="L9" i="25"/>
  <c r="M8" i="25"/>
  <c r="L8" i="25"/>
  <c r="M7" i="25"/>
  <c r="L7" i="25"/>
  <c r="M6" i="25"/>
  <c r="L6" i="25"/>
  <c r="M5" i="25"/>
  <c r="L5" i="25"/>
  <c r="J40" i="24"/>
  <c r="I40" i="24"/>
  <c r="H40" i="24"/>
  <c r="G40" i="24"/>
  <c r="F40" i="24"/>
  <c r="E40" i="24"/>
  <c r="J39" i="24"/>
  <c r="I39" i="24"/>
  <c r="H39" i="24"/>
  <c r="G39" i="24"/>
  <c r="F39" i="24"/>
  <c r="E39" i="24"/>
  <c r="J38" i="24"/>
  <c r="I38" i="24"/>
  <c r="H38" i="24"/>
  <c r="G38" i="24"/>
  <c r="F38" i="24"/>
  <c r="E38" i="24"/>
  <c r="J37" i="24"/>
  <c r="I37" i="24"/>
  <c r="H37" i="24"/>
  <c r="G37" i="24"/>
  <c r="F37" i="24"/>
  <c r="E37" i="24"/>
  <c r="J36" i="24"/>
  <c r="I36" i="24"/>
  <c r="H36" i="24"/>
  <c r="G36" i="24"/>
  <c r="F36" i="24"/>
  <c r="E36" i="24"/>
  <c r="J35" i="24"/>
  <c r="I35" i="24"/>
  <c r="H35" i="24"/>
  <c r="G35" i="24"/>
  <c r="F35" i="24"/>
  <c r="E35" i="24"/>
  <c r="J34" i="24"/>
  <c r="I34" i="24"/>
  <c r="H34" i="24"/>
  <c r="G34" i="24"/>
  <c r="F34" i="24"/>
  <c r="E34" i="24"/>
  <c r="J33" i="24"/>
  <c r="I33" i="24"/>
  <c r="H33" i="24"/>
  <c r="G33" i="24"/>
  <c r="F33" i="24"/>
  <c r="E33" i="24"/>
  <c r="J32" i="24"/>
  <c r="I32" i="24"/>
  <c r="H32" i="24"/>
  <c r="G32" i="24"/>
  <c r="F32" i="24"/>
  <c r="E32" i="24"/>
  <c r="J31" i="24"/>
  <c r="I31" i="24"/>
  <c r="H31" i="24"/>
  <c r="G31" i="24"/>
  <c r="F31" i="24"/>
  <c r="E31" i="24"/>
  <c r="J30" i="24"/>
  <c r="I30" i="24"/>
  <c r="H30" i="24"/>
  <c r="G30" i="24"/>
  <c r="F30" i="24"/>
  <c r="E30" i="24"/>
  <c r="J29" i="24"/>
  <c r="I29" i="24"/>
  <c r="H29" i="24"/>
  <c r="G29" i="24"/>
  <c r="F29" i="24"/>
  <c r="E29" i="24"/>
  <c r="J28" i="24"/>
  <c r="I28" i="24"/>
  <c r="H28" i="24"/>
  <c r="G28" i="24"/>
  <c r="F28" i="24"/>
  <c r="E28" i="24"/>
  <c r="J27" i="24"/>
  <c r="I27" i="24"/>
  <c r="H27" i="24"/>
  <c r="G27" i="24"/>
  <c r="F27" i="24"/>
  <c r="E27" i="24"/>
  <c r="J26" i="24"/>
  <c r="I26" i="24"/>
  <c r="H26" i="24"/>
  <c r="G26" i="24"/>
  <c r="F26" i="24"/>
  <c r="E26" i="24"/>
  <c r="J25" i="24"/>
  <c r="I25" i="24"/>
  <c r="H25" i="24"/>
  <c r="G25" i="24"/>
  <c r="F25" i="24"/>
  <c r="E25" i="24"/>
  <c r="J24" i="24"/>
  <c r="I24" i="24"/>
  <c r="H24" i="24"/>
  <c r="G24" i="24"/>
  <c r="F24" i="24"/>
  <c r="E24" i="24"/>
  <c r="J23" i="24"/>
  <c r="I23" i="24"/>
  <c r="H23" i="24"/>
  <c r="G23" i="24"/>
  <c r="F23" i="24"/>
  <c r="E23" i="24"/>
  <c r="J22" i="24"/>
  <c r="I22" i="24"/>
  <c r="H22" i="24"/>
  <c r="G22" i="24"/>
  <c r="F22" i="24"/>
  <c r="E22" i="24"/>
  <c r="J21" i="24"/>
  <c r="I21" i="24"/>
  <c r="H21" i="24"/>
  <c r="G21" i="24"/>
  <c r="F21" i="24"/>
  <c r="E21" i="24"/>
  <c r="J20" i="24"/>
  <c r="I20" i="24"/>
  <c r="H20" i="24"/>
  <c r="G20" i="24"/>
  <c r="F20" i="24"/>
  <c r="E20" i="24"/>
  <c r="J19" i="24"/>
  <c r="I19" i="24"/>
  <c r="H19" i="24"/>
  <c r="G19" i="24"/>
  <c r="F19" i="24"/>
  <c r="E19" i="24"/>
  <c r="J18" i="24"/>
  <c r="I18" i="24"/>
  <c r="H18" i="24"/>
  <c r="G18" i="24"/>
  <c r="F18" i="24"/>
  <c r="E18" i="24"/>
  <c r="J17" i="24"/>
  <c r="I17" i="24"/>
  <c r="H17" i="24"/>
  <c r="G17" i="24"/>
  <c r="F17" i="24"/>
  <c r="E17" i="24"/>
  <c r="J16" i="24"/>
  <c r="I16" i="24"/>
  <c r="H16" i="24"/>
  <c r="G16" i="24"/>
  <c r="F16" i="24"/>
  <c r="E16" i="24"/>
  <c r="J15" i="24"/>
  <c r="I15" i="24"/>
  <c r="H15" i="24"/>
  <c r="G15" i="24"/>
  <c r="F15" i="24"/>
  <c r="E15" i="24"/>
  <c r="J14" i="24"/>
  <c r="I14" i="24"/>
  <c r="H14" i="24"/>
  <c r="G14" i="24"/>
  <c r="F14" i="24"/>
  <c r="E14" i="24"/>
  <c r="J13" i="24"/>
  <c r="I13" i="24"/>
  <c r="H13" i="24"/>
  <c r="G13" i="24"/>
  <c r="F13" i="24"/>
  <c r="E13" i="24"/>
  <c r="J12" i="24"/>
  <c r="I12" i="24"/>
  <c r="H12" i="24"/>
  <c r="G12" i="24"/>
  <c r="F12" i="24"/>
  <c r="E12" i="24"/>
  <c r="J11" i="24"/>
  <c r="I11" i="24"/>
  <c r="H11" i="24"/>
  <c r="G11" i="24"/>
  <c r="F11" i="24"/>
  <c r="E11" i="24"/>
  <c r="J10" i="24"/>
  <c r="I10" i="24"/>
  <c r="H10" i="24"/>
  <c r="G10" i="24"/>
  <c r="F10" i="24"/>
  <c r="E10" i="24"/>
  <c r="J9" i="24"/>
  <c r="I9" i="24"/>
  <c r="H9" i="24"/>
  <c r="G9" i="24"/>
  <c r="F9" i="24"/>
  <c r="E9" i="24"/>
  <c r="J8" i="24"/>
  <c r="I8" i="24"/>
  <c r="H8" i="24"/>
  <c r="G8" i="24"/>
  <c r="F8" i="24"/>
  <c r="E8" i="24"/>
  <c r="H7" i="24"/>
  <c r="G7" i="24"/>
  <c r="F7" i="24"/>
  <c r="J7" i="24" s="1"/>
  <c r="E7" i="24"/>
  <c r="J6" i="24"/>
  <c r="G6" i="24"/>
  <c r="F6" i="24"/>
  <c r="E6" i="24"/>
  <c r="H6" i="24" s="1"/>
  <c r="H5" i="24"/>
  <c r="G5" i="24"/>
  <c r="F5" i="24"/>
  <c r="J5" i="24" s="1"/>
  <c r="E5" i="24"/>
  <c r="K40" i="23"/>
  <c r="J40" i="23"/>
  <c r="I40" i="23"/>
  <c r="H40" i="23"/>
  <c r="G40" i="23"/>
  <c r="E40" i="23"/>
  <c r="F40" i="23" s="1"/>
  <c r="K39" i="23"/>
  <c r="J39" i="23"/>
  <c r="I39" i="23"/>
  <c r="H39" i="23"/>
  <c r="G39" i="23"/>
  <c r="F39" i="23"/>
  <c r="E39" i="23"/>
  <c r="K38" i="23"/>
  <c r="J38" i="23"/>
  <c r="I38" i="23"/>
  <c r="H38" i="23"/>
  <c r="G38" i="23"/>
  <c r="E38" i="23"/>
  <c r="F38" i="23" s="1"/>
  <c r="K37" i="23"/>
  <c r="J37" i="23"/>
  <c r="I37" i="23"/>
  <c r="H37" i="23"/>
  <c r="G37" i="23"/>
  <c r="F37" i="23"/>
  <c r="E37" i="23"/>
  <c r="K36" i="23"/>
  <c r="J36" i="23"/>
  <c r="I36" i="23"/>
  <c r="H36" i="23"/>
  <c r="G36" i="23"/>
  <c r="E36" i="23"/>
  <c r="F36" i="23" s="1"/>
  <c r="K35" i="23"/>
  <c r="J35" i="23"/>
  <c r="I35" i="23"/>
  <c r="H35" i="23"/>
  <c r="G35" i="23"/>
  <c r="F35" i="23"/>
  <c r="E35" i="23"/>
  <c r="K34" i="23"/>
  <c r="J34" i="23"/>
  <c r="I34" i="23"/>
  <c r="H34" i="23"/>
  <c r="G34" i="23"/>
  <c r="E34" i="23"/>
  <c r="F34" i="23" s="1"/>
  <c r="K33" i="23"/>
  <c r="J33" i="23"/>
  <c r="I33" i="23"/>
  <c r="H33" i="23"/>
  <c r="G33" i="23"/>
  <c r="F33" i="23"/>
  <c r="E33" i="23"/>
  <c r="K32" i="23"/>
  <c r="J32" i="23"/>
  <c r="I32" i="23"/>
  <c r="H32" i="23"/>
  <c r="G32" i="23"/>
  <c r="E32" i="23"/>
  <c r="F32" i="23" s="1"/>
  <c r="K31" i="23"/>
  <c r="J31" i="23"/>
  <c r="I31" i="23"/>
  <c r="H31" i="23"/>
  <c r="G31" i="23"/>
  <c r="F31" i="23"/>
  <c r="E31" i="23"/>
  <c r="K30" i="23"/>
  <c r="J30" i="23"/>
  <c r="I30" i="23"/>
  <c r="H30" i="23"/>
  <c r="G30" i="23"/>
  <c r="E30" i="23"/>
  <c r="F30" i="23" s="1"/>
  <c r="K29" i="23"/>
  <c r="J29" i="23"/>
  <c r="I29" i="23"/>
  <c r="H29" i="23"/>
  <c r="G29" i="23"/>
  <c r="F29" i="23"/>
  <c r="E29" i="23"/>
  <c r="K28" i="23"/>
  <c r="J28" i="23"/>
  <c r="I28" i="23"/>
  <c r="H28" i="23"/>
  <c r="G28" i="23"/>
  <c r="E28" i="23"/>
  <c r="F28" i="23" s="1"/>
  <c r="K27" i="23"/>
  <c r="J27" i="23"/>
  <c r="I27" i="23"/>
  <c r="H27" i="23"/>
  <c r="G27" i="23"/>
  <c r="F27" i="23"/>
  <c r="E27" i="23"/>
  <c r="K26" i="23"/>
  <c r="J26" i="23"/>
  <c r="I26" i="23"/>
  <c r="H26" i="23"/>
  <c r="G26" i="23"/>
  <c r="E26" i="23"/>
  <c r="F26" i="23" s="1"/>
  <c r="K25" i="23"/>
  <c r="J25" i="23"/>
  <c r="I25" i="23"/>
  <c r="H25" i="23"/>
  <c r="G25" i="23"/>
  <c r="F25" i="23"/>
  <c r="E25" i="23"/>
  <c r="K24" i="23"/>
  <c r="J24" i="23"/>
  <c r="I24" i="23"/>
  <c r="H24" i="23"/>
  <c r="G24" i="23"/>
  <c r="E24" i="23"/>
  <c r="F24" i="23" s="1"/>
  <c r="K23" i="23"/>
  <c r="J23" i="23"/>
  <c r="I23" i="23"/>
  <c r="H23" i="23"/>
  <c r="G23" i="23"/>
  <c r="F23" i="23"/>
  <c r="E23" i="23"/>
  <c r="K22" i="23"/>
  <c r="J22" i="23"/>
  <c r="I22" i="23"/>
  <c r="H22" i="23"/>
  <c r="G22" i="23"/>
  <c r="E22" i="23"/>
  <c r="F22" i="23" s="1"/>
  <c r="K21" i="23"/>
  <c r="J21" i="23"/>
  <c r="I21" i="23"/>
  <c r="H21" i="23"/>
  <c r="G21" i="23"/>
  <c r="F21" i="23"/>
  <c r="E21" i="23"/>
  <c r="K20" i="23"/>
  <c r="J20" i="23"/>
  <c r="I20" i="23"/>
  <c r="H20" i="23"/>
  <c r="G20" i="23"/>
  <c r="E20" i="23"/>
  <c r="F20" i="23" s="1"/>
  <c r="K19" i="23"/>
  <c r="J19" i="23"/>
  <c r="I19" i="23"/>
  <c r="H19" i="23"/>
  <c r="G19" i="23"/>
  <c r="F19" i="23"/>
  <c r="E19" i="23"/>
  <c r="K18" i="23"/>
  <c r="J18" i="23"/>
  <c r="I18" i="23"/>
  <c r="H18" i="23"/>
  <c r="G18" i="23"/>
  <c r="E18" i="23"/>
  <c r="F18" i="23" s="1"/>
  <c r="K17" i="23"/>
  <c r="J17" i="23"/>
  <c r="I17" i="23"/>
  <c r="H17" i="23"/>
  <c r="G17" i="23"/>
  <c r="F17" i="23"/>
  <c r="E17" i="23"/>
  <c r="K16" i="23"/>
  <c r="J16" i="23"/>
  <c r="I16" i="23"/>
  <c r="H16" i="23"/>
  <c r="G16" i="23"/>
  <c r="E16" i="23"/>
  <c r="F16" i="23" s="1"/>
  <c r="K15" i="23"/>
  <c r="J15" i="23"/>
  <c r="I15" i="23"/>
  <c r="H15" i="23"/>
  <c r="G15" i="23"/>
  <c r="F15" i="23"/>
  <c r="E15" i="23"/>
  <c r="K14" i="23"/>
  <c r="J14" i="23"/>
  <c r="I14" i="23"/>
  <c r="H14" i="23"/>
  <c r="G14" i="23"/>
  <c r="E14" i="23"/>
  <c r="F14" i="23" s="1"/>
  <c r="K13" i="23"/>
  <c r="J13" i="23"/>
  <c r="I13" i="23"/>
  <c r="H13" i="23"/>
  <c r="G13" i="23"/>
  <c r="F13" i="23"/>
  <c r="E13" i="23"/>
  <c r="K12" i="23"/>
  <c r="J12" i="23"/>
  <c r="I12" i="23"/>
  <c r="H12" i="23"/>
  <c r="G12" i="23"/>
  <c r="E12" i="23"/>
  <c r="F12" i="23" s="1"/>
  <c r="K11" i="23"/>
  <c r="J11" i="23"/>
  <c r="I11" i="23"/>
  <c r="H11" i="23"/>
  <c r="G11" i="23"/>
  <c r="F11" i="23"/>
  <c r="E11" i="23"/>
  <c r="K10" i="23"/>
  <c r="J10" i="23"/>
  <c r="I10" i="23"/>
  <c r="H10" i="23"/>
  <c r="G10" i="23"/>
  <c r="E10" i="23"/>
  <c r="F10" i="23" s="1"/>
  <c r="K9" i="23"/>
  <c r="J9" i="23"/>
  <c r="I9" i="23"/>
  <c r="H9" i="23"/>
  <c r="G9" i="23"/>
  <c r="F9" i="23"/>
  <c r="E9" i="23"/>
  <c r="K8" i="23"/>
  <c r="J8" i="23"/>
  <c r="I8" i="23"/>
  <c r="H8" i="23"/>
  <c r="G8" i="23"/>
  <c r="E8" i="23"/>
  <c r="F8" i="23" s="1"/>
  <c r="J7" i="23"/>
  <c r="I7" i="23"/>
  <c r="F7" i="23"/>
  <c r="K7" i="23" s="1"/>
  <c r="E7" i="23"/>
  <c r="J6" i="23"/>
  <c r="I6" i="23"/>
  <c r="E6" i="23"/>
  <c r="F6" i="23" s="1"/>
  <c r="K6" i="23" s="1"/>
  <c r="J5" i="23"/>
  <c r="I5" i="23"/>
  <c r="F5" i="23"/>
  <c r="E5" i="23"/>
  <c r="H40" i="22"/>
  <c r="G40" i="22"/>
  <c r="F40" i="22"/>
  <c r="E40" i="22"/>
  <c r="D40" i="22"/>
  <c r="H39" i="22"/>
  <c r="G39" i="22"/>
  <c r="F39" i="22"/>
  <c r="E39" i="22"/>
  <c r="D39" i="22"/>
  <c r="H38" i="22"/>
  <c r="G38" i="22"/>
  <c r="F38" i="22"/>
  <c r="E38" i="22"/>
  <c r="D38" i="22"/>
  <c r="H37" i="22"/>
  <c r="G37" i="22"/>
  <c r="F37" i="22"/>
  <c r="E37" i="22"/>
  <c r="D37" i="22"/>
  <c r="H36" i="22"/>
  <c r="G36" i="22"/>
  <c r="F36" i="22"/>
  <c r="E36" i="22"/>
  <c r="D36" i="22"/>
  <c r="H35" i="22"/>
  <c r="G35" i="22"/>
  <c r="F35" i="22"/>
  <c r="E35" i="22"/>
  <c r="D35" i="22"/>
  <c r="H34" i="22"/>
  <c r="G34" i="22"/>
  <c r="F34" i="22"/>
  <c r="E34" i="22"/>
  <c r="D34" i="22"/>
  <c r="H33" i="22"/>
  <c r="G33" i="22"/>
  <c r="F33" i="22"/>
  <c r="E33" i="22"/>
  <c r="D33" i="22"/>
  <c r="H32" i="22"/>
  <c r="G32" i="22"/>
  <c r="F32" i="22"/>
  <c r="E32" i="22"/>
  <c r="D32" i="22"/>
  <c r="H31" i="22"/>
  <c r="G31" i="22"/>
  <c r="F31" i="22"/>
  <c r="E31" i="22"/>
  <c r="D31" i="22"/>
  <c r="H30" i="22"/>
  <c r="G30" i="22"/>
  <c r="F30" i="22"/>
  <c r="E30" i="22"/>
  <c r="D30" i="22"/>
  <c r="H29" i="22"/>
  <c r="G29" i="22"/>
  <c r="F29" i="22"/>
  <c r="E29" i="22"/>
  <c r="D29" i="22"/>
  <c r="H28" i="22"/>
  <c r="G28" i="22"/>
  <c r="F28" i="22"/>
  <c r="E28" i="22"/>
  <c r="D28" i="22"/>
  <c r="H27" i="22"/>
  <c r="G27" i="22"/>
  <c r="F27" i="22"/>
  <c r="E27" i="22"/>
  <c r="D27" i="22"/>
  <c r="H26" i="22"/>
  <c r="G26" i="22"/>
  <c r="F26" i="22"/>
  <c r="E26" i="22"/>
  <c r="D26" i="22"/>
  <c r="H25" i="22"/>
  <c r="G25" i="22"/>
  <c r="F25" i="22"/>
  <c r="E25" i="22"/>
  <c r="D25" i="22"/>
  <c r="H24" i="22"/>
  <c r="G24" i="22"/>
  <c r="F24" i="22"/>
  <c r="E24" i="22"/>
  <c r="D24" i="22"/>
  <c r="H23" i="22"/>
  <c r="G23" i="22"/>
  <c r="F23" i="22"/>
  <c r="E23" i="22"/>
  <c r="D23" i="22"/>
  <c r="H22" i="22"/>
  <c r="G22" i="22"/>
  <c r="F22" i="22"/>
  <c r="E22" i="22"/>
  <c r="D22" i="22"/>
  <c r="H21" i="22"/>
  <c r="G21" i="22"/>
  <c r="F21" i="22"/>
  <c r="E21" i="22"/>
  <c r="D21" i="22"/>
  <c r="H20" i="22"/>
  <c r="G20" i="22"/>
  <c r="J23" i="22" s="1"/>
  <c r="F20" i="22"/>
  <c r="E20" i="22"/>
  <c r="D20" i="22"/>
  <c r="H19" i="22"/>
  <c r="G19" i="22"/>
  <c r="F19" i="22"/>
  <c r="E19" i="22"/>
  <c r="D19" i="22"/>
  <c r="H18" i="22"/>
  <c r="G18" i="22"/>
  <c r="F18" i="22"/>
  <c r="E18" i="22"/>
  <c r="D18" i="22"/>
  <c r="H17" i="22"/>
  <c r="G17" i="22"/>
  <c r="F17" i="22"/>
  <c r="E17" i="22"/>
  <c r="D17" i="22"/>
  <c r="H16" i="22"/>
  <c r="G16" i="22"/>
  <c r="F16" i="22"/>
  <c r="E16" i="22"/>
  <c r="D16" i="22"/>
  <c r="H15" i="22"/>
  <c r="G15" i="22"/>
  <c r="F15" i="22"/>
  <c r="E15" i="22"/>
  <c r="D15" i="22"/>
  <c r="J14" i="22"/>
  <c r="H14" i="22"/>
  <c r="G14" i="22"/>
  <c r="F14" i="22"/>
  <c r="I27" i="22" s="1"/>
  <c r="E14" i="22"/>
  <c r="D14" i="22"/>
  <c r="H13" i="22"/>
  <c r="G13" i="22"/>
  <c r="F13" i="22"/>
  <c r="E13" i="22"/>
  <c r="D13" i="22"/>
  <c r="H12" i="22"/>
  <c r="G12" i="22"/>
  <c r="F12" i="22"/>
  <c r="E12" i="22"/>
  <c r="D12" i="22"/>
  <c r="H11" i="22"/>
  <c r="G11" i="22"/>
  <c r="F11" i="22"/>
  <c r="E11" i="22"/>
  <c r="D11" i="22"/>
  <c r="J10" i="22"/>
  <c r="H10" i="22"/>
  <c r="G10" i="22"/>
  <c r="F10" i="22"/>
  <c r="I9" i="22"/>
  <c r="H9" i="22"/>
  <c r="G9" i="22"/>
  <c r="F9" i="22"/>
  <c r="I8" i="22"/>
  <c r="H8" i="22"/>
  <c r="G8" i="22"/>
  <c r="F8" i="22"/>
  <c r="I7" i="22"/>
  <c r="H7" i="22"/>
  <c r="G7" i="22"/>
  <c r="F7" i="22"/>
  <c r="J6" i="22"/>
  <c r="H6" i="22"/>
  <c r="G6" i="22"/>
  <c r="F6" i="22"/>
  <c r="D6" i="22"/>
  <c r="E6" i="22" s="1"/>
  <c r="D7" i="22" s="1"/>
  <c r="E7" i="22" s="1"/>
  <c r="D8" i="22" s="1"/>
  <c r="E8" i="22" s="1"/>
  <c r="D9" i="22" s="1"/>
  <c r="E9" i="22" s="1"/>
  <c r="D10" i="22" s="1"/>
  <c r="E10" i="22" s="1"/>
  <c r="I5" i="22"/>
  <c r="H5" i="22"/>
  <c r="G5" i="22"/>
  <c r="F5" i="22"/>
  <c r="E5" i="22"/>
  <c r="M40" i="21"/>
  <c r="L40" i="21"/>
  <c r="K40" i="21"/>
  <c r="J40" i="21"/>
  <c r="I40" i="21"/>
  <c r="M39" i="21"/>
  <c r="L39" i="21"/>
  <c r="K39" i="21"/>
  <c r="J39" i="21"/>
  <c r="I39" i="21"/>
  <c r="M38" i="21"/>
  <c r="L38" i="21"/>
  <c r="K38" i="21"/>
  <c r="J38" i="21"/>
  <c r="I38" i="21"/>
  <c r="M37" i="21"/>
  <c r="L37" i="21"/>
  <c r="K37" i="21"/>
  <c r="J37" i="21"/>
  <c r="I37" i="21"/>
  <c r="M36" i="21"/>
  <c r="L36" i="21"/>
  <c r="K36" i="21"/>
  <c r="J36" i="21"/>
  <c r="I36" i="21"/>
  <c r="M35" i="21"/>
  <c r="L35" i="21"/>
  <c r="K35" i="21"/>
  <c r="J35" i="21"/>
  <c r="I35" i="21"/>
  <c r="M34" i="21"/>
  <c r="L34" i="21"/>
  <c r="K34" i="21"/>
  <c r="J34" i="21"/>
  <c r="I34" i="21"/>
  <c r="M33" i="21"/>
  <c r="L33" i="21"/>
  <c r="K33" i="21"/>
  <c r="J33" i="21"/>
  <c r="I33" i="21"/>
  <c r="M32" i="21"/>
  <c r="L32" i="21"/>
  <c r="K32" i="21"/>
  <c r="J32" i="21"/>
  <c r="I32" i="21"/>
  <c r="M31" i="21"/>
  <c r="L31" i="21"/>
  <c r="K31" i="21"/>
  <c r="J31" i="21"/>
  <c r="I31" i="21"/>
  <c r="M30" i="21"/>
  <c r="L30" i="21"/>
  <c r="K30" i="21"/>
  <c r="J30" i="21"/>
  <c r="I30" i="21"/>
  <c r="M29" i="21"/>
  <c r="L29" i="21"/>
  <c r="K29" i="21"/>
  <c r="J29" i="21"/>
  <c r="I29" i="21"/>
  <c r="M28" i="21"/>
  <c r="L28" i="21"/>
  <c r="K28" i="21"/>
  <c r="J28" i="21"/>
  <c r="I28" i="21"/>
  <c r="M27" i="21"/>
  <c r="L27" i="21"/>
  <c r="K27" i="21"/>
  <c r="J27" i="21"/>
  <c r="I27" i="21"/>
  <c r="M26" i="21"/>
  <c r="L26" i="21"/>
  <c r="K26" i="21"/>
  <c r="J26" i="21"/>
  <c r="I26" i="21"/>
  <c r="M25" i="21"/>
  <c r="L25" i="21"/>
  <c r="K25" i="21"/>
  <c r="J25" i="21"/>
  <c r="I25" i="21"/>
  <c r="M24" i="21"/>
  <c r="L24" i="21"/>
  <c r="K24" i="21"/>
  <c r="J24" i="21"/>
  <c r="I24" i="21"/>
  <c r="M23" i="21"/>
  <c r="L23" i="21"/>
  <c r="K23" i="21"/>
  <c r="J23" i="21"/>
  <c r="I23" i="21"/>
  <c r="M22" i="21"/>
  <c r="L22" i="21"/>
  <c r="K22" i="21"/>
  <c r="J22" i="21"/>
  <c r="I22" i="21"/>
  <c r="M21" i="21"/>
  <c r="L21" i="21"/>
  <c r="K21" i="21"/>
  <c r="J21" i="21"/>
  <c r="I21" i="21"/>
  <c r="M20" i="21"/>
  <c r="L20" i="21"/>
  <c r="K20" i="21"/>
  <c r="J20" i="21"/>
  <c r="I20" i="21"/>
  <c r="M19" i="21"/>
  <c r="L19" i="21"/>
  <c r="K19" i="21"/>
  <c r="J19" i="21"/>
  <c r="I19" i="21"/>
  <c r="M18" i="21"/>
  <c r="L18" i="21"/>
  <c r="K18" i="21"/>
  <c r="J18" i="21"/>
  <c r="I18" i="21"/>
  <c r="M17" i="21"/>
  <c r="L17" i="21"/>
  <c r="K17" i="21"/>
  <c r="J17" i="21"/>
  <c r="I17" i="21"/>
  <c r="M16" i="21"/>
  <c r="L16" i="21"/>
  <c r="K16" i="21"/>
  <c r="J16" i="21"/>
  <c r="I16" i="21"/>
  <c r="M15" i="21"/>
  <c r="L15" i="21"/>
  <c r="K15" i="21"/>
  <c r="J15" i="21"/>
  <c r="I15" i="21"/>
  <c r="M14" i="21"/>
  <c r="L14" i="21"/>
  <c r="K14" i="21"/>
  <c r="J14" i="21"/>
  <c r="I14" i="21"/>
  <c r="M13" i="21"/>
  <c r="L13" i="21"/>
  <c r="K13" i="21"/>
  <c r="J13" i="21"/>
  <c r="I13" i="21"/>
  <c r="M12" i="21"/>
  <c r="L12" i="21"/>
  <c r="K12" i="21"/>
  <c r="J12" i="21"/>
  <c r="I12" i="21"/>
  <c r="M11" i="21"/>
  <c r="L11" i="21"/>
  <c r="K11" i="21"/>
  <c r="J11" i="21"/>
  <c r="I11" i="21"/>
  <c r="M10" i="21"/>
  <c r="L10" i="21"/>
  <c r="K10" i="21"/>
  <c r="J10" i="21"/>
  <c r="I10" i="21"/>
  <c r="M9" i="21"/>
  <c r="L9" i="21"/>
  <c r="K9" i="21"/>
  <c r="J9" i="21"/>
  <c r="I9" i="21"/>
  <c r="M8" i="21"/>
  <c r="L8" i="21"/>
  <c r="K8" i="21"/>
  <c r="J8" i="21"/>
  <c r="I8" i="21"/>
  <c r="I7" i="21"/>
  <c r="L7" i="21" s="1"/>
  <c r="M7" i="21" s="1"/>
  <c r="I6" i="21"/>
  <c r="L5" i="21"/>
  <c r="M5" i="21" s="1"/>
  <c r="K5" i="21"/>
  <c r="I5" i="21"/>
  <c r="M20" i="19"/>
  <c r="L20" i="19"/>
  <c r="K20" i="19"/>
  <c r="J20" i="19"/>
  <c r="I20" i="19"/>
  <c r="M19" i="19"/>
  <c r="L19" i="19"/>
  <c r="K19" i="19"/>
  <c r="J19" i="19"/>
  <c r="I19" i="19"/>
  <c r="M18" i="19"/>
  <c r="L18" i="19"/>
  <c r="K18" i="19"/>
  <c r="J18" i="19"/>
  <c r="I18" i="19"/>
  <c r="M17" i="19"/>
  <c r="L17" i="19"/>
  <c r="K17" i="19"/>
  <c r="J17" i="19"/>
  <c r="I17" i="19"/>
  <c r="M16" i="19"/>
  <c r="L16" i="19"/>
  <c r="K16" i="19"/>
  <c r="J16" i="19"/>
  <c r="I16" i="19"/>
  <c r="M15" i="19"/>
  <c r="L15" i="19"/>
  <c r="K15" i="19"/>
  <c r="J15" i="19"/>
  <c r="I15" i="19"/>
  <c r="M14" i="19"/>
  <c r="L14" i="19"/>
  <c r="K14" i="19"/>
  <c r="J14" i="19"/>
  <c r="I14" i="19"/>
  <c r="M13" i="19"/>
  <c r="L13" i="19"/>
  <c r="K13" i="19"/>
  <c r="J13" i="19"/>
  <c r="I13" i="19"/>
  <c r="M12" i="19"/>
  <c r="L12" i="19"/>
  <c r="K12" i="19"/>
  <c r="J12" i="19"/>
  <c r="I12" i="19"/>
  <c r="M11" i="19"/>
  <c r="L11" i="19"/>
  <c r="K11" i="19"/>
  <c r="J11" i="19"/>
  <c r="I11" i="19"/>
  <c r="M10" i="19"/>
  <c r="L10" i="19"/>
  <c r="K10" i="19"/>
  <c r="J10" i="19"/>
  <c r="I10" i="19"/>
  <c r="M9" i="19"/>
  <c r="L9" i="19"/>
  <c r="K9" i="19"/>
  <c r="J9" i="19"/>
  <c r="I9" i="19"/>
  <c r="M8" i="19"/>
  <c r="L8" i="19"/>
  <c r="K8" i="19"/>
  <c r="M7" i="19"/>
  <c r="L7" i="19"/>
  <c r="K7" i="19"/>
  <c r="I7" i="19"/>
  <c r="M6" i="19"/>
  <c r="L6" i="19"/>
  <c r="K6" i="19"/>
  <c r="I6" i="19"/>
  <c r="M5" i="19"/>
  <c r="L5" i="19"/>
  <c r="K5" i="19"/>
  <c r="K40" i="18"/>
  <c r="L40" i="18" s="1"/>
  <c r="J40" i="18"/>
  <c r="I40" i="18"/>
  <c r="H40" i="18"/>
  <c r="L39" i="18"/>
  <c r="K39" i="18"/>
  <c r="J39" i="18"/>
  <c r="I39" i="18"/>
  <c r="H39" i="18"/>
  <c r="K38" i="18"/>
  <c r="L38" i="18" s="1"/>
  <c r="J38" i="18"/>
  <c r="I38" i="18"/>
  <c r="H38" i="18"/>
  <c r="L37" i="18"/>
  <c r="K37" i="18"/>
  <c r="J37" i="18"/>
  <c r="I37" i="18"/>
  <c r="H37" i="18"/>
  <c r="K36" i="18"/>
  <c r="L36" i="18" s="1"/>
  <c r="J36" i="18"/>
  <c r="I36" i="18"/>
  <c r="H36" i="18"/>
  <c r="K35" i="18"/>
  <c r="L35" i="18" s="1"/>
  <c r="J35" i="18"/>
  <c r="I35" i="18"/>
  <c r="H35" i="18"/>
  <c r="K34" i="18"/>
  <c r="L34" i="18" s="1"/>
  <c r="J34" i="18"/>
  <c r="I34" i="18"/>
  <c r="H34" i="18"/>
  <c r="L33" i="18"/>
  <c r="K33" i="18"/>
  <c r="J33" i="18"/>
  <c r="I33" i="18"/>
  <c r="H33" i="18"/>
  <c r="K32" i="18"/>
  <c r="L32" i="18" s="1"/>
  <c r="J32" i="18"/>
  <c r="I32" i="18"/>
  <c r="H32" i="18"/>
  <c r="L31" i="18"/>
  <c r="K31" i="18"/>
  <c r="J31" i="18"/>
  <c r="I31" i="18"/>
  <c r="H31" i="18"/>
  <c r="K30" i="18"/>
  <c r="L30" i="18" s="1"/>
  <c r="J30" i="18"/>
  <c r="I30" i="18"/>
  <c r="H30" i="18"/>
  <c r="L29" i="18"/>
  <c r="K29" i="18"/>
  <c r="J29" i="18"/>
  <c r="I29" i="18"/>
  <c r="H29" i="18"/>
  <c r="K28" i="18"/>
  <c r="L28" i="18" s="1"/>
  <c r="J28" i="18"/>
  <c r="I28" i="18"/>
  <c r="H28" i="18"/>
  <c r="K27" i="18"/>
  <c r="L27" i="18" s="1"/>
  <c r="J27" i="18"/>
  <c r="I27" i="18"/>
  <c r="H27" i="18"/>
  <c r="K26" i="18"/>
  <c r="L26" i="18" s="1"/>
  <c r="J26" i="18"/>
  <c r="I26" i="18"/>
  <c r="H26" i="18"/>
  <c r="L25" i="18"/>
  <c r="K25" i="18"/>
  <c r="J25" i="18"/>
  <c r="I25" i="18"/>
  <c r="H25" i="18"/>
  <c r="K24" i="18"/>
  <c r="L24" i="18" s="1"/>
  <c r="J24" i="18"/>
  <c r="I24" i="18"/>
  <c r="H24" i="18"/>
  <c r="L23" i="18"/>
  <c r="K23" i="18"/>
  <c r="J23" i="18"/>
  <c r="I23" i="18"/>
  <c r="H23" i="18"/>
  <c r="K22" i="18"/>
  <c r="L22" i="18" s="1"/>
  <c r="J22" i="18"/>
  <c r="I22" i="18"/>
  <c r="H22" i="18"/>
  <c r="L21" i="18"/>
  <c r="K21" i="18"/>
  <c r="J21" i="18"/>
  <c r="I21" i="18"/>
  <c r="H21" i="18"/>
  <c r="K20" i="18"/>
  <c r="L20" i="18" s="1"/>
  <c r="J20" i="18"/>
  <c r="I20" i="18"/>
  <c r="H20" i="18"/>
  <c r="K19" i="18"/>
  <c r="L19" i="18" s="1"/>
  <c r="J19" i="18"/>
  <c r="I19" i="18"/>
  <c r="H19" i="18"/>
  <c r="K18" i="18"/>
  <c r="L18" i="18" s="1"/>
  <c r="J18" i="18"/>
  <c r="I18" i="18"/>
  <c r="H18" i="18"/>
  <c r="L17" i="18"/>
  <c r="K17" i="18"/>
  <c r="J17" i="18"/>
  <c r="I17" i="18"/>
  <c r="H17" i="18"/>
  <c r="K16" i="18"/>
  <c r="L16" i="18" s="1"/>
  <c r="J16" i="18"/>
  <c r="I16" i="18"/>
  <c r="H16" i="18"/>
  <c r="L15" i="18"/>
  <c r="K15" i="18"/>
  <c r="J15" i="18"/>
  <c r="I15" i="18"/>
  <c r="H15" i="18"/>
  <c r="L14" i="18"/>
  <c r="K14" i="18"/>
  <c r="J14" i="18"/>
  <c r="I14" i="18"/>
  <c r="H14" i="18"/>
  <c r="L13" i="18"/>
  <c r="K13" i="18"/>
  <c r="J13" i="18"/>
  <c r="I13" i="18"/>
  <c r="H13" i="18"/>
  <c r="K12" i="18"/>
  <c r="L12" i="18" s="1"/>
  <c r="J12" i="18"/>
  <c r="I12" i="18"/>
  <c r="H12" i="18"/>
  <c r="K11" i="18"/>
  <c r="L11" i="18" s="1"/>
  <c r="J11" i="18"/>
  <c r="I11" i="18"/>
  <c r="H11" i="18"/>
  <c r="K10" i="18"/>
  <c r="L10" i="18" s="1"/>
  <c r="J10" i="18"/>
  <c r="I10" i="18"/>
  <c r="H10" i="18"/>
  <c r="L9" i="18"/>
  <c r="K9" i="18"/>
  <c r="J9" i="18"/>
  <c r="I9" i="18"/>
  <c r="H9" i="18"/>
  <c r="J8" i="18"/>
  <c r="I8" i="18"/>
  <c r="K8" i="18" s="1"/>
  <c r="L8" i="18" s="1"/>
  <c r="H8" i="18"/>
  <c r="L7" i="18"/>
  <c r="J7" i="18"/>
  <c r="K7" i="18" s="1"/>
  <c r="I7" i="18"/>
  <c r="H7" i="18"/>
  <c r="J6" i="18"/>
  <c r="I6" i="18"/>
  <c r="K6" i="18" s="1"/>
  <c r="H6" i="18"/>
  <c r="J5" i="18"/>
  <c r="I5" i="18"/>
  <c r="K5" i="18" s="1"/>
  <c r="L5" i="18" s="1"/>
  <c r="H5" i="18"/>
  <c r="H8" i="35" s="1"/>
  <c r="J8" i="35" s="1"/>
  <c r="L40" i="17"/>
  <c r="M40" i="17" s="1"/>
  <c r="K40" i="17"/>
  <c r="J40" i="17"/>
  <c r="M39" i="17"/>
  <c r="L39" i="17"/>
  <c r="K39" i="17"/>
  <c r="J39" i="17"/>
  <c r="L38" i="17"/>
  <c r="M38" i="17" s="1"/>
  <c r="K38" i="17"/>
  <c r="J38" i="17"/>
  <c r="M37" i="17"/>
  <c r="L37" i="17"/>
  <c r="K37" i="17"/>
  <c r="J37" i="17"/>
  <c r="L36" i="17"/>
  <c r="M36" i="17" s="1"/>
  <c r="K36" i="17"/>
  <c r="J36" i="17"/>
  <c r="M35" i="17"/>
  <c r="L35" i="17"/>
  <c r="K35" i="17"/>
  <c r="J35" i="17"/>
  <c r="L34" i="17"/>
  <c r="M34" i="17" s="1"/>
  <c r="K34" i="17"/>
  <c r="J34" i="17"/>
  <c r="M33" i="17"/>
  <c r="L33" i="17"/>
  <c r="K33" i="17"/>
  <c r="J33" i="17"/>
  <c r="L32" i="17"/>
  <c r="M32" i="17" s="1"/>
  <c r="K32" i="17"/>
  <c r="J32" i="17"/>
  <c r="M31" i="17"/>
  <c r="L31" i="17"/>
  <c r="K31" i="17"/>
  <c r="J31" i="17"/>
  <c r="L30" i="17"/>
  <c r="M30" i="17" s="1"/>
  <c r="K30" i="17"/>
  <c r="J30" i="17"/>
  <c r="M29" i="17"/>
  <c r="L29" i="17"/>
  <c r="K29" i="17"/>
  <c r="J29" i="17"/>
  <c r="L28" i="17"/>
  <c r="M28" i="17" s="1"/>
  <c r="K28" i="17"/>
  <c r="J28" i="17"/>
  <c r="M27" i="17"/>
  <c r="L27" i="17"/>
  <c r="K27" i="17"/>
  <c r="J27" i="17"/>
  <c r="L26" i="17"/>
  <c r="M26" i="17" s="1"/>
  <c r="K26" i="17"/>
  <c r="J26" i="17"/>
  <c r="M25" i="17"/>
  <c r="L25" i="17"/>
  <c r="K25" i="17"/>
  <c r="J25" i="17"/>
  <c r="L24" i="17"/>
  <c r="M24" i="17" s="1"/>
  <c r="K24" i="17"/>
  <c r="J24" i="17"/>
  <c r="M23" i="17"/>
  <c r="L23" i="17"/>
  <c r="K23" i="17"/>
  <c r="J23" i="17"/>
  <c r="L22" i="17"/>
  <c r="M22" i="17" s="1"/>
  <c r="K22" i="17"/>
  <c r="J22" i="17"/>
  <c r="M21" i="17"/>
  <c r="L21" i="17"/>
  <c r="K21" i="17"/>
  <c r="J21" i="17"/>
  <c r="L20" i="17"/>
  <c r="M20" i="17" s="1"/>
  <c r="K20" i="17"/>
  <c r="J20" i="17"/>
  <c r="M19" i="17"/>
  <c r="L19" i="17"/>
  <c r="K19" i="17"/>
  <c r="J19" i="17"/>
  <c r="L18" i="17"/>
  <c r="M18" i="17" s="1"/>
  <c r="K18" i="17"/>
  <c r="J18" i="17"/>
  <c r="M17" i="17"/>
  <c r="L17" i="17"/>
  <c r="K17" i="17"/>
  <c r="J17" i="17"/>
  <c r="L16" i="17"/>
  <c r="M16" i="17" s="1"/>
  <c r="K16" i="17"/>
  <c r="J16" i="17"/>
  <c r="M15" i="17"/>
  <c r="L15" i="17"/>
  <c r="K15" i="17"/>
  <c r="J15" i="17"/>
  <c r="L14" i="17"/>
  <c r="M14" i="17" s="1"/>
  <c r="K14" i="17"/>
  <c r="J14" i="17"/>
  <c r="M13" i="17"/>
  <c r="L13" i="17"/>
  <c r="K13" i="17"/>
  <c r="J13" i="17"/>
  <c r="L12" i="17"/>
  <c r="M12" i="17" s="1"/>
  <c r="K12" i="17"/>
  <c r="J12" i="17"/>
  <c r="M11" i="17"/>
  <c r="L11" i="17"/>
  <c r="K11" i="17"/>
  <c r="J11" i="17"/>
  <c r="L10" i="17"/>
  <c r="M10" i="17" s="1"/>
  <c r="K10" i="17"/>
  <c r="J10" i="17"/>
  <c r="M9" i="17"/>
  <c r="L9" i="17"/>
  <c r="K9" i="17"/>
  <c r="J9" i="17"/>
  <c r="L8" i="17"/>
  <c r="M8" i="17" s="1"/>
  <c r="K8" i="17"/>
  <c r="J8" i="17"/>
  <c r="K7" i="17"/>
  <c r="L7" i="17" s="1"/>
  <c r="M7" i="17" s="1"/>
  <c r="J7" i="17"/>
  <c r="J6" i="17"/>
  <c r="K6" i="17" s="1"/>
  <c r="L6" i="17" s="1"/>
  <c r="M6" i="17" s="1"/>
  <c r="J5" i="17"/>
  <c r="K5" i="17" s="1"/>
  <c r="L5" i="17" s="1"/>
  <c r="M40" i="16"/>
  <c r="M39" i="16"/>
  <c r="M38" i="16"/>
  <c r="M37" i="16"/>
  <c r="M36" i="16"/>
  <c r="M3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8" i="16"/>
  <c r="M7" i="16"/>
  <c r="M6" i="16"/>
  <c r="M5" i="16"/>
  <c r="M40" i="15"/>
  <c r="L40" i="15"/>
  <c r="I40" i="15"/>
  <c r="H40" i="15"/>
  <c r="M39" i="15"/>
  <c r="L39" i="15"/>
  <c r="I39" i="15"/>
  <c r="H39" i="15"/>
  <c r="M38" i="15"/>
  <c r="L38" i="15"/>
  <c r="I38" i="15"/>
  <c r="H38" i="15"/>
  <c r="M37" i="15"/>
  <c r="L37" i="15"/>
  <c r="I37" i="15"/>
  <c r="H37" i="15"/>
  <c r="M36" i="15"/>
  <c r="L36" i="15"/>
  <c r="I36" i="15"/>
  <c r="H36" i="15"/>
  <c r="M35" i="15"/>
  <c r="L35" i="15"/>
  <c r="I35" i="15"/>
  <c r="H35" i="15"/>
  <c r="M34" i="15"/>
  <c r="L34" i="15"/>
  <c r="I34" i="15"/>
  <c r="H34" i="15"/>
  <c r="M33" i="15"/>
  <c r="L33" i="15"/>
  <c r="I33" i="15"/>
  <c r="H33" i="15"/>
  <c r="M32" i="15"/>
  <c r="L32" i="15"/>
  <c r="I32" i="15"/>
  <c r="H32" i="15"/>
  <c r="M31" i="15"/>
  <c r="L31" i="15"/>
  <c r="I31" i="15"/>
  <c r="H31" i="15"/>
  <c r="M30" i="15"/>
  <c r="L30" i="15"/>
  <c r="I30" i="15"/>
  <c r="H30" i="15"/>
  <c r="M29" i="15"/>
  <c r="L29" i="15"/>
  <c r="I29" i="15"/>
  <c r="H29" i="15"/>
  <c r="M28" i="15"/>
  <c r="L28" i="15"/>
  <c r="I28" i="15"/>
  <c r="H28" i="15"/>
  <c r="M27" i="15"/>
  <c r="L27" i="15"/>
  <c r="I27" i="15"/>
  <c r="H27" i="15"/>
  <c r="M26" i="15"/>
  <c r="L26" i="15"/>
  <c r="I26" i="15"/>
  <c r="H26" i="15"/>
  <c r="M25" i="15"/>
  <c r="L25" i="15"/>
  <c r="I25" i="15"/>
  <c r="H25" i="15"/>
  <c r="M24" i="15"/>
  <c r="L24" i="15"/>
  <c r="I24" i="15"/>
  <c r="H24" i="15"/>
  <c r="M23" i="15"/>
  <c r="L23" i="15"/>
  <c r="I23" i="15"/>
  <c r="H23" i="15"/>
  <c r="M22" i="15"/>
  <c r="L22" i="15"/>
  <c r="I22" i="15"/>
  <c r="H22" i="15"/>
  <c r="M21" i="15"/>
  <c r="L21" i="15"/>
  <c r="I21" i="15"/>
  <c r="H21" i="15"/>
  <c r="M20" i="15"/>
  <c r="L20" i="15"/>
  <c r="I20" i="15"/>
  <c r="H20" i="15"/>
  <c r="M19" i="15"/>
  <c r="L19" i="15"/>
  <c r="I19" i="15"/>
  <c r="H19" i="15"/>
  <c r="M18" i="15"/>
  <c r="L18" i="15"/>
  <c r="I18" i="15"/>
  <c r="H18" i="15"/>
  <c r="M17" i="15"/>
  <c r="L17" i="15"/>
  <c r="I17" i="15"/>
  <c r="H17" i="15"/>
  <c r="M16" i="15"/>
  <c r="L16" i="15"/>
  <c r="I16" i="15"/>
  <c r="H16" i="15"/>
  <c r="M15" i="15"/>
  <c r="L15" i="15"/>
  <c r="I15" i="15"/>
  <c r="H15" i="15"/>
  <c r="M14" i="15"/>
  <c r="L14" i="15"/>
  <c r="I14" i="15"/>
  <c r="H14" i="15"/>
  <c r="M13" i="15"/>
  <c r="L13" i="15"/>
  <c r="I13" i="15"/>
  <c r="H13" i="15"/>
  <c r="M12" i="15"/>
  <c r="L12" i="15"/>
  <c r="I12" i="15"/>
  <c r="H12" i="15"/>
  <c r="M11" i="15"/>
  <c r="L11" i="15"/>
  <c r="I11" i="15"/>
  <c r="H11" i="15"/>
  <c r="M10" i="15"/>
  <c r="L10" i="15"/>
  <c r="I10" i="15"/>
  <c r="H10" i="15"/>
  <c r="M9" i="15"/>
  <c r="L9" i="15"/>
  <c r="I9" i="15"/>
  <c r="H9" i="15"/>
  <c r="M8" i="15"/>
  <c r="L8" i="15"/>
  <c r="I8" i="15"/>
  <c r="H8" i="15"/>
  <c r="M7" i="15"/>
  <c r="L7" i="15"/>
  <c r="I7" i="15"/>
  <c r="H7" i="15"/>
  <c r="L6" i="15"/>
  <c r="M6" i="15" s="1"/>
  <c r="I6" i="15"/>
  <c r="H6" i="15"/>
  <c r="I5" i="15"/>
  <c r="L5" i="15" s="1"/>
  <c r="M5" i="15" s="1"/>
  <c r="H5" i="15"/>
  <c r="M40" i="14"/>
  <c r="L40" i="14"/>
  <c r="K40" i="14"/>
  <c r="J40" i="14"/>
  <c r="I40" i="14"/>
  <c r="H40" i="14"/>
  <c r="M39" i="14"/>
  <c r="L39" i="14"/>
  <c r="K39" i="14"/>
  <c r="J39" i="14"/>
  <c r="I39" i="14"/>
  <c r="H39" i="14"/>
  <c r="M38" i="14"/>
  <c r="L38" i="14"/>
  <c r="K38" i="14"/>
  <c r="J38" i="14"/>
  <c r="I38" i="14"/>
  <c r="H38" i="14"/>
  <c r="M37" i="14"/>
  <c r="L37" i="14"/>
  <c r="K37" i="14"/>
  <c r="J37" i="14"/>
  <c r="I37" i="14"/>
  <c r="H37" i="14"/>
  <c r="M36" i="14"/>
  <c r="L36" i="14"/>
  <c r="K36" i="14"/>
  <c r="J36" i="14"/>
  <c r="I36" i="14"/>
  <c r="H36" i="14"/>
  <c r="M35" i="14"/>
  <c r="L35" i="14"/>
  <c r="K35" i="14"/>
  <c r="J35" i="14"/>
  <c r="I35" i="14"/>
  <c r="H35" i="14"/>
  <c r="M34" i="14"/>
  <c r="L34" i="14"/>
  <c r="K34" i="14"/>
  <c r="J34" i="14"/>
  <c r="I34" i="14"/>
  <c r="H34" i="14"/>
  <c r="M33" i="14"/>
  <c r="L33" i="14"/>
  <c r="K33" i="14"/>
  <c r="J33" i="14"/>
  <c r="I33" i="14"/>
  <c r="H33" i="14"/>
  <c r="M32" i="14"/>
  <c r="L32" i="14"/>
  <c r="K32" i="14"/>
  <c r="J32" i="14"/>
  <c r="I32" i="14"/>
  <c r="H32" i="14"/>
  <c r="M31" i="14"/>
  <c r="L31" i="14"/>
  <c r="K31" i="14"/>
  <c r="J31" i="14"/>
  <c r="I31" i="14"/>
  <c r="H31" i="14"/>
  <c r="M30" i="14"/>
  <c r="L30" i="14"/>
  <c r="K30" i="14"/>
  <c r="J30" i="14"/>
  <c r="I30" i="14"/>
  <c r="H30" i="14"/>
  <c r="M29" i="14"/>
  <c r="L29" i="14"/>
  <c r="K29" i="14"/>
  <c r="J29" i="14"/>
  <c r="I29" i="14"/>
  <c r="H29" i="14"/>
  <c r="M28" i="14"/>
  <c r="L28" i="14"/>
  <c r="K28" i="14"/>
  <c r="J28" i="14"/>
  <c r="I28" i="14"/>
  <c r="H28" i="14"/>
  <c r="M27" i="14"/>
  <c r="L27" i="14"/>
  <c r="K27" i="14"/>
  <c r="J27" i="14"/>
  <c r="I27" i="14"/>
  <c r="H27" i="14"/>
  <c r="M26" i="14"/>
  <c r="L26" i="14"/>
  <c r="K26" i="14"/>
  <c r="J26" i="14"/>
  <c r="I26" i="14"/>
  <c r="H26" i="14"/>
  <c r="M25" i="14"/>
  <c r="L25" i="14"/>
  <c r="K25" i="14"/>
  <c r="J25" i="14"/>
  <c r="I25" i="14"/>
  <c r="H25" i="14"/>
  <c r="M24" i="14"/>
  <c r="L24" i="14"/>
  <c r="K24" i="14"/>
  <c r="J24" i="14"/>
  <c r="I24" i="14"/>
  <c r="H24" i="14"/>
  <c r="M23" i="14"/>
  <c r="L23" i="14"/>
  <c r="K23" i="14"/>
  <c r="J23" i="14"/>
  <c r="I23" i="14"/>
  <c r="H23" i="14"/>
  <c r="M22" i="14"/>
  <c r="L22" i="14"/>
  <c r="K22" i="14"/>
  <c r="J22" i="14"/>
  <c r="I22" i="14"/>
  <c r="H22" i="14"/>
  <c r="M21" i="14"/>
  <c r="L21" i="14"/>
  <c r="K21" i="14"/>
  <c r="J21" i="14"/>
  <c r="I21" i="14"/>
  <c r="H21" i="14"/>
  <c r="M20" i="14"/>
  <c r="L20" i="14"/>
  <c r="K20" i="14"/>
  <c r="J20" i="14"/>
  <c r="I20" i="14"/>
  <c r="H20" i="14"/>
  <c r="M19" i="14"/>
  <c r="L19" i="14"/>
  <c r="K19" i="14"/>
  <c r="J19" i="14"/>
  <c r="I19" i="14"/>
  <c r="H19" i="14"/>
  <c r="M18" i="14"/>
  <c r="L18" i="14"/>
  <c r="K18" i="14"/>
  <c r="J18" i="14"/>
  <c r="I18" i="14"/>
  <c r="H18" i="14"/>
  <c r="M17" i="14"/>
  <c r="L17" i="14"/>
  <c r="K17" i="14"/>
  <c r="J17" i="14"/>
  <c r="I17" i="14"/>
  <c r="H17" i="14"/>
  <c r="M16" i="14"/>
  <c r="L16" i="14"/>
  <c r="K16" i="14"/>
  <c r="J16" i="14"/>
  <c r="I16" i="14"/>
  <c r="H16" i="14"/>
  <c r="M15" i="14"/>
  <c r="L15" i="14"/>
  <c r="K15" i="14"/>
  <c r="J15" i="14"/>
  <c r="I15" i="14"/>
  <c r="H15" i="14"/>
  <c r="M14" i="14"/>
  <c r="L14" i="14"/>
  <c r="K14" i="14"/>
  <c r="J14" i="14"/>
  <c r="I14" i="14"/>
  <c r="H14" i="14"/>
  <c r="M13" i="14"/>
  <c r="L13" i="14"/>
  <c r="K13" i="14"/>
  <c r="J13" i="14"/>
  <c r="I13" i="14"/>
  <c r="H13" i="14"/>
  <c r="M12" i="14"/>
  <c r="L12" i="14"/>
  <c r="K12" i="14"/>
  <c r="J12" i="14"/>
  <c r="I12" i="14"/>
  <c r="H12" i="14"/>
  <c r="M11" i="14"/>
  <c r="L11" i="14"/>
  <c r="K11" i="14"/>
  <c r="J11" i="14"/>
  <c r="I11" i="14"/>
  <c r="H11" i="14"/>
  <c r="M10" i="14"/>
  <c r="L10" i="14"/>
  <c r="K10" i="14"/>
  <c r="J10" i="14"/>
  <c r="I10" i="14"/>
  <c r="H10" i="14"/>
  <c r="M9" i="14"/>
  <c r="L9" i="14"/>
  <c r="K9" i="14"/>
  <c r="J9" i="14"/>
  <c r="I9" i="14"/>
  <c r="H9" i="14"/>
  <c r="L8" i="14"/>
  <c r="H8" i="14"/>
  <c r="I8" i="14" s="1"/>
  <c r="J8" i="14" s="1"/>
  <c r="K8" i="14" s="1"/>
  <c r="M8" i="14" s="1"/>
  <c r="L7" i="14"/>
  <c r="H7" i="14"/>
  <c r="I7" i="14" s="1"/>
  <c r="J7" i="14" s="1"/>
  <c r="K7" i="14" s="1"/>
  <c r="M7" i="14" s="1"/>
  <c r="L6" i="14"/>
  <c r="H6" i="14"/>
  <c r="I6" i="14" s="1"/>
  <c r="J6" i="14" s="1"/>
  <c r="K6" i="14" s="1"/>
  <c r="M6" i="14" s="1"/>
  <c r="L5" i="14"/>
  <c r="H5" i="14"/>
  <c r="I5" i="14" s="1"/>
  <c r="J5" i="14" s="1"/>
  <c r="K5" i="14" s="1"/>
  <c r="M5" i="14" s="1"/>
  <c r="L20" i="13"/>
  <c r="M20" i="13" s="1"/>
  <c r="K20" i="13"/>
  <c r="J20" i="13"/>
  <c r="I20" i="13"/>
  <c r="L19" i="13"/>
  <c r="M19" i="13" s="1"/>
  <c r="K19" i="13"/>
  <c r="J19" i="13"/>
  <c r="I19" i="13"/>
  <c r="L18" i="13"/>
  <c r="M18" i="13" s="1"/>
  <c r="K18" i="13"/>
  <c r="J18" i="13"/>
  <c r="I18" i="13"/>
  <c r="M17" i="13"/>
  <c r="L17" i="13"/>
  <c r="K17" i="13"/>
  <c r="J17" i="13"/>
  <c r="I17" i="13"/>
  <c r="L16" i="13"/>
  <c r="M16" i="13" s="1"/>
  <c r="K16" i="13"/>
  <c r="J16" i="13"/>
  <c r="I16" i="13"/>
  <c r="M15" i="13"/>
  <c r="L15" i="13"/>
  <c r="K15" i="13"/>
  <c r="J15" i="13"/>
  <c r="I15" i="13"/>
  <c r="M14" i="13"/>
  <c r="L14" i="13"/>
  <c r="K14" i="13"/>
  <c r="J14" i="13"/>
  <c r="I14" i="13"/>
  <c r="M13" i="13"/>
  <c r="L13" i="13"/>
  <c r="K13" i="13"/>
  <c r="J13" i="13"/>
  <c r="I13" i="13"/>
  <c r="L12" i="13"/>
  <c r="M12" i="13" s="1"/>
  <c r="K12" i="13"/>
  <c r="J12" i="13"/>
  <c r="I12" i="13"/>
  <c r="L11" i="13"/>
  <c r="M11" i="13" s="1"/>
  <c r="K11" i="13"/>
  <c r="J11" i="13"/>
  <c r="I11" i="13"/>
  <c r="L10" i="13"/>
  <c r="M10" i="13" s="1"/>
  <c r="K10" i="13"/>
  <c r="J10" i="13"/>
  <c r="I10" i="13"/>
  <c r="M9" i="13"/>
  <c r="L9" i="13"/>
  <c r="K9" i="13"/>
  <c r="J9" i="13"/>
  <c r="I9" i="13"/>
  <c r="K8" i="13"/>
  <c r="J8" i="13"/>
  <c r="I8" i="13"/>
  <c r="K7" i="13"/>
  <c r="J7" i="13"/>
  <c r="I7" i="13"/>
  <c r="J6" i="13"/>
  <c r="I6" i="13"/>
  <c r="K6" i="13" s="1"/>
  <c r="L6" i="13" s="1"/>
  <c r="M6" i="13" s="1"/>
  <c r="J5" i="13"/>
  <c r="K5" i="13" s="1"/>
  <c r="I5" i="13"/>
  <c r="M20" i="12"/>
  <c r="L20" i="12"/>
  <c r="K20" i="12"/>
  <c r="J20" i="12"/>
  <c r="I20" i="12"/>
  <c r="M19" i="12"/>
  <c r="L19" i="12"/>
  <c r="K19" i="12"/>
  <c r="J19" i="12"/>
  <c r="I19" i="12"/>
  <c r="M18" i="12"/>
  <c r="L18" i="12"/>
  <c r="K18" i="12"/>
  <c r="J18" i="12"/>
  <c r="I18" i="12"/>
  <c r="M17" i="12"/>
  <c r="L17" i="12"/>
  <c r="K17" i="12"/>
  <c r="J17" i="12"/>
  <c r="I17" i="12"/>
  <c r="M16" i="12"/>
  <c r="L16" i="12"/>
  <c r="K16" i="12"/>
  <c r="J16" i="12"/>
  <c r="I16" i="12"/>
  <c r="M15" i="12"/>
  <c r="L15" i="12"/>
  <c r="K15" i="12"/>
  <c r="J15" i="12"/>
  <c r="I15" i="12"/>
  <c r="M14" i="12"/>
  <c r="L14" i="12"/>
  <c r="K14" i="12"/>
  <c r="J14" i="12"/>
  <c r="I14" i="12"/>
  <c r="M13" i="12"/>
  <c r="L13" i="12"/>
  <c r="K13" i="12"/>
  <c r="J13" i="12"/>
  <c r="I13" i="12"/>
  <c r="M12" i="12"/>
  <c r="L12" i="12"/>
  <c r="K12" i="12"/>
  <c r="J12" i="12"/>
  <c r="I12" i="12"/>
  <c r="M11" i="12"/>
  <c r="L11" i="12"/>
  <c r="K11" i="12"/>
  <c r="J11" i="12"/>
  <c r="I11" i="12"/>
  <c r="M10" i="12"/>
  <c r="L10" i="12"/>
  <c r="K10" i="12"/>
  <c r="J10" i="12"/>
  <c r="I10" i="12"/>
  <c r="M9" i="12"/>
  <c r="L9" i="12"/>
  <c r="K9" i="12"/>
  <c r="J9" i="12"/>
  <c r="I9" i="12"/>
  <c r="M8" i="12"/>
  <c r="L8" i="12"/>
  <c r="K8" i="12"/>
  <c r="J8" i="12"/>
  <c r="I8" i="12"/>
  <c r="J7" i="12"/>
  <c r="I7" i="12"/>
  <c r="L7" i="12" s="1"/>
  <c r="M7" i="12" s="1"/>
  <c r="L6" i="12"/>
  <c r="M6" i="12" s="1"/>
  <c r="D8" i="20" s="1"/>
  <c r="E8" i="20" s="1"/>
  <c r="J6" i="12"/>
  <c r="K6" i="12" s="1"/>
  <c r="I6" i="12"/>
  <c r="J5" i="12"/>
  <c r="K5" i="12" s="1"/>
  <c r="I5" i="12"/>
  <c r="L5" i="12" s="1"/>
  <c r="M5" i="12" s="1"/>
  <c r="M20" i="11"/>
  <c r="L20" i="11"/>
  <c r="H20" i="11"/>
  <c r="M19" i="11"/>
  <c r="L19" i="11"/>
  <c r="H19" i="11"/>
  <c r="M18" i="11"/>
  <c r="L18" i="11"/>
  <c r="H18" i="11"/>
  <c r="M17" i="11"/>
  <c r="L17" i="11"/>
  <c r="H17" i="11"/>
  <c r="M16" i="11"/>
  <c r="L16" i="11"/>
  <c r="H16" i="11"/>
  <c r="M15" i="11"/>
  <c r="L15" i="11"/>
  <c r="H15" i="11"/>
  <c r="M14" i="11"/>
  <c r="L14" i="11"/>
  <c r="H14" i="11"/>
  <c r="M13" i="11"/>
  <c r="L13" i="11"/>
  <c r="H13" i="11"/>
  <c r="M12" i="11"/>
  <c r="L12" i="11"/>
  <c r="H12" i="11"/>
  <c r="M11" i="11"/>
  <c r="L11" i="11"/>
  <c r="H11" i="11"/>
  <c r="M10" i="11"/>
  <c r="L10" i="11"/>
  <c r="H10" i="11"/>
  <c r="M9" i="11"/>
  <c r="L9" i="11"/>
  <c r="H9" i="11"/>
  <c r="M8" i="11"/>
  <c r="L8" i="11"/>
  <c r="H8" i="11"/>
  <c r="L7" i="11"/>
  <c r="M7" i="11" s="1"/>
  <c r="H7" i="11"/>
  <c r="L6" i="11"/>
  <c r="M6" i="11" s="1"/>
  <c r="D7" i="20" s="1"/>
  <c r="E7" i="20" s="1"/>
  <c r="H6" i="11"/>
  <c r="L5" i="11"/>
  <c r="M5" i="11" s="1"/>
  <c r="H5" i="11"/>
  <c r="M40" i="10"/>
  <c r="M39" i="10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D22" i="9"/>
  <c r="B22" i="9"/>
  <c r="B21" i="9"/>
  <c r="D21" i="9" s="1"/>
  <c r="D20" i="9"/>
  <c r="B20" i="9"/>
  <c r="D6" i="20" s="1"/>
  <c r="E6" i="20" s="1"/>
  <c r="J14" i="6"/>
  <c r="I22" i="34" s="1"/>
  <c r="I14" i="6"/>
  <c r="H22" i="34" s="1"/>
  <c r="F14" i="6"/>
  <c r="E22" i="34" s="1"/>
  <c r="D14" i="6"/>
  <c r="C22" i="34" s="1"/>
  <c r="B14" i="6"/>
  <c r="K14" i="6" s="1"/>
  <c r="J22" i="34" s="1"/>
  <c r="A14" i="6"/>
  <c r="H14" i="6" s="1"/>
  <c r="G22" i="34" s="1"/>
  <c r="I13" i="6"/>
  <c r="H21" i="34" s="1"/>
  <c r="A13" i="6"/>
  <c r="K12" i="6"/>
  <c r="J20" i="34" s="1"/>
  <c r="H12" i="6"/>
  <c r="G20" i="34" s="1"/>
  <c r="G12" i="6"/>
  <c r="F20" i="34" s="1"/>
  <c r="F12" i="6"/>
  <c r="E20" i="34" s="1"/>
  <c r="D12" i="6"/>
  <c r="C20" i="34" s="1"/>
  <c r="C12" i="6"/>
  <c r="B20" i="34" s="1"/>
  <c r="B12" i="6"/>
  <c r="M12" i="6" s="1"/>
  <c r="K20" i="34" s="1"/>
  <c r="A12" i="6"/>
  <c r="A20" i="34" s="1"/>
  <c r="H11" i="6"/>
  <c r="G19" i="34" s="1"/>
  <c r="G11" i="6"/>
  <c r="F19" i="34" s="1"/>
  <c r="D11" i="6"/>
  <c r="C19" i="34" s="1"/>
  <c r="A11" i="6"/>
  <c r="I11" i="6" s="1"/>
  <c r="H19" i="34" s="1"/>
  <c r="J10" i="6"/>
  <c r="I18" i="34" s="1"/>
  <c r="I10" i="6"/>
  <c r="H18" i="34" s="1"/>
  <c r="F10" i="6"/>
  <c r="E18" i="34" s="1"/>
  <c r="D10" i="6"/>
  <c r="C18" i="34" s="1"/>
  <c r="B10" i="6"/>
  <c r="K10" i="6" s="1"/>
  <c r="J18" i="34" s="1"/>
  <c r="A10" i="6"/>
  <c r="H10" i="6" s="1"/>
  <c r="G18" i="34" s="1"/>
  <c r="I9" i="6"/>
  <c r="H17" i="34" s="1"/>
  <c r="A9" i="6"/>
  <c r="B9" i="6" s="1"/>
  <c r="H8" i="6"/>
  <c r="G16" i="34" s="1"/>
  <c r="G8" i="6"/>
  <c r="F16" i="34" s="1"/>
  <c r="F8" i="6"/>
  <c r="E16" i="34" s="1"/>
  <c r="E8" i="6"/>
  <c r="D16" i="34" s="1"/>
  <c r="D8" i="6"/>
  <c r="C16" i="34" s="1"/>
  <c r="C8" i="6"/>
  <c r="B16" i="34" s="1"/>
  <c r="A8" i="6"/>
  <c r="A16" i="34" s="1"/>
  <c r="H7" i="6"/>
  <c r="G15" i="34" s="1"/>
  <c r="E7" i="6"/>
  <c r="D15" i="34" s="1"/>
  <c r="A7" i="6"/>
  <c r="G7" i="6" s="1"/>
  <c r="F15" i="34" s="1"/>
  <c r="H6" i="6"/>
  <c r="G14" i="34" s="1"/>
  <c r="A6" i="6"/>
  <c r="G5" i="6"/>
  <c r="F13" i="34" s="1"/>
  <c r="F5" i="6"/>
  <c r="E13" i="34" s="1"/>
  <c r="E5" i="6"/>
  <c r="D13" i="34" s="1"/>
  <c r="C5" i="6"/>
  <c r="B13" i="34" s="1"/>
  <c r="A5" i="6"/>
  <c r="M14" i="5"/>
  <c r="M15" i="33" s="1"/>
  <c r="J14" i="5"/>
  <c r="J15" i="33" s="1"/>
  <c r="I14" i="5"/>
  <c r="I15" i="33" s="1"/>
  <c r="G14" i="5"/>
  <c r="G15" i="33" s="1"/>
  <c r="F14" i="5"/>
  <c r="F15" i="33" s="1"/>
  <c r="E14" i="5"/>
  <c r="E15" i="33" s="1"/>
  <c r="D14" i="5"/>
  <c r="D15" i="33" s="1"/>
  <c r="C14" i="5"/>
  <c r="C15" i="33" s="1"/>
  <c r="B14" i="5"/>
  <c r="B15" i="33" s="1"/>
  <c r="A14" i="5"/>
  <c r="N14" i="5" s="1"/>
  <c r="N15" i="33" s="1"/>
  <c r="M13" i="5"/>
  <c r="M14" i="33" s="1"/>
  <c r="L13" i="5"/>
  <c r="L14" i="33" s="1"/>
  <c r="K13" i="5"/>
  <c r="K14" i="33" s="1"/>
  <c r="J13" i="5"/>
  <c r="J14" i="33" s="1"/>
  <c r="H13" i="5"/>
  <c r="H14" i="33" s="1"/>
  <c r="G13" i="5"/>
  <c r="G14" i="33" s="1"/>
  <c r="F13" i="5"/>
  <c r="F14" i="33" s="1"/>
  <c r="E13" i="5"/>
  <c r="E14" i="33" s="1"/>
  <c r="D13" i="5"/>
  <c r="D14" i="33" s="1"/>
  <c r="C13" i="5"/>
  <c r="C14" i="33" s="1"/>
  <c r="B13" i="5"/>
  <c r="B14" i="33" s="1"/>
  <c r="A13" i="5"/>
  <c r="N12" i="5"/>
  <c r="N13" i="33" s="1"/>
  <c r="H12" i="5"/>
  <c r="H13" i="33" s="1"/>
  <c r="G12" i="5"/>
  <c r="G13" i="33" s="1"/>
  <c r="F12" i="5"/>
  <c r="F13" i="33" s="1"/>
  <c r="E12" i="5"/>
  <c r="E13" i="33" s="1"/>
  <c r="D12" i="5"/>
  <c r="D13" i="33" s="1"/>
  <c r="C12" i="5"/>
  <c r="C13" i="33" s="1"/>
  <c r="B12" i="5"/>
  <c r="B13" i="33" s="1"/>
  <c r="A12" i="5"/>
  <c r="A13" i="33" s="1"/>
  <c r="N11" i="5"/>
  <c r="N12" i="33" s="1"/>
  <c r="L11" i="5"/>
  <c r="L12" i="33" s="1"/>
  <c r="G11" i="5"/>
  <c r="G12" i="33" s="1"/>
  <c r="F11" i="5"/>
  <c r="F12" i="33" s="1"/>
  <c r="E11" i="5"/>
  <c r="E12" i="33" s="1"/>
  <c r="D11" i="5"/>
  <c r="D12" i="33" s="1"/>
  <c r="C11" i="5"/>
  <c r="C12" i="33" s="1"/>
  <c r="B11" i="5"/>
  <c r="B12" i="33" s="1"/>
  <c r="A11" i="5"/>
  <c r="A12" i="33" s="1"/>
  <c r="N10" i="5"/>
  <c r="N11" i="33" s="1"/>
  <c r="M10" i="5"/>
  <c r="M11" i="33" s="1"/>
  <c r="L10" i="5"/>
  <c r="L11" i="33" s="1"/>
  <c r="K10" i="5"/>
  <c r="K11" i="33" s="1"/>
  <c r="J10" i="5"/>
  <c r="J11" i="33" s="1"/>
  <c r="H10" i="5"/>
  <c r="H11" i="33" s="1"/>
  <c r="G10" i="5"/>
  <c r="G11" i="33" s="1"/>
  <c r="F10" i="5"/>
  <c r="F11" i="33" s="1"/>
  <c r="E10" i="5"/>
  <c r="E11" i="33" s="1"/>
  <c r="D10" i="5"/>
  <c r="D11" i="33" s="1"/>
  <c r="C10" i="5"/>
  <c r="C11" i="33" s="1"/>
  <c r="B10" i="5"/>
  <c r="B11" i="33" s="1"/>
  <c r="A10" i="5"/>
  <c r="A11" i="33" s="1"/>
  <c r="L9" i="5"/>
  <c r="L10" i="33" s="1"/>
  <c r="K9" i="5"/>
  <c r="K10" i="33" s="1"/>
  <c r="J9" i="5"/>
  <c r="J10" i="33" s="1"/>
  <c r="H9" i="5"/>
  <c r="H10" i="33" s="1"/>
  <c r="G9" i="5"/>
  <c r="G10" i="33" s="1"/>
  <c r="F9" i="5"/>
  <c r="F10" i="33" s="1"/>
  <c r="E9" i="5"/>
  <c r="E10" i="33" s="1"/>
  <c r="D9" i="5"/>
  <c r="D10" i="33" s="1"/>
  <c r="C9" i="5"/>
  <c r="C10" i="33" s="1"/>
  <c r="B9" i="5"/>
  <c r="B10" i="33" s="1"/>
  <c r="A9" i="5"/>
  <c r="A10" i="33" s="1"/>
  <c r="H8" i="5"/>
  <c r="H9" i="33" s="1"/>
  <c r="G8" i="5"/>
  <c r="G9" i="33" s="1"/>
  <c r="F8" i="5"/>
  <c r="F9" i="33" s="1"/>
  <c r="E8" i="5"/>
  <c r="E9" i="33" s="1"/>
  <c r="D8" i="5"/>
  <c r="D9" i="33" s="1"/>
  <c r="C8" i="5"/>
  <c r="C9" i="33" s="1"/>
  <c r="B8" i="5"/>
  <c r="B9" i="33" s="1"/>
  <c r="A8" i="5"/>
  <c r="A9" i="33" s="1"/>
  <c r="L7" i="5"/>
  <c r="L8" i="33" s="1"/>
  <c r="G7" i="5"/>
  <c r="G8" i="33" s="1"/>
  <c r="F7" i="5"/>
  <c r="F8" i="33" s="1"/>
  <c r="E7" i="5"/>
  <c r="E8" i="33" s="1"/>
  <c r="D7" i="5"/>
  <c r="D8" i="33" s="1"/>
  <c r="C7" i="5"/>
  <c r="C8" i="33" s="1"/>
  <c r="B7" i="5"/>
  <c r="B8" i="33" s="1"/>
  <c r="A7" i="5"/>
  <c r="A8" i="33" s="1"/>
  <c r="L6" i="5"/>
  <c r="L7" i="33" s="1"/>
  <c r="J6" i="5"/>
  <c r="J7" i="33" s="1"/>
  <c r="H6" i="5"/>
  <c r="H7" i="33" s="1"/>
  <c r="G6" i="5"/>
  <c r="G7" i="33" s="1"/>
  <c r="F6" i="5"/>
  <c r="F7" i="33" s="1"/>
  <c r="E6" i="5"/>
  <c r="E7" i="33" s="1"/>
  <c r="D6" i="5"/>
  <c r="D7" i="33" s="1"/>
  <c r="C6" i="5"/>
  <c r="C7" i="33" s="1"/>
  <c r="B6" i="5"/>
  <c r="B7" i="33" s="1"/>
  <c r="A6" i="5"/>
  <c r="A7" i="33" s="1"/>
  <c r="L5" i="5"/>
  <c r="L6" i="33" s="1"/>
  <c r="K5" i="5"/>
  <c r="K6" i="33" s="1"/>
  <c r="J5" i="5"/>
  <c r="J6" i="33" s="1"/>
  <c r="H5" i="5"/>
  <c r="H6" i="33" s="1"/>
  <c r="G5" i="5"/>
  <c r="G6" i="33" s="1"/>
  <c r="F5" i="5"/>
  <c r="F6" i="33" s="1"/>
  <c r="E5" i="5"/>
  <c r="E6" i="33" s="1"/>
  <c r="D5" i="5"/>
  <c r="D6" i="33" s="1"/>
  <c r="C5" i="5"/>
  <c r="C6" i="33" s="1"/>
  <c r="B5" i="5"/>
  <c r="B6" i="33" s="1"/>
  <c r="A5" i="5"/>
  <c r="A6" i="33" s="1"/>
  <c r="B10" i="4"/>
  <c r="D12" i="8" s="1"/>
  <c r="E12" i="8" s="1"/>
  <c r="D11" i="20" l="1"/>
  <c r="E11" i="20" s="1"/>
  <c r="L6" i="18"/>
  <c r="M5" i="17"/>
  <c r="D10" i="20"/>
  <c r="E10" i="20" s="1"/>
  <c r="K27" i="22"/>
  <c r="L9" i="6"/>
  <c r="K9" i="6"/>
  <c r="J17" i="34" s="1"/>
  <c r="M9" i="6"/>
  <c r="K17" i="34" s="1"/>
  <c r="J9" i="6"/>
  <c r="I17" i="34" s="1"/>
  <c r="L5" i="13"/>
  <c r="L8" i="13"/>
  <c r="M8" i="13" s="1"/>
  <c r="B23" i="9"/>
  <c r="D23" i="9" s="1"/>
  <c r="K5" i="22"/>
  <c r="I5" i="5"/>
  <c r="I6" i="33" s="1"/>
  <c r="K6" i="5"/>
  <c r="K7" i="33" s="1"/>
  <c r="I9" i="5"/>
  <c r="I10" i="33" s="1"/>
  <c r="M11" i="5"/>
  <c r="M12" i="33" s="1"/>
  <c r="A14" i="33"/>
  <c r="N13" i="5"/>
  <c r="N14" i="33" s="1"/>
  <c r="I13" i="5"/>
  <c r="I14" i="33" s="1"/>
  <c r="A13" i="34"/>
  <c r="H5" i="6"/>
  <c r="G13" i="34" s="1"/>
  <c r="D5" i="6"/>
  <c r="C13" i="34" s="1"/>
  <c r="E11" i="6"/>
  <c r="D19" i="34" s="1"/>
  <c r="L12" i="6"/>
  <c r="L7" i="13"/>
  <c r="M7" i="13" s="1"/>
  <c r="I8" i="19"/>
  <c r="J8" i="19" s="1"/>
  <c r="K7" i="22"/>
  <c r="K9" i="22"/>
  <c r="J30" i="22"/>
  <c r="I24" i="22"/>
  <c r="A21" i="34"/>
  <c r="H13" i="6"/>
  <c r="G21" i="34" s="1"/>
  <c r="D13" i="6"/>
  <c r="C21" i="34" s="1"/>
  <c r="A17" i="34"/>
  <c r="D9" i="6"/>
  <c r="C17" i="34" s="1"/>
  <c r="H9" i="6"/>
  <c r="G17" i="34" s="1"/>
  <c r="A14" i="34"/>
  <c r="C6" i="6"/>
  <c r="B14" i="34" s="1"/>
  <c r="G6" i="6"/>
  <c r="F14" i="34" s="1"/>
  <c r="B13" i="6"/>
  <c r="H7" i="5"/>
  <c r="H8" i="33" s="1"/>
  <c r="J8" i="5"/>
  <c r="J9" i="33" s="1"/>
  <c r="H11" i="5"/>
  <c r="H12" i="33" s="1"/>
  <c r="J12" i="5"/>
  <c r="J13" i="33" s="1"/>
  <c r="C9" i="6"/>
  <c r="B17" i="34" s="1"/>
  <c r="A18" i="34"/>
  <c r="G10" i="6"/>
  <c r="F18" i="34" s="1"/>
  <c r="C10" i="6"/>
  <c r="B18" i="34" s="1"/>
  <c r="L10" i="6"/>
  <c r="C13" i="6"/>
  <c r="B21" i="34" s="1"/>
  <c r="A22" i="34"/>
  <c r="C14" i="6"/>
  <c r="B22" i="34" s="1"/>
  <c r="G14" i="6"/>
  <c r="F22" i="34" s="1"/>
  <c r="L14" i="6"/>
  <c r="K7" i="12"/>
  <c r="K12" i="5"/>
  <c r="K13" i="33" s="1"/>
  <c r="D6" i="6"/>
  <c r="C14" i="34" s="1"/>
  <c r="A15" i="34"/>
  <c r="F7" i="6"/>
  <c r="E15" i="34" s="1"/>
  <c r="E9" i="6"/>
  <c r="D17" i="34" s="1"/>
  <c r="M10" i="6"/>
  <c r="K18" i="34" s="1"/>
  <c r="E13" i="6"/>
  <c r="D21" i="34" s="1"/>
  <c r="M14" i="6"/>
  <c r="K22" i="34" s="1"/>
  <c r="L6" i="21"/>
  <c r="M6" i="21" s="1"/>
  <c r="K6" i="21"/>
  <c r="I35" i="22"/>
  <c r="L8" i="22"/>
  <c r="K8" i="22"/>
  <c r="K7" i="26"/>
  <c r="J7" i="26"/>
  <c r="L7" i="26" s="1"/>
  <c r="I12" i="5"/>
  <c r="I13" i="33" s="1"/>
  <c r="L8" i="5"/>
  <c r="L9" i="33" s="1"/>
  <c r="C7" i="6"/>
  <c r="B15" i="34" s="1"/>
  <c r="F13" i="6"/>
  <c r="E21" i="34" s="1"/>
  <c r="I5" i="19"/>
  <c r="J6" i="19" s="1"/>
  <c r="I31" i="22"/>
  <c r="I8" i="5"/>
  <c r="I9" i="33" s="1"/>
  <c r="M5" i="5"/>
  <c r="I7" i="5"/>
  <c r="I8" i="33" s="1"/>
  <c r="K8" i="5"/>
  <c r="K9" i="33" s="1"/>
  <c r="M9" i="5"/>
  <c r="I11" i="5"/>
  <c r="I12" i="33" s="1"/>
  <c r="J7" i="5"/>
  <c r="J8" i="33" s="1"/>
  <c r="J11" i="5"/>
  <c r="J12" i="33" s="1"/>
  <c r="L12" i="5"/>
  <c r="L13" i="33" s="1"/>
  <c r="A15" i="33"/>
  <c r="H14" i="5"/>
  <c r="H15" i="33" s="1"/>
  <c r="L14" i="5"/>
  <c r="L15" i="33" s="1"/>
  <c r="E6" i="6"/>
  <c r="D14" i="34" s="1"/>
  <c r="F9" i="6"/>
  <c r="E17" i="34" s="1"/>
  <c r="A19" i="34"/>
  <c r="B11" i="6"/>
  <c r="F11" i="6"/>
  <c r="E19" i="34" s="1"/>
  <c r="I6" i="5"/>
  <c r="K7" i="5"/>
  <c r="K8" i="33" s="1"/>
  <c r="M8" i="5"/>
  <c r="I10" i="5"/>
  <c r="I11" i="33" s="1"/>
  <c r="K11" i="5"/>
  <c r="K12" i="33" s="1"/>
  <c r="M12" i="5"/>
  <c r="M13" i="33" s="1"/>
  <c r="K14" i="5"/>
  <c r="K15" i="33" s="1"/>
  <c r="F6" i="6"/>
  <c r="E14" i="34" s="1"/>
  <c r="D7" i="6"/>
  <c r="C15" i="34" s="1"/>
  <c r="G9" i="6"/>
  <c r="F17" i="34" s="1"/>
  <c r="E10" i="6"/>
  <c r="D18" i="34" s="1"/>
  <c r="C11" i="6"/>
  <c r="B19" i="34" s="1"/>
  <c r="J12" i="6"/>
  <c r="I20" i="34" s="1"/>
  <c r="G13" i="6"/>
  <c r="F21" i="34" s="1"/>
  <c r="E14" i="6"/>
  <c r="D22" i="34" s="1"/>
  <c r="J35" i="22"/>
  <c r="J27" i="22"/>
  <c r="L27" i="22" s="1"/>
  <c r="J19" i="22"/>
  <c r="J11" i="22"/>
  <c r="J39" i="22"/>
  <c r="J37" i="22"/>
  <c r="J29" i="22"/>
  <c r="J21" i="22"/>
  <c r="J13" i="22"/>
  <c r="J5" i="22"/>
  <c r="L5" i="22" s="1"/>
  <c r="J36" i="22"/>
  <c r="J28" i="22"/>
  <c r="J20" i="22"/>
  <c r="J12" i="22"/>
  <c r="J17" i="22"/>
  <c r="J18" i="22"/>
  <c r="J33" i="22"/>
  <c r="J34" i="22"/>
  <c r="J38" i="22"/>
  <c r="H7" i="35"/>
  <c r="J7" i="35" s="1"/>
  <c r="B24" i="31"/>
  <c r="D24" i="31" s="1"/>
  <c r="D12" i="32"/>
  <c r="E12" i="32" s="1"/>
  <c r="N5" i="29"/>
  <c r="I10" i="22"/>
  <c r="I11" i="22"/>
  <c r="J22" i="22"/>
  <c r="I23" i="22"/>
  <c r="B21" i="31"/>
  <c r="D21" i="31" s="1"/>
  <c r="L7" i="27"/>
  <c r="J17" i="35"/>
  <c r="I12" i="6"/>
  <c r="H20" i="34" s="1"/>
  <c r="J7" i="22"/>
  <c r="L7" i="22" s="1"/>
  <c r="J8" i="22"/>
  <c r="J9" i="22"/>
  <c r="L9" i="22" s="1"/>
  <c r="J24" i="22"/>
  <c r="I25" i="22"/>
  <c r="I26" i="22"/>
  <c r="J15" i="35"/>
  <c r="B9" i="35"/>
  <c r="D9" i="35" s="1"/>
  <c r="L5" i="27"/>
  <c r="B23" i="31"/>
  <c r="D23" i="31" s="1"/>
  <c r="J25" i="22"/>
  <c r="J26" i="22"/>
  <c r="I14" i="27"/>
  <c r="D15" i="35"/>
  <c r="D11" i="32"/>
  <c r="E11" i="32" s="1"/>
  <c r="I15" i="22"/>
  <c r="K7" i="21"/>
  <c r="J15" i="22"/>
  <c r="I16" i="22"/>
  <c r="I19" i="22"/>
  <c r="J31" i="22"/>
  <c r="I32" i="22"/>
  <c r="J40" i="22"/>
  <c r="L5" i="26"/>
  <c r="E12" i="6"/>
  <c r="D20" i="34" s="1"/>
  <c r="D6" i="32"/>
  <c r="E6" i="32" s="1"/>
  <c r="B20" i="31"/>
  <c r="D20" i="31" s="1"/>
  <c r="H6" i="35"/>
  <c r="J6" i="35" s="1"/>
  <c r="I36" i="22"/>
  <c r="I28" i="22"/>
  <c r="I20" i="22"/>
  <c r="I12" i="22"/>
  <c r="I40" i="22"/>
  <c r="I38" i="22"/>
  <c r="I30" i="22"/>
  <c r="I22" i="22"/>
  <c r="I14" i="22"/>
  <c r="I6" i="22"/>
  <c r="I37" i="22"/>
  <c r="I29" i="22"/>
  <c r="I21" i="22"/>
  <c r="I13" i="22"/>
  <c r="J16" i="22"/>
  <c r="I17" i="22"/>
  <c r="I18" i="22"/>
  <c r="J32" i="22"/>
  <c r="I33" i="22"/>
  <c r="I34" i="22"/>
  <c r="I39" i="22"/>
  <c r="J16" i="35"/>
  <c r="L6" i="27"/>
  <c r="L18" i="35"/>
  <c r="M8" i="27"/>
  <c r="I22" i="27"/>
  <c r="D7" i="32"/>
  <c r="E7" i="32" s="1"/>
  <c r="B10" i="35"/>
  <c r="D10" i="35" s="1"/>
  <c r="K5" i="23"/>
  <c r="K28" i="22" l="1"/>
  <c r="L28" i="22"/>
  <c r="D8" i="8"/>
  <c r="E8" i="8" s="1"/>
  <c r="L33" i="22"/>
  <c r="K33" i="22"/>
  <c r="K15" i="22"/>
  <c r="L15" i="22"/>
  <c r="K18" i="22"/>
  <c r="L18" i="22"/>
  <c r="K36" i="22"/>
  <c r="L36" i="22"/>
  <c r="L32" i="22"/>
  <c r="K32" i="22"/>
  <c r="K26" i="22"/>
  <c r="L26" i="22"/>
  <c r="L17" i="35"/>
  <c r="M7" i="27"/>
  <c r="L35" i="22"/>
  <c r="K35" i="22"/>
  <c r="L24" i="22"/>
  <c r="K24" i="22"/>
  <c r="L37" i="22"/>
  <c r="K37" i="22"/>
  <c r="L6" i="22"/>
  <c r="K6" i="22"/>
  <c r="L25" i="22"/>
  <c r="K25" i="22"/>
  <c r="M10" i="33"/>
  <c r="J5" i="19"/>
  <c r="B24" i="9"/>
  <c r="D12" i="20" s="1"/>
  <c r="E12" i="20" s="1"/>
  <c r="L16" i="35"/>
  <c r="M6" i="27"/>
  <c r="L19" i="22"/>
  <c r="K19" i="22"/>
  <c r="M9" i="33"/>
  <c r="D9" i="20"/>
  <c r="E9" i="20" s="1"/>
  <c r="M5" i="13"/>
  <c r="K20" i="22"/>
  <c r="L20" i="22"/>
  <c r="L14" i="22"/>
  <c r="K14" i="22"/>
  <c r="L17" i="22"/>
  <c r="K17" i="22"/>
  <c r="L22" i="22"/>
  <c r="K22" i="22"/>
  <c r="J7" i="19"/>
  <c r="M7" i="5"/>
  <c r="J11" i="6"/>
  <c r="I19" i="34" s="1"/>
  <c r="M11" i="6"/>
  <c r="K19" i="34" s="1"/>
  <c r="L11" i="6"/>
  <c r="K11" i="6"/>
  <c r="J19" i="34" s="1"/>
  <c r="L30" i="22"/>
  <c r="K30" i="22"/>
  <c r="L23" i="22"/>
  <c r="K23" i="22"/>
  <c r="L39" i="22"/>
  <c r="K39" i="22"/>
  <c r="L21" i="22"/>
  <c r="K21" i="22"/>
  <c r="K40" i="22"/>
  <c r="L40" i="22"/>
  <c r="L11" i="22"/>
  <c r="K11" i="22"/>
  <c r="I7" i="33"/>
  <c r="M6" i="5"/>
  <c r="N5" i="5" s="1"/>
  <c r="M6" i="33"/>
  <c r="C7" i="8"/>
  <c r="B33" i="5"/>
  <c r="F33" i="5"/>
  <c r="H33" i="5"/>
  <c r="E33" i="5"/>
  <c r="A33" i="5"/>
  <c r="D33" i="5"/>
  <c r="C33" i="5"/>
  <c r="K31" i="22"/>
  <c r="L31" i="22"/>
  <c r="L13" i="22"/>
  <c r="K13" i="22"/>
  <c r="K38" i="22"/>
  <c r="L38" i="22"/>
  <c r="L16" i="22"/>
  <c r="K16" i="22"/>
  <c r="K34" i="22"/>
  <c r="L34" i="22"/>
  <c r="L29" i="22"/>
  <c r="K29" i="22"/>
  <c r="K12" i="22"/>
  <c r="L12" i="22"/>
  <c r="L15" i="35"/>
  <c r="D10" i="32"/>
  <c r="E10" i="32" s="1"/>
  <c r="M5" i="27"/>
  <c r="K10" i="22"/>
  <c r="L10" i="22"/>
  <c r="L13" i="6"/>
  <c r="M13" i="6"/>
  <c r="K21" i="34" s="1"/>
  <c r="K13" i="6"/>
  <c r="J21" i="34" s="1"/>
  <c r="J13" i="6"/>
  <c r="I21" i="34" s="1"/>
  <c r="N6" i="33" l="1"/>
  <c r="G20" i="33"/>
  <c r="B12" i="1"/>
  <c r="C20" i="33"/>
  <c r="B8" i="1"/>
  <c r="N8" i="5"/>
  <c r="N9" i="33" s="1"/>
  <c r="N9" i="5"/>
  <c r="N10" i="33" s="1"/>
  <c r="B5" i="6"/>
  <c r="B8" i="6"/>
  <c r="B6" i="6"/>
  <c r="B7" i="6"/>
  <c r="D20" i="33"/>
  <c r="B9" i="1"/>
  <c r="A20" i="33"/>
  <c r="B6" i="35"/>
  <c r="B6" i="1"/>
  <c r="E6" i="8"/>
  <c r="C6" i="8"/>
  <c r="E20" i="33"/>
  <c r="B10" i="1"/>
  <c r="B7" i="35"/>
  <c r="D7" i="35" s="1"/>
  <c r="B20" i="33"/>
  <c r="B7" i="1"/>
  <c r="D7" i="8"/>
  <c r="E7" i="8" s="1"/>
  <c r="I33" i="5"/>
  <c r="M7" i="33"/>
  <c r="N6" i="5"/>
  <c r="N7" i="33" s="1"/>
  <c r="G33" i="5"/>
  <c r="J33" i="5" s="1"/>
  <c r="M8" i="33"/>
  <c r="N7" i="5"/>
  <c r="N8" i="33" s="1"/>
  <c r="I20" i="33" l="1"/>
  <c r="B14" i="1"/>
  <c r="H20" i="33"/>
  <c r="B13" i="1"/>
  <c r="F20" i="33"/>
  <c r="B11" i="1"/>
  <c r="J7" i="6"/>
  <c r="I15" i="34" s="1"/>
  <c r="M7" i="6"/>
  <c r="K15" i="34" s="1"/>
  <c r="L7" i="6"/>
  <c r="K7" i="6"/>
  <c r="J15" i="34" s="1"/>
  <c r="K6" i="6"/>
  <c r="J14" i="34" s="1"/>
  <c r="L6" i="6"/>
  <c r="J6" i="6"/>
  <c r="I14" i="34" s="1"/>
  <c r="M8" i="6"/>
  <c r="K16" i="34" s="1"/>
  <c r="J8" i="6"/>
  <c r="I16" i="34" s="1"/>
  <c r="L8" i="6"/>
  <c r="K8" i="6"/>
  <c r="J16" i="34" s="1"/>
  <c r="D9" i="8"/>
  <c r="E9" i="8" s="1"/>
  <c r="L5" i="6"/>
  <c r="B23" i="6" s="1"/>
  <c r="D23" i="6" s="1"/>
  <c r="C11" i="8"/>
  <c r="B20" i="6"/>
  <c r="B19" i="6"/>
  <c r="C10" i="8"/>
  <c r="I7" i="6"/>
  <c r="H15" i="34" s="1"/>
  <c r="B22" i="6"/>
  <c r="D22" i="6" s="1"/>
  <c r="K5" i="6"/>
  <c r="J13" i="34" s="1"/>
  <c r="I5" i="6"/>
  <c r="H13" i="34" s="1"/>
  <c r="I8" i="6"/>
  <c r="H16" i="34" s="1"/>
  <c r="I6" i="6"/>
  <c r="H14" i="34" s="1"/>
  <c r="M5" i="6" l="1"/>
  <c r="K13" i="34" s="1"/>
  <c r="B28" i="34"/>
  <c r="D20" i="6"/>
  <c r="D28" i="34" s="1"/>
  <c r="D11" i="8"/>
  <c r="E11" i="8" s="1"/>
  <c r="J5" i="6"/>
  <c r="I13" i="34" s="1"/>
  <c r="M6" i="6"/>
  <c r="K14" i="34" s="1"/>
  <c r="B27" i="34"/>
  <c r="D10" i="8"/>
  <c r="E10" i="8" s="1"/>
  <c r="D19" i="6"/>
  <c r="B21" i="6"/>
  <c r="B29" i="34" l="1"/>
  <c r="B8" i="35"/>
  <c r="D21" i="6"/>
  <c r="D27" i="34"/>
  <c r="D13" i="8"/>
  <c r="E13" i="8" s="1"/>
  <c r="D29" i="34" l="1"/>
  <c r="D8" i="35"/>
  <c r="K28" i="15"/>
  <c r="I14" i="11"/>
  <c r="K8" i="15"/>
  <c r="K17" i="15"/>
  <c r="K11" i="15"/>
  <c r="K23" i="15"/>
  <c r="J10" i="15"/>
  <c r="J37" i="15"/>
  <c r="J18" i="15"/>
  <c r="I19" i="11"/>
  <c r="J25" i="15"/>
  <c r="K26" i="15"/>
  <c r="J8" i="15"/>
  <c r="J20" i="15"/>
  <c r="I9" i="11"/>
  <c r="K12" i="15"/>
  <c r="K13" i="11"/>
  <c r="K15" i="15"/>
  <c r="K33" i="15"/>
  <c r="K19" i="15"/>
  <c r="J28" i="15"/>
  <c r="K31" i="15"/>
  <c r="K40" i="15"/>
  <c r="J39" i="15"/>
  <c r="J21" i="15"/>
  <c r="J10" i="11"/>
  <c r="J20" i="11"/>
  <c r="J19" i="15"/>
  <c r="K32" i="15"/>
  <c r="I17" i="11"/>
  <c r="J16" i="11"/>
  <c r="K24" i="15"/>
  <c r="J8" i="11"/>
  <c r="J23" i="15"/>
  <c r="K10" i="15"/>
  <c r="J26" i="15"/>
  <c r="J13" i="11"/>
  <c r="J33" i="15"/>
  <c r="K18" i="11"/>
  <c r="J14" i="15"/>
  <c r="I18" i="11"/>
  <c r="K19" i="11"/>
  <c r="K29" i="15"/>
  <c r="J18" i="11"/>
  <c r="J11" i="15"/>
  <c r="J17" i="15"/>
  <c r="J24" i="15"/>
  <c r="K17" i="11"/>
  <c r="K16" i="11"/>
  <c r="K30" i="15"/>
  <c r="I16" i="11"/>
  <c r="J9" i="15"/>
  <c r="J9" i="11"/>
  <c r="J29" i="15"/>
  <c r="K10" i="11"/>
  <c r="K11" i="11"/>
  <c r="K34" i="15"/>
  <c r="K16" i="15"/>
  <c r="I8" i="11"/>
  <c r="K22" i="15"/>
  <c r="K14" i="11"/>
  <c r="J32" i="15"/>
  <c r="I20" i="11"/>
  <c r="K15" i="11"/>
  <c r="J30" i="15"/>
  <c r="K20" i="15"/>
  <c r="J17" i="11"/>
  <c r="J12" i="15"/>
  <c r="K21" i="15"/>
  <c r="J35" i="15"/>
  <c r="K14" i="15"/>
  <c r="K27" i="15"/>
  <c r="K39" i="15"/>
  <c r="I10" i="11"/>
  <c r="J34" i="15"/>
  <c r="K7" i="15"/>
  <c r="K38" i="15"/>
  <c r="K8" i="11"/>
  <c r="I15" i="11"/>
  <c r="K12" i="11"/>
  <c r="I12" i="11"/>
  <c r="K9" i="15"/>
  <c r="K20" i="11"/>
  <c r="J36" i="15"/>
  <c r="I11" i="11"/>
  <c r="K13" i="15"/>
  <c r="J12" i="11"/>
  <c r="J13" i="15"/>
  <c r="K9" i="11"/>
  <c r="K36" i="15"/>
  <c r="K35" i="15"/>
  <c r="J16" i="15"/>
  <c r="J15" i="11"/>
  <c r="J11" i="11"/>
  <c r="J19" i="11"/>
  <c r="J38" i="15"/>
  <c r="J15" i="15"/>
  <c r="K25" i="15"/>
  <c r="J27" i="15"/>
  <c r="K18" i="15"/>
  <c r="I13" i="11"/>
  <c r="J14" i="11"/>
  <c r="K37" i="15"/>
  <c r="J22" i="15"/>
  <c r="J31" i="15"/>
  <c r="J40" i="15"/>
  <c r="J7" i="15"/>
</calcChain>
</file>

<file path=xl/sharedStrings.xml><?xml version="1.0" encoding="utf-8"?>
<sst xmlns="http://schemas.openxmlformats.org/spreadsheetml/2006/main" count="1236" uniqueCount="650">
  <si>
    <t>AI-tyylinen reitti- ja kuormaoptimointi</t>
  </si>
  <si>
    <t>Excel-pohjainen pisteytysmoottori: reitti, kuorma, ajoaika, kate ja riski.</t>
  </si>
  <si>
    <t>Suositus</t>
  </si>
  <si>
    <t>Mittari</t>
  </si>
  <si>
    <t>Arvo</t>
  </si>
  <si>
    <t>Huomio</t>
  </si>
  <si>
    <t>Paras reitti</t>
  </si>
  <si>
    <t>Haetaan Optimointi-välilehdeltä</t>
  </si>
  <si>
    <t>Paras kokonaispiste</t>
  </si>
  <si>
    <t>0–100</t>
  </si>
  <si>
    <t>Reitin km</t>
  </si>
  <si>
    <t>Ajoaika h</t>
  </si>
  <si>
    <t>Täyttöaste</t>
  </si>
  <si>
    <t>Kate %</t>
  </si>
  <si>
    <t>Riskitaso</t>
  </si>
  <si>
    <t>Päätös</t>
  </si>
  <si>
    <t>Perustelu</t>
  </si>
  <si>
    <t>Miten pisteytys toimii?</t>
  </si>
  <si>
    <t>Osa</t>
  </si>
  <si>
    <t>Paino</t>
  </si>
  <si>
    <t>Selitys</t>
  </si>
  <si>
    <t>Km-score</t>
  </si>
  <si>
    <t>30 %</t>
  </si>
  <si>
    <t>Lyhyempi reitti saa paremman pisteen</t>
  </si>
  <si>
    <t>Ajoaika-score</t>
  </si>
  <si>
    <t>20 %</t>
  </si>
  <si>
    <t>Alle 4h30 ja alle 9h saa paremman pisteen</t>
  </si>
  <si>
    <t>Täyttöaste-score</t>
  </si>
  <si>
    <t>25 %</t>
  </si>
  <si>
    <t>Lähellä 85–95 % on hyvä</t>
  </si>
  <si>
    <t>Kate-score</t>
  </si>
  <si>
    <t>15 %</t>
  </si>
  <si>
    <t>Suurempi kate % nostaa pisteitä</t>
  </si>
  <si>
    <t>Riski-score</t>
  </si>
  <si>
    <t>10 %</t>
  </si>
  <si>
    <t>Matalampi riski nostaa pisteitä</t>
  </si>
  <si>
    <t>Lähetykset / kuljetustarpeet</t>
  </si>
  <si>
    <t>Syötä lähetykset, joita optimointimoottori arvioi.</t>
  </si>
  <si>
    <t>Lähetys</t>
  </si>
  <si>
    <t>Nouto</t>
  </si>
  <si>
    <t>Toimitus</t>
  </si>
  <si>
    <t>Lavapaikat</t>
  </si>
  <si>
    <t>Paino kg</t>
  </si>
  <si>
    <t>Lämpö min</t>
  </si>
  <si>
    <t>Lämpö max</t>
  </si>
  <si>
    <t>ADR?</t>
  </si>
  <si>
    <t>Deadline</t>
  </si>
  <si>
    <t>Pakollinen?</t>
  </si>
  <si>
    <t>A</t>
  </si>
  <si>
    <t>Vantaa</t>
  </si>
  <si>
    <t>Tampere</t>
  </si>
  <si>
    <t>Ei</t>
  </si>
  <si>
    <t>14:00</t>
  </si>
  <si>
    <t>Kyllä</t>
  </si>
  <si>
    <t>Thermo +4</t>
  </si>
  <si>
    <t>B</t>
  </si>
  <si>
    <t>Pori</t>
  </si>
  <si>
    <t>16:00</t>
  </si>
  <si>
    <t>C</t>
  </si>
  <si>
    <t>Oulu</t>
  </si>
  <si>
    <t>22:00</t>
  </si>
  <si>
    <t>Kuiva jatkoreitti</t>
  </si>
  <si>
    <t>D</t>
  </si>
  <si>
    <t>Turku</t>
  </si>
  <si>
    <t>15:00</t>
  </si>
  <si>
    <t>ADR-lisä</t>
  </si>
  <si>
    <t>Reittivaihtoehdot</t>
  </si>
  <si>
    <t>Syötä tai muokkaa vaihtoehtoisia reittejä. Optimointi laskee pisteet näistä.</t>
  </si>
  <si>
    <t>Vaihtoehto</t>
  </si>
  <si>
    <t>Reitti</t>
  </si>
  <si>
    <t>Km</t>
  </si>
  <si>
    <t>Työaika h</t>
  </si>
  <si>
    <t>Tauko min</t>
  </si>
  <si>
    <t>Max lavapaikat</t>
  </si>
  <si>
    <t>Riskipisteet</t>
  </si>
  <si>
    <t>Sisältää lähetykset</t>
  </si>
  <si>
    <t>R1</t>
  </si>
  <si>
    <t>Vantaa → Tampere → Pori</t>
  </si>
  <si>
    <t>A,B</t>
  </si>
  <si>
    <t>Paras perusvaihtoehto</t>
  </si>
  <si>
    <t>R2</t>
  </si>
  <si>
    <t>Vantaa → Pori → Tampere</t>
  </si>
  <si>
    <t>Hieman pidempi</t>
  </si>
  <si>
    <t>R3</t>
  </si>
  <si>
    <t>Vantaa → Tampere → Pori → Oulu</t>
  </si>
  <si>
    <t>A,B,C</t>
  </si>
  <si>
    <t>Pitkä mutta hyvä täyttö</t>
  </si>
  <si>
    <t>R4</t>
  </si>
  <si>
    <t>Jaetaan kahteen autoon</t>
  </si>
  <si>
    <t>Vähemmän riskiä, huono käyttöaste</t>
  </si>
  <si>
    <t>R5</t>
  </si>
  <si>
    <t>Vantaa → Turku → Tampere → Pori</t>
  </si>
  <si>
    <t>A,B,D</t>
  </si>
  <si>
    <t>ADR mukana</t>
  </si>
  <si>
    <t>Optimoinnin painotukset</t>
  </si>
  <si>
    <t>Muuta painoja sen mukaan, mitä haluat painottaa: km, aika, täyttöaste, kate vai riski.</t>
  </si>
  <si>
    <t>Tekijä</t>
  </si>
  <si>
    <t>Minimi / tavoite</t>
  </si>
  <si>
    <t>Maksimi / raja</t>
  </si>
  <si>
    <t>Lyhyempi reitti parempi</t>
  </si>
  <si>
    <t>Lyhyempi ajoaika parempi</t>
  </si>
  <si>
    <t>Tavoite 85–95 %</t>
  </si>
  <si>
    <t>Suurempi kate parempi</t>
  </si>
  <si>
    <t>Matalampi riski parempi</t>
  </si>
  <si>
    <t>Yhteensä</t>
  </si>
  <si>
    <t>Painojen summa tulisi olla 100 %</t>
  </si>
  <si>
    <t>Optimointimoottori</t>
  </si>
  <si>
    <t>Pisteyttää reittivaihtoehdot painotusten mukaan ja valitsee parhaan.</t>
  </si>
  <si>
    <t>Aika-score</t>
  </si>
  <si>
    <t>Täyttö-score</t>
  </si>
  <si>
    <t>Kokonaispiste</t>
  </si>
  <si>
    <t>Paras vaihtoehto</t>
  </si>
  <si>
    <t>Tunnus</t>
  </si>
  <si>
    <t>Pisteet</t>
  </si>
  <si>
    <t>Kuormaoptimointi</t>
  </si>
  <si>
    <t>Arvioi lavapaikat, painon, lämpötilan, ADR:n ja purkujärjestyksen.</t>
  </si>
  <si>
    <t>Mukana suosituksessa?</t>
  </si>
  <si>
    <t>Purkujärjestys</t>
  </si>
  <si>
    <t>Sijoitus</t>
  </si>
  <si>
    <t>Sopii kuormaan?</t>
  </si>
  <si>
    <t>Riski</t>
  </si>
  <si>
    <t>Kuorman yhteenveto</t>
  </si>
  <si>
    <t>Raja</t>
  </si>
  <si>
    <t>Status</t>
  </si>
  <si>
    <t>Lavapaikat yhteensä</t>
  </si>
  <si>
    <t>Vain suositukseen kuuluvat lähetykset</t>
  </si>
  <si>
    <t>Paino kg yhteensä</t>
  </si>
  <si>
    <t>85–95 % tavoite</t>
  </si>
  <si>
    <t>ADR-lähetyksiä</t>
  </si>
  <si>
    <t>Thermo-lähetyksiä</t>
  </si>
  <si>
    <t>Optimointimoottorin käyttöohje</t>
  </si>
  <si>
    <t>Tämä on sääntöpohjainen AI-tyylinen malli, ei oikea koneoppiva AI. Se toimii pisteytyksen ja painotusten avulla.</t>
  </si>
  <si>
    <t>Vaihe</t>
  </si>
  <si>
    <t>Mitä teet</t>
  </si>
  <si>
    <t>Missä välilehdessä</t>
  </si>
  <si>
    <t>1</t>
  </si>
  <si>
    <t>Syötä lähetykset: nouto, toimitus, lavapaikat, paino, lämpötila ja ADR.</t>
  </si>
  <si>
    <t>Lähetykset</t>
  </si>
  <si>
    <t>2</t>
  </si>
  <si>
    <t>Syötä reittivaihtoehdot: km, ajoaika, täyttö, kate ja riskipisteet.</t>
  </si>
  <si>
    <t>3</t>
  </si>
  <si>
    <t>Muuta painotuksia, jos haluat painottaa esim. katetta enemmän kuin kilometrejä.</t>
  </si>
  <si>
    <t>Painotukset</t>
  </si>
  <si>
    <t>4</t>
  </si>
  <si>
    <t>Katso suositus ja pisteet.</t>
  </si>
  <si>
    <t>Optimointi</t>
  </si>
  <si>
    <t>5</t>
  </si>
  <si>
    <t>Tarkista kuorman sopivuus, purkujärjestys ja lisät.</t>
  </si>
  <si>
    <t>6</t>
  </si>
  <si>
    <t>Käytä Dashboardia päätöksenteon nopeaan näkymään.</t>
  </si>
  <si>
    <t>Optimizer Dashboard</t>
  </si>
  <si>
    <t>Jos haluat oikean AI-/VRP-optimoinnin, seuraava taso olisi Python + Google OR-Tools.</t>
  </si>
  <si>
    <t>Portfolio</t>
  </si>
  <si>
    <t>Tämä toimii hyvänä Excel-projektina logistiikan data-/TMS-kehitysrooleihin.</t>
  </si>
  <si>
    <t>Portfolio-lisäys</t>
  </si>
  <si>
    <t>Mitä näyttää</t>
  </si>
  <si>
    <t>Missä</t>
  </si>
  <si>
    <t>AI Score Dashboard</t>
  </si>
  <si>
    <t>Painotettu reittipisteytys ja suositus</t>
  </si>
  <si>
    <t>Trailer Layout</t>
  </si>
  <si>
    <t>Visuaalinen 33 lavapaikan kuormakuva</t>
  </si>
  <si>
    <t>Power BI KPI Dashboard</t>
  </si>
  <si>
    <t>Power BI -tyylinen Excel-esikatselu</t>
  </si>
  <si>
    <t>GitHub-kuvat</t>
  </si>
  <si>
    <t>Ota screenshotit näistä kolmesta sivusta</t>
  </si>
  <si>
    <t>README.md</t>
  </si>
  <si>
    <t>Power BI jatko</t>
  </si>
  <si>
    <t>Power BI voi käyttää Reittihistoria- ja PowerBI karttadata -sivuja</t>
  </si>
  <si>
    <t>Power BI</t>
  </si>
  <si>
    <t>Haastattelukäyttö</t>
  </si>
  <si>
    <t>Näytä score-logiikka, kuorma ja KPI:t</t>
  </si>
  <si>
    <t>Tämä on sääntöpohjainen optimointimalli, ei koneoppiva AI</t>
  </si>
  <si>
    <t>Testiraportti – AI reitti- ja kuormaoptimointi</t>
  </si>
  <si>
    <t>Automaattinen tarkistus: linkit, kaavat, suositus, kuormasummat ja virheskannaus.</t>
  </si>
  <si>
    <t>Testi</t>
  </si>
  <si>
    <t>Tarkistus</t>
  </si>
  <si>
    <t>Odotettu</t>
  </si>
  <si>
    <t>Tulos</t>
  </si>
  <si>
    <t>Kaavavirheet</t>
  </si>
  <si>
    <t>Ei Excelin virhekoodeja (#REF, #VALUE, #NAME, jne.)</t>
  </si>
  <si>
    <t>0 virhettä</t>
  </si>
  <si>
    <t>Tarkistettu työkalulla</t>
  </si>
  <si>
    <t>OK</t>
  </si>
  <si>
    <t>Virheskannaus ei löytänyt osumia</t>
  </si>
  <si>
    <t>Dashboard-linkki</t>
  </si>
  <si>
    <t>Dashboardin paras reitti = Optimoinnin paras reitti</t>
  </si>
  <si>
    <t>Paras piste</t>
  </si>
  <si>
    <t>Optimointi!C33 = MAX kokonaispisteistä</t>
  </si>
  <si>
    <t>Tyhjät reittirivit</t>
  </si>
  <si>
    <t>Tyhjillä riveillä ei saa olla numeerisia pisteitä</t>
  </si>
  <si>
    <t>Tyhjä</t>
  </si>
  <si>
    <t>Suositusmerkintä</t>
  </si>
  <si>
    <t>Vain yksi SUOSITUS</t>
  </si>
  <si>
    <t>Kuorma: lavapaikat</t>
  </si>
  <si>
    <t>Suositukseen kuuluvat lavapaikat = yhteenveto</t>
  </si>
  <si>
    <t>Kuorma: paino</t>
  </si>
  <si>
    <t>Suositukseen kuuluva paino = yhteenveto</t>
  </si>
  <si>
    <t>Painotusten summa</t>
  </si>
  <si>
    <t>Painotukset yhteensä = 100 %</t>
  </si>
  <si>
    <t>100 %</t>
  </si>
  <si>
    <t>Kuormastatus</t>
  </si>
  <si>
    <t>Kuormaoptimointi antaa statusarvot</t>
  </si>
  <si>
    <t>OK / huomio</t>
  </si>
  <si>
    <t>Mini TMS Dashboard</t>
  </si>
  <si>
    <t>Koonti TMS-tyyppisistä prosesseista: order → planning → execution → tracking → analytics.</t>
  </si>
  <si>
    <t>TMS-toiminnot lisätty työkaluun</t>
  </si>
  <si>
    <t>#</t>
  </si>
  <si>
    <t>Toiminto</t>
  </si>
  <si>
    <t>Välilehti</t>
  </si>
  <si>
    <t>Mitä tekee</t>
  </si>
  <si>
    <t>Order → Planning → Execution</t>
  </si>
  <si>
    <t>TMS Orders</t>
  </si>
  <si>
    <t>Tilausten eteneminen prosessin läpi</t>
  </si>
  <si>
    <t>Valmis</t>
  </si>
  <si>
    <t>Consolidation</t>
  </si>
  <si>
    <t>TMS Consolidation</t>
  </si>
  <si>
    <t>Lähetysten yhdistäminen kuljetuksiksi</t>
  </si>
  <si>
    <t>Dynamic routing</t>
  </si>
  <si>
    <t>TMS Dynamic Routing</t>
  </si>
  <si>
    <t>Viiveiden vaikutus ETAan ja reittiin</t>
  </si>
  <si>
    <t>Carrier selection</t>
  </si>
  <si>
    <t>TMS Carrier Selection</t>
  </si>
  <si>
    <t>Kuljetusliikkeen valinta hinnan, laadun ja kapasiteetin perusteella</t>
  </si>
  <si>
    <t>Cost per order</t>
  </si>
  <si>
    <t>TMS Cost per Order</t>
  </si>
  <si>
    <t>Kustannus ja kate tilauskohtaisesti</t>
  </si>
  <si>
    <t>Tracking / ETA</t>
  </si>
  <si>
    <t>TMS Tracking</t>
  </si>
  <si>
    <t>Seuranta, ETA ja myöhästymisriski</t>
  </si>
  <si>
    <t>Exception management</t>
  </si>
  <si>
    <t>TMS Exceptions</t>
  </si>
  <si>
    <t>Poikkeamat, vakavuus ja toimenpiteet</t>
  </si>
  <si>
    <t>Tendering</t>
  </si>
  <si>
    <t>TMS Tendering</t>
  </si>
  <si>
    <t>Tarjouspyynnöt useille carrier-toimijoille</t>
  </si>
  <si>
    <t>Capacity planning</t>
  </si>
  <si>
    <t>TMS Capacity</t>
  </si>
  <si>
    <t>Trailerit, kuljettajat ja resurssit päiväkohtaisesti</t>
  </si>
  <si>
    <t>Network optimization</t>
  </si>
  <si>
    <t>TMS Network</t>
  </si>
  <si>
    <t>Hubien ja verkoston kustannus-/aikavertailu</t>
  </si>
  <si>
    <t>Nopeat KPI:t</t>
  </si>
  <si>
    <t>KPI</t>
  </si>
  <si>
    <t>Tavoite</t>
  </si>
  <si>
    <t>Lähde</t>
  </si>
  <si>
    <t>Avoimet tilaukset</t>
  </si>
  <si>
    <t>0</t>
  </si>
  <si>
    <t>Korkeat poikkeamat</t>
  </si>
  <si>
    <t>Kapasiteetin käyttöaste</t>
  </si>
  <si>
    <t>&gt;= 80 %</t>
  </si>
  <si>
    <t>Paras carrier score</t>
  </si>
  <si>
    <t>maksimi</t>
  </si>
  <si>
    <t>Paras verkostovaihtoehto</t>
  </si>
  <si>
    <t>korkein score</t>
  </si>
  <si>
    <t>1. Order → Planning → Execution</t>
  </si>
  <si>
    <t>Tilausvirta: Order → Planning → Execution → Tracking → Delivered.</t>
  </si>
  <si>
    <t>Order ID</t>
  </si>
  <si>
    <t>Päivä</t>
  </si>
  <si>
    <t>Asiakas</t>
  </si>
  <si>
    <t>Reitti ID</t>
  </si>
  <si>
    <t>Carrier</t>
  </si>
  <si>
    <t>ETA</t>
  </si>
  <si>
    <t>Toteuma</t>
  </si>
  <si>
    <t>Seuraava toimenpide</t>
  </si>
  <si>
    <t>O-1001</t>
  </si>
  <si>
    <t>Asiakas A</t>
  </si>
  <si>
    <t>Planning</t>
  </si>
  <si>
    <t>O-1002</t>
  </si>
  <si>
    <t>O-1003</t>
  </si>
  <si>
    <t>Asiakas B</t>
  </si>
  <si>
    <t>Order</t>
  </si>
  <si>
    <t>O-1004</t>
  </si>
  <si>
    <t>Asiakas F</t>
  </si>
  <si>
    <t>ADR</t>
  </si>
  <si>
    <t>2. Consolidation – kuormien yhdistäminen</t>
  </si>
  <si>
    <t>Arvioi, mitkä tilaukset kannattaa yhdistää samaan kuljetukseen.</t>
  </si>
  <si>
    <t>Plan ID</t>
  </si>
  <si>
    <t>Orderit</t>
  </si>
  <si>
    <t>Lähtö</t>
  </si>
  <si>
    <t>Pääte</t>
  </si>
  <si>
    <t>Välipisteet</t>
  </si>
  <si>
    <t>Max lavat</t>
  </si>
  <si>
    <t>Täyttö %</t>
  </si>
  <si>
    <t>Km yhteensä</t>
  </si>
  <si>
    <t>Km säästö</t>
  </si>
  <si>
    <t>Aikasäästö h</t>
  </si>
  <si>
    <t>Consolidation score</t>
  </si>
  <si>
    <t>C1</t>
  </si>
  <si>
    <t>O-1001,O-1002</t>
  </si>
  <si>
    <t>C2</t>
  </si>
  <si>
    <t>O-1001,O-1002,O-1003</t>
  </si>
  <si>
    <t>Tampere,Pori</t>
  </si>
  <si>
    <t>C3</t>
  </si>
  <si>
    <t>O-1001 erikseen + O-1002 erikseen</t>
  </si>
  <si>
    <t>Tampere/Pori</t>
  </si>
  <si>
    <t>3. Dynamic routing – dynaaminen reititys</t>
  </si>
  <si>
    <t>Simuloi ruuhkan, sään, sataman ja viiveen vaikutusta ETAan ja riskitasoon.</t>
  </si>
  <si>
    <t>Route ID</t>
  </si>
  <si>
    <t>Lähtöaika</t>
  </si>
  <si>
    <t>Ruuhka min</t>
  </si>
  <si>
    <t>Sää min</t>
  </si>
  <si>
    <t>Satama min</t>
  </si>
  <si>
    <t>Asiakasviive min</t>
  </si>
  <si>
    <t>Kokonaisviive min</t>
  </si>
  <si>
    <t>ETA alkuperäinen</t>
  </si>
  <si>
    <t>ETA uusi</t>
  </si>
  <si>
    <t>ETA riskitaso</t>
  </si>
  <si>
    <t>4. Carrier selection – kuljetusliikkeen valinta</t>
  </si>
  <si>
    <t>Valitsee carrierin hinnan, laadun, kapasiteetin ja riskin perusteella.</t>
  </si>
  <si>
    <t>Hinta €</t>
  </si>
  <si>
    <t>Kapasiteetti?</t>
  </si>
  <si>
    <t>On-time %</t>
  </si>
  <si>
    <t>Laatu score</t>
  </si>
  <si>
    <t>CO₂ score</t>
  </si>
  <si>
    <t>Hinta score</t>
  </si>
  <si>
    <t>Kapasiteetti score</t>
  </si>
  <si>
    <t>Kokonais score</t>
  </si>
  <si>
    <t>Valinta</t>
  </si>
  <si>
    <t>Carrier A</t>
  </si>
  <si>
    <t>Matala</t>
  </si>
  <si>
    <t>Carrier B</t>
  </si>
  <si>
    <t>Keskitaso</t>
  </si>
  <si>
    <t>Carrier C</t>
  </si>
  <si>
    <t>Carrier D</t>
  </si>
  <si>
    <t>Korkea</t>
  </si>
  <si>
    <t>5. Cost per Order – kustannus per tilaus</t>
  </si>
  <si>
    <t>Jakaa kuljetuksen kustannukset tilauksille lavapaikkojen ja kilometrien mukaan.</t>
  </si>
  <si>
    <t>Myynti €</t>
  </si>
  <si>
    <t>Kuljetuskulu €</t>
  </si>
  <si>
    <t>Osuus lavapaikoista</t>
  </si>
  <si>
    <t>Allocated cost €</t>
  </si>
  <si>
    <t>Kate €</t>
  </si>
  <si>
    <t>€/km</t>
  </si>
  <si>
    <t>6. Tracking / ETA – seuranta</t>
  </si>
  <si>
    <t>Simuloi kuljetusten seurantaa, ETA-muutoksia ja myöhästymisriskiä.</t>
  </si>
  <si>
    <t>Shipment</t>
  </si>
  <si>
    <t>ETA suunniteltu</t>
  </si>
  <si>
    <t>ETA nykyinen</t>
  </si>
  <si>
    <t>Viive min</t>
  </si>
  <si>
    <t>On-time?</t>
  </si>
  <si>
    <t>GPS / sijainti</t>
  </si>
  <si>
    <t>Seuraava stop</t>
  </si>
  <si>
    <t>Poikkeama?</t>
  </si>
  <si>
    <t>Toimenpide</t>
  </si>
  <si>
    <t>S-001</t>
  </si>
  <si>
    <t>In transit</t>
  </si>
  <si>
    <t>S-002</t>
  </si>
  <si>
    <t>Loading</t>
  </si>
  <si>
    <t>Jyväskylä</t>
  </si>
  <si>
    <t>7. Exception management – poikkeamahallinta</t>
  </si>
  <si>
    <t>Kerää poikkeamat, vakavuuden ja suositellun toimenpiteen.</t>
  </si>
  <si>
    <t>Exception ID</t>
  </si>
  <si>
    <t>Aika</t>
  </si>
  <si>
    <t>Tyyppi</t>
  </si>
  <si>
    <t>Syy</t>
  </si>
  <si>
    <t>Vakavuus</t>
  </si>
  <si>
    <t>Kustannus €</t>
  </si>
  <si>
    <t>Asiakasvaikutus</t>
  </si>
  <si>
    <t>Owner</t>
  </si>
  <si>
    <t>SLA riski</t>
  </si>
  <si>
    <t>E-001</t>
  </si>
  <si>
    <t>Delay</t>
  </si>
  <si>
    <t>Ruuhka</t>
  </si>
  <si>
    <t>Mahdollinen</t>
  </si>
  <si>
    <t>Päivitä ETA</t>
  </si>
  <si>
    <t>Toni</t>
  </si>
  <si>
    <t>Avoin</t>
  </si>
  <si>
    <t>E-002</t>
  </si>
  <si>
    <t>S-003</t>
  </si>
  <si>
    <t>Temperature</t>
  </si>
  <si>
    <t>Thermo hälytys</t>
  </si>
  <si>
    <t>Soita kuljettajalle</t>
  </si>
  <si>
    <t>8. Tendering – tarjouskilpailutus</t>
  </si>
  <si>
    <t>Simuloi tarjouspyynnön lähettämistä usealle kuljetusliikkeelle ja valintaa.</t>
  </si>
  <si>
    <t>Tender ID</t>
  </si>
  <si>
    <t>Tarjous €</t>
  </si>
  <si>
    <t>Vastaus</t>
  </si>
  <si>
    <t>Laatu</t>
  </si>
  <si>
    <t>Voittaja</t>
  </si>
  <si>
    <t>T-001</t>
  </si>
  <si>
    <t>Vastattu</t>
  </si>
  <si>
    <t>Ei vastattu</t>
  </si>
  <si>
    <t>9. Capacity planning – resurssi- ja kapasiteettisuunnittelu</t>
  </si>
  <si>
    <t>Seuraa trailerien, kuljettajien ja tilausten kapasiteettia päiväkohtaisesti.</t>
  </si>
  <si>
    <t>Alue</t>
  </si>
  <si>
    <t>Tilauksia</t>
  </si>
  <si>
    <t>Trailerit saatavilla</t>
  </si>
  <si>
    <t>Trailerit tarvitaan</t>
  </si>
  <si>
    <t>Kuljettajat saatavilla</t>
  </si>
  <si>
    <t>Kuljettajat tarvitaan</t>
  </si>
  <si>
    <t>Käyttöaste</t>
  </si>
  <si>
    <t>Vajaus trailerit</t>
  </si>
  <si>
    <t>Vajaus kuljettajat</t>
  </si>
  <si>
    <t>Etelä</t>
  </si>
  <si>
    <t>Länsi</t>
  </si>
  <si>
    <t>Pohjoinen</t>
  </si>
  <si>
    <t>10. Network optimization – verkosto-optimointi</t>
  </si>
  <si>
    <t>Vertailee hubi- ja verkostovaihtoehtoja kustannuksen, ajan, CO₂:n ja riskin perusteella.</t>
  </si>
  <si>
    <t>Hub 1</t>
  </si>
  <si>
    <t>Hub 2</t>
  </si>
  <si>
    <t>CO₂ kg</t>
  </si>
  <si>
    <t>Network score</t>
  </si>
  <si>
    <t>Km score</t>
  </si>
  <si>
    <t>Cost score</t>
  </si>
  <si>
    <t>N1</t>
  </si>
  <si>
    <t>Nykyinen</t>
  </si>
  <si>
    <t>N2</t>
  </si>
  <si>
    <t>Lahti</t>
  </si>
  <si>
    <t>N3</t>
  </si>
  <si>
    <t>Pitkä runko</t>
  </si>
  <si>
    <t>N4</t>
  </si>
  <si>
    <t>Lounais-vaihtoehto</t>
  </si>
  <si>
    <t>TMS Testiraportti</t>
  </si>
  <si>
    <t>Tarkistus uusille TMS-välilehdille: linkit, KPI:t ja kaavavirheet.</t>
  </si>
  <si>
    <t>Ei Excel-virhekoodeja</t>
  </si>
  <si>
    <t>Orders</t>
  </si>
  <si>
    <t>Avoimet tilaukset lasketaan ilman tyhjiä rivejä</t>
  </si>
  <si>
    <t>COUNTIFS toimii</t>
  </si>
  <si>
    <t>C2 saa yhdistä-päätöksen</t>
  </si>
  <si>
    <t>Yhdistä</t>
  </si>
  <si>
    <t>Täyttö + km-säästö + aikasäästö</t>
  </si>
  <si>
    <t>Dynamic Routing</t>
  </si>
  <si>
    <t>Korkea viive antaa vaihtoehtoisen reitin suosituksen</t>
  </si>
  <si>
    <t>Etsi vaihtoehtoinen reitti</t>
  </si>
  <si>
    <t>Viiveet huomioidaan</t>
  </si>
  <si>
    <t>Vain yksi VALITSE</t>
  </si>
  <si>
    <t>Carrier score</t>
  </si>
  <si>
    <t>Voittaja löytyy</t>
  </si>
  <si>
    <t>Tarjouskilpailu</t>
  </si>
  <si>
    <t>Capacity</t>
  </si>
  <si>
    <t>Vajaus tunnistetaan</t>
  </si>
  <si>
    <t>Vajaus</t>
  </si>
  <si>
    <t>Resurssivajaus</t>
  </si>
  <si>
    <t>Network</t>
  </si>
  <si>
    <t>1. ETA-laskenta</t>
  </si>
  <si>
    <t>Arvioitu saapumisaika: lähtö + ajoaika + tauot + lastaus/purku + viiveet.</t>
  </si>
  <si>
    <t>Keikka</t>
  </si>
  <si>
    <t>Lastaus min</t>
  </si>
  <si>
    <t>Purku min</t>
  </si>
  <si>
    <t>ETA status</t>
  </si>
  <si>
    <t>Myöhässä min</t>
  </si>
  <si>
    <t>K-001</t>
  </si>
  <si>
    <t>K-002</t>
  </si>
  <si>
    <t>Vantaa → Oulu</t>
  </si>
  <si>
    <t>K-003</t>
  </si>
  <si>
    <t>Vantaa → Hollanti</t>
  </si>
  <si>
    <t>2. Ajopäivän simulointi</t>
  </si>
  <si>
    <t>Kuljettajan päivän aikajana: ajo, tauko, lastaus, purku ja työaika.</t>
  </si>
  <si>
    <t>Tapahtuma</t>
  </si>
  <si>
    <t>Kesto min</t>
  </si>
  <si>
    <t>Alku</t>
  </si>
  <si>
    <t>Loppu</t>
  </si>
  <si>
    <t>Tauko h</t>
  </si>
  <si>
    <t>Kumul. ajo h</t>
  </si>
  <si>
    <t>Kumul. työ h</t>
  </si>
  <si>
    <t>Tauko tarvitaan?</t>
  </si>
  <si>
    <t>Ajo-/työstatus</t>
  </si>
  <si>
    <t>Paikka</t>
  </si>
  <si>
    <t>Lähtö / ajo 1</t>
  </si>
  <si>
    <t>Ajo</t>
  </si>
  <si>
    <t>Tauko</t>
  </si>
  <si>
    <t>Ajo 2</t>
  </si>
  <si>
    <t>Purku 1</t>
  </si>
  <si>
    <t>Purku</t>
  </si>
  <si>
    <t>Ajo 3</t>
  </si>
  <si>
    <t>Purku 2</t>
  </si>
  <si>
    <t>3. Tyhjä ajo / Empty km</t>
  </si>
  <si>
    <t>Seuraa tyhjän ajon osuutta reiteittäin ja kuljetuksittain.</t>
  </si>
  <si>
    <t>Loaded km</t>
  </si>
  <si>
    <t>Empty km</t>
  </si>
  <si>
    <t>Total km</t>
  </si>
  <si>
    <t>Empty %</t>
  </si>
  <si>
    <t>Kulut €</t>
  </si>
  <si>
    <t>€/km loaded</t>
  </si>
  <si>
    <t>Saksa → Hollanti</t>
  </si>
  <si>
    <t>4. €/km kannattavuus</t>
  </si>
  <si>
    <t>Toteutunut €/km, tavoite €/km ja benchmark-status.</t>
  </si>
  <si>
    <t>Reitti / tyyppi</t>
  </si>
  <si>
    <t>Revenue €/km</t>
  </si>
  <si>
    <t>Cost €/km</t>
  </si>
  <si>
    <t>Profit €/km</t>
  </si>
  <si>
    <t>Tavoite €/km</t>
  </si>
  <si>
    <t>Trend</t>
  </si>
  <si>
    <t>Kotimaa pitkä</t>
  </si>
  <si>
    <t>Thermo</t>
  </si>
  <si>
    <t>Manner</t>
  </si>
  <si>
    <t>5. Trailerityypin vaikutus</t>
  </si>
  <si>
    <t>Kalustovalinnan vaikutus kapasiteettiin, lisäkuluihin, CO₂:een ja riskiin.</t>
  </si>
  <si>
    <t>Trailerityyppi</t>
  </si>
  <si>
    <t>Max paino kg</t>
  </si>
  <si>
    <t>Thermo?</t>
  </si>
  <si>
    <t>Sivulastaus?</t>
  </si>
  <si>
    <t>Päivävuokra €</t>
  </si>
  <si>
    <t>Thermolisä €</t>
  </si>
  <si>
    <t>ADR-lisä €</t>
  </si>
  <si>
    <t>CO₂ kg/km</t>
  </si>
  <si>
    <t>Sopivuus</t>
  </si>
  <si>
    <t>Kokonaislisä €</t>
  </si>
  <si>
    <t>Verhotraileri / pressu</t>
  </si>
  <si>
    <t>Sivulastaus</t>
  </si>
  <si>
    <t>Umpikaappi</t>
  </si>
  <si>
    <t>Kuiva tavara</t>
  </si>
  <si>
    <t>Thermo / kylmäkaappi</t>
  </si>
  <si>
    <t>Lämpösäädelty</t>
  </si>
  <si>
    <t>Thermo kylkiäukeava</t>
  </si>
  <si>
    <t>Thermo + sivu</t>
  </si>
  <si>
    <t>Double temp / 2-kone</t>
  </si>
  <si>
    <t>Kaksi lämpötilaa</t>
  </si>
  <si>
    <t>6. CO₂ per kuljetus, lava ja tonni</t>
  </si>
  <si>
    <t>Päästöraportointi asiakkaille: CO₂ yhteensä, CO₂/lava ja CO₂/tonni.</t>
  </si>
  <si>
    <t>Kalusto</t>
  </si>
  <si>
    <t>kg CO₂/km</t>
  </si>
  <si>
    <t>Paino t</t>
  </si>
  <si>
    <t>CO₂/lava</t>
  </si>
  <si>
    <t>CO₂/tonni</t>
  </si>
  <si>
    <t>Asiakasraportti?</t>
  </si>
  <si>
    <t>7. Asiakaskohtainen analyysi</t>
  </si>
  <si>
    <t>Asiakaskohtainen volyymi, myynti, kulut, kate ja palvelutaso.</t>
  </si>
  <si>
    <t>Keikkoja</t>
  </si>
  <si>
    <t>Tavoitekate %</t>
  </si>
  <si>
    <t>Asiakas C</t>
  </si>
  <si>
    <t>8. Reittihistoria</t>
  </si>
  <si>
    <t>Toteutuneet reitit analytiikkaa ja Power BI:tä varten.</t>
  </si>
  <si>
    <t>Poikkeama</t>
  </si>
  <si>
    <t>Vantaa → Tampere</t>
  </si>
  <si>
    <t>Turku → Rauma</t>
  </si>
  <si>
    <t>Pressu</t>
  </si>
  <si>
    <t>Myöhäinen purku</t>
  </si>
  <si>
    <t>Tampere → Pori</t>
  </si>
  <si>
    <t>9. Automaattiset riskivaroitukset</t>
  </si>
  <si>
    <t>Punainen/keltainen/OK-varoitukset ajoajasta, täyttöasteesta, katteesta, tyhjästä ajosta, ETAsta ja kapasiteetista.</t>
  </si>
  <si>
    <t>Ajo varoitus</t>
  </si>
  <si>
    <t>Täyttö varoitus</t>
  </si>
  <si>
    <t>Kate varoitus</t>
  </si>
  <si>
    <t>Empty varoitus</t>
  </si>
  <si>
    <t>Kokonaisstatus</t>
  </si>
  <si>
    <t>Ajoissa</t>
  </si>
  <si>
    <t>Myöhässä</t>
  </si>
  <si>
    <t>10. Kartta- ja Power BI -valmius</t>
  </si>
  <si>
    <t>Reittien karttadata Power BI:n karttavisuaaleihin: lähtö/pääte, koordinaatit, kate ja riskitaso.</t>
  </si>
  <si>
    <t>From</t>
  </si>
  <si>
    <t>To</t>
  </si>
  <si>
    <t>From lat</t>
  </si>
  <si>
    <t>From lon</t>
  </si>
  <si>
    <t>To lat</t>
  </si>
  <si>
    <t>To lon</t>
  </si>
  <si>
    <t>Power BI visual</t>
  </si>
  <si>
    <t>Map / ArcGIS</t>
  </si>
  <si>
    <t>Rauma</t>
  </si>
  <si>
    <t>Hollanti</t>
  </si>
  <si>
    <t>Country-level endpoint</t>
  </si>
  <si>
    <t>Analytiikka 1–10 Dashboard</t>
  </si>
  <si>
    <t>Koonti lisätyistä ETA-, tyhjä ajo-, €/km-, CO₂-, asiakas-, reittihistoria- ja riskimittareista.</t>
  </si>
  <si>
    <t>Lisätyt analytiikkaominaisuudet</t>
  </si>
  <si>
    <t>Ominaisuus</t>
  </si>
  <si>
    <t>ETA-laskenta</t>
  </si>
  <si>
    <t>Laskee ETA:n ja myöhästymisriskin</t>
  </si>
  <si>
    <t>Ajopäivän simulointi</t>
  </si>
  <si>
    <t>Rakentaa kuljettajan päivän aikajanan</t>
  </si>
  <si>
    <t>Tyhjä ajo</t>
  </si>
  <si>
    <t>Seuraa empty km ja empty %</t>
  </si>
  <si>
    <t>€/km KPI</t>
  </si>
  <si>
    <t>Revenue/cost/profit €/km</t>
  </si>
  <si>
    <t>Trailerityypin vaikutus</t>
  </si>
  <si>
    <t>Trailerityyppi vaikutus</t>
  </si>
  <si>
    <t>Kapasiteetti, lisät, CO₂ ja riski</t>
  </si>
  <si>
    <t>CO₂ per lava/tonni</t>
  </si>
  <si>
    <t>CO2 yksikkökohtainen</t>
  </si>
  <si>
    <t>Päästöt asiakkaalle raportoitavina yksikköinä</t>
  </si>
  <si>
    <t>Asiakas-analyysi</t>
  </si>
  <si>
    <t>Asiakas analyysi</t>
  </si>
  <si>
    <t>Asiakaskohtainen kannattavuus ja palvelutaso</t>
  </si>
  <si>
    <t>Reittihistoria</t>
  </si>
  <si>
    <t>Historiadata Power BI:tä varten</t>
  </si>
  <si>
    <t>Riskivaroitukset</t>
  </si>
  <si>
    <t>Automaattiset punainen/keltainen/OK -varoitukset</t>
  </si>
  <si>
    <t>Karttadata</t>
  </si>
  <si>
    <t>PowerBI karttadata</t>
  </si>
  <si>
    <t>Valmis lähdetaulu Power BI Map/ArcGIS-kartalle</t>
  </si>
  <si>
    <t>Myöhässä ETA-rivejä</t>
  </si>
  <si>
    <t>Empty km % keskiarvo</t>
  </si>
  <si>
    <t>&lt;= 15 %</t>
  </si>
  <si>
    <t>Alle tavoite €/km</t>
  </si>
  <si>
    <t>Keskikate asiakas</t>
  </si>
  <si>
    <t>&gt;= tavoite</t>
  </si>
  <si>
    <t>Punaiset riskit</t>
  </si>
  <si>
    <t>Analytiikka 1–10 Testiraportti</t>
  </si>
  <si>
    <t>Tarkistus ETA-, reittihistoria-, tyhjä ajo-, €/km-, CO₂- ja riskisivuille.</t>
  </si>
  <si>
    <t>ETA-status lasketaan</t>
  </si>
  <si>
    <t>ETA toimii</t>
  </si>
  <si>
    <t>Empty % lasketaan</t>
  </si>
  <si>
    <t>Empty % toimii</t>
  </si>
  <si>
    <t>Status lasketaan</t>
  </si>
  <si>
    <t>Hyvä/OK</t>
  </si>
  <si>
    <t>€/km benchmark toimii</t>
  </si>
  <si>
    <t>CO₂</t>
  </si>
  <si>
    <t>CO₂/lava lasketaan</t>
  </si>
  <si>
    <t>luku</t>
  </si>
  <si>
    <t>CO₂ per lava toimii</t>
  </si>
  <si>
    <t>Asiakasstatus lasketaan</t>
  </si>
  <si>
    <t>Asiakaskate toimii</t>
  </si>
  <si>
    <t>Kate % lasketaan</t>
  </si>
  <si>
    <t>Historiadata toimii</t>
  </si>
  <si>
    <t>Punaiset riskit tunnistetaan</t>
  </si>
  <si>
    <t>Riskisäännöt toimivat</t>
  </si>
  <si>
    <t>Koordinaatit olemassa</t>
  </si>
  <si>
    <t>lat/lon</t>
  </si>
  <si>
    <t>Power BI Map -data toimii</t>
  </si>
  <si>
    <t>Reittivaihtoehtojen pisteytys: km, ajoaika, täyttöaste, kate ja riski.</t>
  </si>
  <si>
    <t>Painotettu optimointi</t>
  </si>
  <si>
    <t>Ajoaika</t>
  </si>
  <si>
    <t>Portfolio-huomio</t>
  </si>
  <si>
    <t>Trailer Layout – kuormatilan visualisointi</t>
  </si>
  <si>
    <t>Visuaalinen 33 lavapaikan trailerin kuormatila ja purkujärjestys.</t>
  </si>
  <si>
    <t>Trailerin layout</t>
  </si>
  <si>
    <t>Ovi / perä</t>
  </si>
  <si>
    <t>7</t>
  </si>
  <si>
    <t>8</t>
  </si>
  <si>
    <t>9</t>
  </si>
  <si>
    <t>10</t>
  </si>
  <si>
    <t>11</t>
  </si>
  <si>
    <t>Keula</t>
  </si>
  <si>
    <t>Rivi A</t>
  </si>
  <si>
    <t>A Tampere</t>
  </si>
  <si>
    <t>B Pori</t>
  </si>
  <si>
    <t>A puretaan ensin, B viimeisenä</t>
  </si>
  <si>
    <t>Rivi B</t>
  </si>
  <si>
    <t>Rivi C</t>
  </si>
  <si>
    <t>Kuormalista</t>
  </si>
  <si>
    <t>Yhteenveto</t>
  </si>
  <si>
    <t>Suositellun reitin kuorma</t>
  </si>
  <si>
    <t>85–95 %</t>
  </si>
  <si>
    <t>Purkulogiikka</t>
  </si>
  <si>
    <t>Perä → keula</t>
  </si>
  <si>
    <t>Ensimmäinen purku perään, viimeinen keulaan</t>
  </si>
  <si>
    <t>Power BI KPI Dashboard – Excel-esikatselu</t>
  </si>
  <si>
    <t>Dashboard-näkymä Power BI:tä varten: kannattavuus, tyhjä ajo, ETA, riskit ja kapasiteetti.</t>
  </si>
  <si>
    <t>KPI Cards</t>
  </si>
  <si>
    <t>ETA myöhässä</t>
  </si>
  <si>
    <t>AI score</t>
  </si>
  <si>
    <t>&gt;= 75</t>
  </si>
  <si>
    <t>&gt;= 15 %</t>
  </si>
  <si>
    <t>seuranta</t>
  </si>
  <si>
    <t>Empty km %</t>
  </si>
  <si>
    <t>Reittihistorian keikat</t>
  </si>
  <si>
    <t>data</t>
  </si>
  <si>
    <t>Reitti- ja asiakaskannattavuus</t>
  </si>
  <si>
    <t>Sarake1</t>
  </si>
  <si>
    <t>Sarake2</t>
  </si>
  <si>
    <t>Sarake3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</si>
</sst>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"/>
    <numFmt numFmtId="166" formatCode="dd\.mm\.yyyy"/>
    <numFmt numFmtId="167" formatCode="dd\.mm\.yyyy\ hh:mm"/>
    <numFmt numFmtId="168" formatCode="#,##0\ \€"/>
    <numFmt numFmtId="169" formatCode="#,##0.00\ \€"/>
  </numFmts>
  <fonts count="7">
    <font>
      <sz val="11"/>
      <name val="Carlito"/>
    </font>
    <font>
      <b/>
      <sz val="16"/>
      <color rgb="FFFFFFFF"/>
      <name val="Carlito"/>
    </font>
    <font>
      <i/>
      <sz val="10"/>
      <color rgb="FF666666"/>
      <name val="Carlito"/>
    </font>
    <font>
      <b/>
      <sz val="11"/>
      <color rgb="FFFFFFFF"/>
      <name val="Carlito"/>
    </font>
    <font>
      <b/>
      <sz val="11"/>
      <name val="Carlito"/>
    </font>
    <font>
      <sz val="11"/>
      <color rgb="FF0000FF"/>
      <name val="Carlito"/>
    </font>
    <font>
      <sz val="11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1F8EC"/>
      </patternFill>
    </fill>
    <fill>
      <patternFill patternType="solid">
        <fgColor rgb="FFEAF4FB"/>
      </patternFill>
    </fill>
    <fill>
      <patternFill patternType="solid">
        <fgColor rgb="FFD9EAF7"/>
      </patternFill>
    </fill>
    <fill>
      <patternFill patternType="solid">
        <fgColor rgb="FFF1F8EC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1F8EC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AF4FB"/>
      </patternFill>
    </fill>
    <fill>
      <patternFill patternType="solid">
        <fgColor rgb="FFF1F8E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4FB"/>
      </patternFill>
    </fill>
    <fill>
      <patternFill patternType="solid">
        <fgColor rgb="FFF1F8EC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1F8EC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71">
    <xf numFmtId="0" fontId="0" fillId="0" borderId="0" xfId="0"/>
    <xf numFmtId="0" fontId="4" fillId="4" borderId="0" xfId="1" applyFont="1" applyFill="1" applyAlignment="1">
      <alignment horizontal="center" vertical="center" wrapText="1"/>
    </xf>
    <xf numFmtId="0" fontId="0" fillId="5" borderId="0" xfId="1" applyFont="1" applyFill="1" applyAlignment="1">
      <alignment wrapText="1"/>
    </xf>
    <xf numFmtId="164" fontId="0" fillId="5" borderId="0" xfId="1" applyNumberFormat="1" applyFont="1" applyFill="1" applyAlignment="1">
      <alignment wrapText="1"/>
    </xf>
    <xf numFmtId="2" fontId="0" fillId="5" borderId="0" xfId="1" applyNumberFormat="1" applyFont="1" applyFill="1" applyAlignment="1">
      <alignment wrapText="1"/>
    </xf>
    <xf numFmtId="0" fontId="5" fillId="6" borderId="0" xfId="1" applyFont="1" applyFill="1" applyAlignment="1">
      <alignment wrapText="1"/>
    </xf>
    <xf numFmtId="164" fontId="5" fillId="6" borderId="0" xfId="1" applyNumberFormat="1" applyFont="1" applyFill="1" applyAlignment="1">
      <alignment wrapText="1"/>
    </xf>
    <xf numFmtId="164" fontId="0" fillId="0" borderId="0" xfId="1" applyNumberFormat="1" applyFont="1"/>
    <xf numFmtId="165" fontId="0" fillId="5" borderId="0" xfId="1" applyNumberFormat="1" applyFont="1" applyFill="1" applyAlignment="1">
      <alignment wrapText="1"/>
    </xf>
    <xf numFmtId="0" fontId="0" fillId="0" borderId="0" xfId="1" applyFont="1" applyAlignment="1">
      <alignment wrapText="1"/>
    </xf>
    <xf numFmtId="0" fontId="4" fillId="7" borderId="0" xfId="1" applyFont="1" applyFill="1" applyAlignment="1">
      <alignment horizontal="center" vertical="center" wrapText="1"/>
    </xf>
    <xf numFmtId="0" fontId="0" fillId="8" borderId="0" xfId="1" applyFont="1" applyFill="1" applyAlignment="1">
      <alignment wrapText="1"/>
    </xf>
    <xf numFmtId="0" fontId="5" fillId="8" borderId="0" xfId="1" applyFont="1" applyFill="1" applyAlignment="1">
      <alignment wrapText="1"/>
    </xf>
    <xf numFmtId="1" fontId="5" fillId="8" borderId="0" xfId="1" applyNumberFormat="1" applyFont="1" applyFill="1" applyAlignment="1">
      <alignment wrapText="1"/>
    </xf>
    <xf numFmtId="164" fontId="0" fillId="8" borderId="0" xfId="1" applyNumberFormat="1" applyFont="1" applyFill="1" applyAlignment="1">
      <alignment wrapText="1"/>
    </xf>
    <xf numFmtId="0" fontId="4" fillId="11" borderId="0" xfId="1" applyFont="1" applyFill="1" applyAlignment="1">
      <alignment horizontal="center" vertical="center" wrapText="1"/>
    </xf>
    <xf numFmtId="0" fontId="0" fillId="0" borderId="1" xfId="1" applyFont="1" applyBorder="1" applyAlignment="1">
      <alignment wrapText="1"/>
    </xf>
    <xf numFmtId="0" fontId="0" fillId="12" borderId="0" xfId="1" applyFont="1" applyFill="1" applyAlignment="1">
      <alignment wrapText="1"/>
    </xf>
    <xf numFmtId="0" fontId="0" fillId="12" borderId="1" xfId="1" applyFont="1" applyFill="1" applyBorder="1" applyAlignment="1">
      <alignment wrapText="1"/>
    </xf>
    <xf numFmtId="0" fontId="4" fillId="15" borderId="0" xfId="1" applyFont="1" applyFill="1" applyAlignment="1">
      <alignment horizontal="center" vertical="center" wrapText="1"/>
    </xf>
    <xf numFmtId="0" fontId="5" fillId="16" borderId="0" xfId="1" applyFont="1" applyFill="1" applyAlignment="1">
      <alignment wrapText="1"/>
    </xf>
    <xf numFmtId="0" fontId="0" fillId="17" borderId="0" xfId="1" applyFont="1" applyFill="1" applyAlignment="1">
      <alignment wrapText="1"/>
    </xf>
    <xf numFmtId="164" fontId="0" fillId="17" borderId="0" xfId="1" applyNumberFormat="1" applyFont="1" applyFill="1" applyAlignment="1">
      <alignment wrapText="1"/>
    </xf>
    <xf numFmtId="166" fontId="5" fillId="16" borderId="0" xfId="1" applyNumberFormat="1" applyFont="1" applyFill="1" applyAlignment="1">
      <alignment wrapText="1"/>
    </xf>
    <xf numFmtId="167" fontId="5" fillId="16" borderId="0" xfId="1" applyNumberFormat="1" applyFont="1" applyFill="1" applyAlignment="1">
      <alignment wrapText="1"/>
    </xf>
    <xf numFmtId="167" fontId="0" fillId="17" borderId="0" xfId="1" applyNumberFormat="1" applyFont="1" applyFill="1" applyAlignment="1">
      <alignment wrapText="1"/>
    </xf>
    <xf numFmtId="168" fontId="5" fillId="16" borderId="0" xfId="1" applyNumberFormat="1" applyFont="1" applyFill="1" applyAlignment="1">
      <alignment wrapText="1"/>
    </xf>
    <xf numFmtId="164" fontId="5" fillId="16" borderId="0" xfId="1" applyNumberFormat="1" applyFont="1" applyFill="1" applyAlignment="1">
      <alignment wrapText="1"/>
    </xf>
    <xf numFmtId="168" fontId="0" fillId="17" borderId="0" xfId="1" applyNumberFormat="1" applyFont="1" applyFill="1" applyAlignment="1">
      <alignment wrapText="1"/>
    </xf>
    <xf numFmtId="169" fontId="0" fillId="17" borderId="0" xfId="1" applyNumberFormat="1" applyFont="1" applyFill="1" applyAlignment="1">
      <alignment wrapText="1"/>
    </xf>
    <xf numFmtId="0" fontId="4" fillId="19" borderId="0" xfId="1" applyFont="1" applyFill="1" applyAlignment="1">
      <alignment horizontal="center" vertical="center" wrapText="1"/>
    </xf>
    <xf numFmtId="0" fontId="5" fillId="20" borderId="0" xfId="1" applyFont="1" applyFill="1" applyAlignment="1">
      <alignment wrapText="1"/>
    </xf>
    <xf numFmtId="0" fontId="5" fillId="21" borderId="0" xfId="1" applyFont="1" applyFill="1" applyAlignment="1">
      <alignment wrapText="1"/>
    </xf>
    <xf numFmtId="0" fontId="0" fillId="21" borderId="0" xfId="1" applyFont="1" applyFill="1" applyAlignment="1">
      <alignment wrapText="1"/>
    </xf>
    <xf numFmtId="167" fontId="5" fillId="20" borderId="0" xfId="1" applyNumberFormat="1" applyFont="1" applyFill="1" applyAlignment="1">
      <alignment wrapText="1"/>
    </xf>
    <xf numFmtId="167" fontId="0" fillId="21" borderId="0" xfId="1" applyNumberFormat="1" applyFont="1" applyFill="1" applyAlignment="1">
      <alignment wrapText="1"/>
    </xf>
    <xf numFmtId="167" fontId="5" fillId="21" borderId="0" xfId="1" applyNumberFormat="1" applyFont="1" applyFill="1" applyAlignment="1">
      <alignment wrapText="1"/>
    </xf>
    <xf numFmtId="164" fontId="0" fillId="21" borderId="0" xfId="1" applyNumberFormat="1" applyFont="1" applyFill="1" applyAlignment="1">
      <alignment wrapText="1"/>
    </xf>
    <xf numFmtId="169" fontId="5" fillId="20" borderId="0" xfId="1" applyNumberFormat="1" applyFont="1" applyFill="1" applyAlignment="1">
      <alignment wrapText="1"/>
    </xf>
    <xf numFmtId="169" fontId="0" fillId="21" borderId="0" xfId="1" applyNumberFormat="1" applyFont="1" applyFill="1" applyAlignment="1">
      <alignment wrapText="1"/>
    </xf>
    <xf numFmtId="168" fontId="5" fillId="20" borderId="0" xfId="1" applyNumberFormat="1" applyFont="1" applyFill="1" applyAlignment="1">
      <alignment wrapText="1"/>
    </xf>
    <xf numFmtId="2" fontId="0" fillId="21" borderId="0" xfId="1" applyNumberFormat="1" applyFont="1" applyFill="1" applyAlignment="1">
      <alignment wrapText="1"/>
    </xf>
    <xf numFmtId="2" fontId="5" fillId="20" borderId="0" xfId="1" applyNumberFormat="1" applyFont="1" applyFill="1" applyAlignment="1">
      <alignment wrapText="1"/>
    </xf>
    <xf numFmtId="168" fontId="0" fillId="21" borderId="0" xfId="1" applyNumberFormat="1" applyFont="1" applyFill="1" applyAlignment="1">
      <alignment wrapText="1"/>
    </xf>
    <xf numFmtId="164" fontId="5" fillId="21" borderId="0" xfId="1" applyNumberFormat="1" applyFont="1" applyFill="1" applyAlignment="1">
      <alignment wrapText="1"/>
    </xf>
    <xf numFmtId="166" fontId="5" fillId="20" borderId="0" xfId="1" applyNumberFormat="1" applyFont="1" applyFill="1" applyAlignment="1">
      <alignment wrapText="1"/>
    </xf>
    <xf numFmtId="164" fontId="5" fillId="20" borderId="0" xfId="1" applyNumberFormat="1" applyFont="1" applyFill="1" applyAlignment="1">
      <alignment wrapText="1"/>
    </xf>
    <xf numFmtId="165" fontId="5" fillId="20" borderId="0" xfId="1" applyNumberFormat="1" applyFont="1" applyFill="1" applyAlignment="1">
      <alignment wrapText="1"/>
    </xf>
    <xf numFmtId="0" fontId="4" fillId="25" borderId="0" xfId="1" applyFont="1" applyFill="1" applyAlignment="1">
      <alignment horizontal="center" vertical="center" wrapText="1"/>
    </xf>
    <xf numFmtId="0" fontId="0" fillId="26" borderId="0" xfId="1" applyFont="1" applyFill="1" applyAlignment="1">
      <alignment wrapText="1"/>
    </xf>
    <xf numFmtId="164" fontId="0" fillId="26" borderId="0" xfId="1" applyNumberFormat="1" applyFont="1" applyFill="1" applyAlignment="1">
      <alignment wrapText="1"/>
    </xf>
    <xf numFmtId="165" fontId="0" fillId="26" borderId="0" xfId="1" applyNumberFormat="1" applyFont="1" applyFill="1" applyAlignment="1">
      <alignment wrapText="1"/>
    </xf>
    <xf numFmtId="0" fontId="0" fillId="0" borderId="0" xfId="1" applyFont="1" applyAlignment="1">
      <alignment horizontal="center" vertical="center" wrapText="1"/>
    </xf>
    <xf numFmtId="0" fontId="0" fillId="25" borderId="0" xfId="1" applyFont="1" applyFill="1" applyAlignment="1">
      <alignment horizontal="center" vertical="center" wrapText="1"/>
    </xf>
    <xf numFmtId="0" fontId="0" fillId="27" borderId="0" xfId="1" applyFont="1" applyFill="1" applyAlignment="1">
      <alignment horizontal="center" vertical="center" wrapText="1"/>
    </xf>
    <xf numFmtId="0" fontId="4" fillId="28" borderId="0" xfId="1" applyFont="1" applyFill="1" applyAlignment="1">
      <alignment horizontal="center" vertical="center" wrapText="1"/>
    </xf>
    <xf numFmtId="1" fontId="0" fillId="26" borderId="0" xfId="1" applyNumberFormat="1" applyFont="1" applyFill="1" applyAlignment="1">
      <alignment wrapText="1"/>
    </xf>
    <xf numFmtId="168" fontId="0" fillId="26" borderId="0" xfId="1" applyNumberFormat="1" applyFont="1" applyFill="1" applyAlignment="1">
      <alignment wrapText="1"/>
    </xf>
    <xf numFmtId="0" fontId="1" fillId="2" borderId="0" xfId="1" applyFont="1" applyFill="1" applyAlignment="1">
      <alignment horizontal="left" vertical="center" wrapText="1"/>
    </xf>
    <xf numFmtId="0" fontId="0" fillId="0" borderId="0" xfId="1" applyFont="1" applyAlignment="1">
      <alignment wrapText="1"/>
    </xf>
    <xf numFmtId="0" fontId="2" fillId="0" borderId="0" xfId="1" applyFont="1" applyAlignment="1">
      <alignment wrapText="1"/>
    </xf>
    <xf numFmtId="0" fontId="0" fillId="0" borderId="0" xfId="0"/>
    <xf numFmtId="0" fontId="3" fillId="3" borderId="0" xfId="1" applyFont="1" applyFill="1" applyAlignment="1">
      <alignment horizontal="left" vertical="center"/>
    </xf>
    <xf numFmtId="0" fontId="3" fillId="9" borderId="0" xfId="1" applyFont="1" applyFill="1" applyAlignment="1">
      <alignment horizontal="left" vertical="center"/>
    </xf>
    <xf numFmtId="0" fontId="1" fillId="10" borderId="0" xfId="1" applyFont="1" applyFill="1" applyAlignment="1">
      <alignment horizontal="left" vertical="center" wrapText="1"/>
    </xf>
    <xf numFmtId="0" fontId="1" fillId="13" borderId="0" xfId="1" applyFont="1" applyFill="1" applyAlignment="1">
      <alignment horizontal="left" vertical="center" wrapText="1"/>
    </xf>
    <xf numFmtId="0" fontId="3" fillId="14" borderId="0" xfId="1" applyFont="1" applyFill="1" applyAlignment="1">
      <alignment horizontal="left" vertical="center"/>
    </xf>
    <xf numFmtId="0" fontId="1" fillId="18" borderId="0" xfId="1" applyFont="1" applyFill="1" applyAlignment="1">
      <alignment horizontal="left" vertical="center" wrapText="1"/>
    </xf>
    <xf numFmtId="0" fontId="3" fillId="22" borderId="0" xfId="1" applyFont="1" applyFill="1" applyAlignment="1">
      <alignment horizontal="left" vertical="center"/>
    </xf>
    <xf numFmtId="0" fontId="1" fillId="23" borderId="0" xfId="1" applyFont="1" applyFill="1" applyAlignment="1">
      <alignment horizontal="left" vertical="center" wrapText="1"/>
    </xf>
    <xf numFmtId="0" fontId="3" fillId="24" borderId="0" xfId="1" applyFont="1" applyFill="1" applyAlignment="1">
      <alignment horizontal="left" vertical="center"/>
    </xf>
  </cellXfs>
  <cellStyles count="2">
    <cellStyle name="Normaali" xfId="0" builtinId="0"/>
    <cellStyle name="Normal" xfId="1" xr:uid="{00000000-0005-0000-0000-000000000000}"/>
  </cellStyles>
  <dxfs count="15"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ont>
        <b/>
      </font>
      <fill>
        <patternFill patternType="solid"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ont>
        <b/>
      </font>
      <fill>
        <patternFill>
          <bgColor rgb="FFE2F0D9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17/10/relationships/person" Target="persons/perso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CA16-4BAE-B89D-4BD8F5BE5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71D3-4AE2-8B85-6F8A0A347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Arvo</c:v>
          </c:tx>
          <c:invertIfNegative val="1"/>
          <c:cat>
            <c:strRef>
              <c:f>'TMS Dashboard'!$A$20:$A$24</c:f>
              <c:strCache>
                <c:ptCount val="5"/>
                <c:pt idx="0">
                  <c:v>Avoimet tilaukset</c:v>
                </c:pt>
                <c:pt idx="1">
                  <c:v>Korkeat poikkeamat</c:v>
                </c:pt>
                <c:pt idx="2">
                  <c:v>Kapasiteetin käyttöaste</c:v>
                </c:pt>
                <c:pt idx="3">
                  <c:v>Paras carrier score</c:v>
                </c:pt>
                <c:pt idx="4">
                  <c:v>Paras verkostovaihtoehto</c:v>
                </c:pt>
              </c:strCache>
            </c:strRef>
          </c:cat>
          <c:val>
            <c:numRef>
              <c:f>'TMS Dashboard'!$B$20:$B$24</c:f>
              <c:numCache>
                <c:formatCode>General</c:formatCode>
                <c:ptCount val="5"/>
                <c:pt idx="0">
                  <c:v>4</c:v>
                </c:pt>
                <c:pt idx="1">
                  <c:v>1</c:v>
                </c:pt>
                <c:pt idx="2" formatCode="0.0%">
                  <c:v>1.0107142857142857</c:v>
                </c:pt>
                <c:pt idx="3">
                  <c:v>94.325000334821368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9-4BA2-B3CA-11213319E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6DB-4D0B-A176-F6D4093A8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28C1-49EE-A6A6-86E42D9F2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74C5-4910-A77E-AFAE84EEC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236F-4B3F-9EE9-FF11A3025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</xdr:row>
      <xdr:rowOff>0</xdr:rowOff>
    </xdr:from>
    <xdr:to>
      <xdr:col>24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21</xdr:row>
      <xdr:rowOff>0</xdr:rowOff>
    </xdr:from>
    <xdr:to>
      <xdr:col>24</xdr:col>
      <xdr:colOff>0</xdr:colOff>
      <xdr:row>40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0</xdr:rowOff>
    </xdr:from>
    <xdr:to>
      <xdr:col>8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22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2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ahetyksetTable" displayName="LahetyksetTable" ref="A4:K20">
  <tableColumns count="11">
    <tableColumn id="1" xr3:uid="{00000000-0010-0000-0000-000001000000}" name="Lähetys"/>
    <tableColumn id="2" xr3:uid="{00000000-0010-0000-0000-000002000000}" name="Nouto"/>
    <tableColumn id="3" xr3:uid="{00000000-0010-0000-0000-000003000000}" name="Toimitus"/>
    <tableColumn id="4" xr3:uid="{00000000-0010-0000-0000-000004000000}" name="Lavapaikat"/>
    <tableColumn id="5" xr3:uid="{00000000-0010-0000-0000-000005000000}" name="Paino kg"/>
    <tableColumn id="6" xr3:uid="{00000000-0010-0000-0000-000006000000}" name="Lämpö min"/>
    <tableColumn id="7" xr3:uid="{00000000-0010-0000-0000-000007000000}" name="Lämpö max"/>
    <tableColumn id="8" xr3:uid="{00000000-0010-0000-0000-000008000000}" name="ADR?"/>
    <tableColumn id="9" xr3:uid="{00000000-0010-0000-0000-000009000000}" name="Deadline"/>
    <tableColumn id="10" xr3:uid="{00000000-0010-0000-0000-00000A000000}" name="Pakollinen?"/>
    <tableColumn id="11" xr3:uid="{00000000-0010-0000-0000-00000B000000}" name="Huom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ittivaihtoehdotTable" displayName="ReittivaihtoehdotTable" ref="A4:L30">
  <tableColumns count="12">
    <tableColumn id="1" xr3:uid="{00000000-0010-0000-0100-000001000000}" name="Vaihtoehto"/>
    <tableColumn id="2" xr3:uid="{00000000-0010-0000-0100-000002000000}" name="Reitti"/>
    <tableColumn id="3" xr3:uid="{00000000-0010-0000-0100-000003000000}" name="Km"/>
    <tableColumn id="4" xr3:uid="{00000000-0010-0000-0100-000004000000}" name="Ajoaika h"/>
    <tableColumn id="5" xr3:uid="{00000000-0010-0000-0100-000005000000}" name="Työaika h"/>
    <tableColumn id="6" xr3:uid="{00000000-0010-0000-0100-000006000000}" name="Tauko min"/>
    <tableColumn id="7" xr3:uid="{00000000-0010-0000-0100-000007000000}" name="Lavapaikat"/>
    <tableColumn id="8" xr3:uid="{00000000-0010-0000-0100-000008000000}" name="Max lavapaikat"/>
    <tableColumn id="9" xr3:uid="{00000000-0010-0000-0100-000009000000}" name="Kate %"/>
    <tableColumn id="10" xr3:uid="{00000000-0010-0000-0100-00000A000000}" name="Riskipisteet"/>
    <tableColumn id="11" xr3:uid="{00000000-0010-0000-0100-00000B000000}" name="Sisältää lähetykset"/>
    <tableColumn id="12" xr3:uid="{00000000-0010-0000-0100-00000C000000}" name="Huom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ainotuksetTable" displayName="PainotuksetTable" ref="A4:H10">
  <tableColumns count="8">
    <tableColumn id="1" xr3:uid="{00000000-0010-0000-0200-000001000000}" name="Tekijä"/>
    <tableColumn id="2" xr3:uid="{00000000-0010-0000-0200-000002000000}" name="Paino"/>
    <tableColumn id="3" xr3:uid="{00000000-0010-0000-0200-000003000000}" name="Selitys"/>
    <tableColumn id="4" xr3:uid="{00000000-0010-0000-0200-000004000000}" name="Minimi / tavoite"/>
    <tableColumn id="5" xr3:uid="{00000000-0010-0000-0200-000005000000}" name="Maksimi / raja"/>
    <tableColumn id="6" xr3:uid="{00000000-0010-0000-0200-000006000000}" name="Sarake1"/>
    <tableColumn id="7" xr3:uid="{00000000-0010-0000-0200-000007000000}" name="Sarake2"/>
    <tableColumn id="8" xr3:uid="{00000000-0010-0000-0200-000008000000}" name="Sarake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ptimointiTable" displayName="OptimointiTable" ref="A4:N14">
  <tableColumns count="14">
    <tableColumn id="1" xr3:uid="{00000000-0010-0000-0300-000001000000}" name="Vaihtoehto"/>
    <tableColumn id="2" xr3:uid="{00000000-0010-0000-0300-000002000000}" name="Reitti"/>
    <tableColumn id="3" xr3:uid="{00000000-0010-0000-0300-000003000000}" name="Km"/>
    <tableColumn id="4" xr3:uid="{00000000-0010-0000-0300-000004000000}" name="Ajoaika h"/>
    <tableColumn id="5" xr3:uid="{00000000-0010-0000-0300-000005000000}" name="Täyttöaste"/>
    <tableColumn id="6" xr3:uid="{00000000-0010-0000-0300-000006000000}" name="Kate %"/>
    <tableColumn id="7" xr3:uid="{00000000-0010-0000-0300-000007000000}" name="Riskipisteet"/>
    <tableColumn id="8" xr3:uid="{00000000-0010-0000-0300-000008000000}" name="Km-score"/>
    <tableColumn id="9" xr3:uid="{00000000-0010-0000-0300-000009000000}" name="Aika-score"/>
    <tableColumn id="10" xr3:uid="{00000000-0010-0000-0300-00000A000000}" name="Täyttö-score"/>
    <tableColumn id="11" xr3:uid="{00000000-0010-0000-0300-00000B000000}" name="Kate-score"/>
    <tableColumn id="12" xr3:uid="{00000000-0010-0000-0300-00000C000000}" name="Riski-score"/>
    <tableColumn id="13" xr3:uid="{00000000-0010-0000-0300-00000D000000}" name="Kokonaispiste"/>
    <tableColumn id="14" xr3:uid="{00000000-0010-0000-0300-00000E000000}" name="Päätö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KuormaoptimointiTable" displayName="KuormaoptimointiTable" ref="A4:L14">
  <tableColumns count="12">
    <tableColumn id="1" xr3:uid="{00000000-0010-0000-0400-000001000000}" name="Lähetys"/>
    <tableColumn id="2" xr3:uid="{00000000-0010-0000-0400-000002000000}" name="Toimitus"/>
    <tableColumn id="3" xr3:uid="{00000000-0010-0000-0400-000003000000}" name="Lavapaikat"/>
    <tableColumn id="4" xr3:uid="{00000000-0010-0000-0400-000004000000}" name="Paino kg"/>
    <tableColumn id="5" xr3:uid="{00000000-0010-0000-0400-000005000000}" name="Lämpö min"/>
    <tableColumn id="6" xr3:uid="{00000000-0010-0000-0400-000006000000}" name="Lämpö max"/>
    <tableColumn id="7" xr3:uid="{00000000-0010-0000-0400-000007000000}" name="ADR?"/>
    <tableColumn id="8" xr3:uid="{00000000-0010-0000-0400-000008000000}" name="Purkujärjestys"/>
    <tableColumn id="9" xr3:uid="{00000000-0010-0000-0400-000009000000}" name="Sijoitus"/>
    <tableColumn id="10" xr3:uid="{00000000-0010-0000-0400-00000A000000}" name="Sopii kuormaan?"/>
    <tableColumn id="11" xr3:uid="{00000000-0010-0000-0400-00000B000000}" name="Riski"/>
    <tableColumn id="12" xr3:uid="{00000000-0010-0000-0400-00000C000000}" name="Huomi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MSOrders" displayName="TMSOrders" ref="A4:N40">
  <tableColumns count="14">
    <tableColumn id="1" xr3:uid="{00000000-0010-0000-0500-000001000000}" name="Order ID"/>
    <tableColumn id="2" xr3:uid="{00000000-0010-0000-0500-000002000000}" name="Päivä"/>
    <tableColumn id="3" xr3:uid="{00000000-0010-0000-0500-000003000000}" name="Asiakas"/>
    <tableColumn id="4" xr3:uid="{00000000-0010-0000-0500-000004000000}" name="Nouto"/>
    <tableColumn id="5" xr3:uid="{00000000-0010-0000-0500-000005000000}" name="Toimitus"/>
    <tableColumn id="6" xr3:uid="{00000000-0010-0000-0500-000006000000}" name="Lavapaikat"/>
    <tableColumn id="7" xr3:uid="{00000000-0010-0000-0500-000007000000}" name="Paino kg"/>
    <tableColumn id="8" xr3:uid="{00000000-0010-0000-0500-000008000000}" name="Status"/>
    <tableColumn id="9" xr3:uid="{00000000-0010-0000-0500-000009000000}" name="Reitti ID"/>
    <tableColumn id="10" xr3:uid="{00000000-0010-0000-0500-00000A000000}" name="Carrier"/>
    <tableColumn id="11" xr3:uid="{00000000-0010-0000-0500-00000B000000}" name="ETA"/>
    <tableColumn id="12" xr3:uid="{00000000-0010-0000-0500-00000C000000}" name="Toteuma"/>
    <tableColumn id="13" xr3:uid="{00000000-0010-0000-0500-00000D000000}" name="Seuraava toimenpide"/>
    <tableColumn id="14" xr3:uid="{00000000-0010-0000-0500-00000E000000}" name="Huomi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MSConsolidation" displayName="TMSConsolidation" ref="A4:N21">
  <tableColumns count="14">
    <tableColumn id="1" xr3:uid="{00000000-0010-0000-0600-000001000000}" name="Plan ID"/>
    <tableColumn id="2" xr3:uid="{00000000-0010-0000-0600-000002000000}" name="Orderit"/>
    <tableColumn id="3" xr3:uid="{00000000-0010-0000-0600-000003000000}" name="Lähtö"/>
    <tableColumn id="4" xr3:uid="{00000000-0010-0000-0600-000004000000}" name="Pääte"/>
    <tableColumn id="5" xr3:uid="{00000000-0010-0000-0600-000005000000}" name="Välipisteet"/>
    <tableColumn id="6" xr3:uid="{00000000-0010-0000-0600-000006000000}" name="Lavapaikat"/>
    <tableColumn id="7" xr3:uid="{00000000-0010-0000-0600-000007000000}" name="Max lavat"/>
    <tableColumn id="8" xr3:uid="{00000000-0010-0000-0600-000008000000}" name="Täyttö %"/>
    <tableColumn id="9" xr3:uid="{00000000-0010-0000-0600-000009000000}" name="Km yhteensä"/>
    <tableColumn id="10" xr3:uid="{00000000-0010-0000-0600-00000A000000}" name="Km säästö"/>
    <tableColumn id="11" xr3:uid="{00000000-0010-0000-0600-00000B000000}" name="Aikasäästö h"/>
    <tableColumn id="12" xr3:uid="{00000000-0010-0000-0600-00000C000000}" name="Consolidation score"/>
    <tableColumn id="13" xr3:uid="{00000000-0010-0000-0600-00000D000000}" name="Päätös"/>
    <tableColumn id="14" xr3:uid="{00000000-0010-0000-0600-00000E000000}" name="Huomi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MSDynamicRouting" displayName="TMSDynamicRouting" ref="A4:N21">
  <tableColumns count="14">
    <tableColumn id="1" xr3:uid="{00000000-0010-0000-0700-000001000000}" name="Route ID"/>
    <tableColumn id="2" xr3:uid="{00000000-0010-0000-0700-000002000000}" name="Reitti"/>
    <tableColumn id="3" xr3:uid="{00000000-0010-0000-0700-000003000000}" name="Ajoaika h"/>
    <tableColumn id="4" xr3:uid="{00000000-0010-0000-0700-000004000000}" name="Lähtöaika"/>
    <tableColumn id="5" xr3:uid="{00000000-0010-0000-0700-000005000000}" name="Ruuhka min"/>
    <tableColumn id="6" xr3:uid="{00000000-0010-0000-0700-000006000000}" name="Sää min"/>
    <tableColumn id="7" xr3:uid="{00000000-0010-0000-0700-000007000000}" name="Satama min"/>
    <tableColumn id="8" xr3:uid="{00000000-0010-0000-0700-000008000000}" name="Asiakasviive min"/>
    <tableColumn id="9" xr3:uid="{00000000-0010-0000-0700-000009000000}" name="Kokonaisviive min"/>
    <tableColumn id="10" xr3:uid="{00000000-0010-0000-0700-00000A000000}" name="ETA alkuperäinen"/>
    <tableColumn id="11" xr3:uid="{00000000-0010-0000-0700-00000B000000}" name="ETA uusi"/>
    <tableColumn id="12" xr3:uid="{00000000-0010-0000-0700-00000C000000}" name="ETA riskitaso"/>
    <tableColumn id="13" xr3:uid="{00000000-0010-0000-0700-00000D000000}" name="Suositus"/>
    <tableColumn id="14" xr3:uid="{00000000-0010-0000-0700-00000E000000}" name="Huom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MSCarrierSelection" displayName="TMSCarrierSelection" ref="A4:N21">
  <tableColumns count="14">
    <tableColumn id="1" xr3:uid="{00000000-0010-0000-0800-000001000000}" name="Carrier"/>
    <tableColumn id="2" xr3:uid="{00000000-0010-0000-0800-000002000000}" name="Reitti"/>
    <tableColumn id="3" xr3:uid="{00000000-0010-0000-0800-000003000000}" name="Hinta €"/>
    <tableColumn id="4" xr3:uid="{00000000-0010-0000-0800-000004000000}" name="Kapasiteetti?"/>
    <tableColumn id="5" xr3:uid="{00000000-0010-0000-0800-000005000000}" name="On-time %"/>
    <tableColumn id="6" xr3:uid="{00000000-0010-0000-0800-000006000000}" name="Laatu score"/>
    <tableColumn id="7" xr3:uid="{00000000-0010-0000-0800-000007000000}" name="CO₂ score"/>
    <tableColumn id="8" xr3:uid="{00000000-0010-0000-0800-000008000000}" name="Riski"/>
    <tableColumn id="9" xr3:uid="{00000000-0010-0000-0800-000009000000}" name="Hinta score"/>
    <tableColumn id="10" xr3:uid="{00000000-0010-0000-0800-00000A000000}" name="Kapasiteetti score"/>
    <tableColumn id="11" xr3:uid="{00000000-0010-0000-0800-00000B000000}" name="Kokonais score"/>
    <tableColumn id="12" xr3:uid="{00000000-0010-0000-0800-00000C000000}" name="Valinta"/>
    <tableColumn id="13" xr3:uid="{00000000-0010-0000-0800-00000D000000}" name="Perustelu"/>
    <tableColumn id="14" xr3:uid="{00000000-0010-0000-0800-00000E000000}" name="Huomi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MSCostPerOrder" displayName="TMSCostPerOrder" ref="A4:N41">
  <tableColumns count="14">
    <tableColumn id="1" xr3:uid="{00000000-0010-0000-0900-000001000000}" name="Order ID"/>
    <tableColumn id="2" xr3:uid="{00000000-0010-0000-0900-000002000000}" name="Reitti ID"/>
    <tableColumn id="3" xr3:uid="{00000000-0010-0000-0900-000003000000}" name="Asiakas"/>
    <tableColumn id="4" xr3:uid="{00000000-0010-0000-0900-000004000000}" name="Lavapaikat"/>
    <tableColumn id="5" xr3:uid="{00000000-0010-0000-0900-000005000000}" name="Km"/>
    <tableColumn id="6" xr3:uid="{00000000-0010-0000-0900-000006000000}" name="Myynti €"/>
    <tableColumn id="7" xr3:uid="{00000000-0010-0000-0900-000007000000}" name="Kuljetuskulu €"/>
    <tableColumn id="8" xr3:uid="{00000000-0010-0000-0900-000008000000}" name="Osuus lavapaikoista"/>
    <tableColumn id="9" xr3:uid="{00000000-0010-0000-0900-000009000000}" name="Allocated cost €"/>
    <tableColumn id="10" xr3:uid="{00000000-0010-0000-0900-00000A000000}" name="Kate €"/>
    <tableColumn id="11" xr3:uid="{00000000-0010-0000-0900-00000B000000}" name="Kate %"/>
    <tableColumn id="12" xr3:uid="{00000000-0010-0000-0900-00000C000000}" name="€/km"/>
    <tableColumn id="13" xr3:uid="{00000000-0010-0000-0900-00000D000000}" name="Status"/>
    <tableColumn id="14" xr3:uid="{00000000-0010-0000-0900-00000E000000}" name="Huomi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MSTracking" displayName="TMSTracking" ref="A4:N41">
  <tableColumns count="14">
    <tableColumn id="1" xr3:uid="{00000000-0010-0000-0A00-000001000000}" name="Shipment"/>
    <tableColumn id="2" xr3:uid="{00000000-0010-0000-0A00-000002000000}" name="Reitti"/>
    <tableColumn id="3" xr3:uid="{00000000-0010-0000-0A00-000003000000}" name="Status"/>
    <tableColumn id="4" xr3:uid="{00000000-0010-0000-0A00-000004000000}" name="Lähtö"/>
    <tableColumn id="5" xr3:uid="{00000000-0010-0000-0A00-000005000000}" name="ETA suunniteltu"/>
    <tableColumn id="6" xr3:uid="{00000000-0010-0000-0A00-000006000000}" name="ETA nykyinen"/>
    <tableColumn id="7" xr3:uid="{00000000-0010-0000-0A00-000007000000}" name="Deadline"/>
    <tableColumn id="8" xr3:uid="{00000000-0010-0000-0A00-000008000000}" name="Viive min"/>
    <tableColumn id="9" xr3:uid="{00000000-0010-0000-0A00-000009000000}" name="On-time?"/>
    <tableColumn id="10" xr3:uid="{00000000-0010-0000-0A00-00000A000000}" name="GPS / sijainti"/>
    <tableColumn id="11" xr3:uid="{00000000-0010-0000-0A00-00000B000000}" name="Seuraava stop"/>
    <tableColumn id="12" xr3:uid="{00000000-0010-0000-0A00-00000C000000}" name="Poikkeama?"/>
    <tableColumn id="13" xr3:uid="{00000000-0010-0000-0A00-00000D000000}" name="Toimenpide"/>
    <tableColumn id="14" xr3:uid="{00000000-0010-0000-0A00-00000E000000}" name="Huomio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MSExceptions" displayName="TMSExceptions" ref="A4:N41">
  <tableColumns count="14">
    <tableColumn id="1" xr3:uid="{00000000-0010-0000-0B00-000001000000}" name="Exception ID"/>
    <tableColumn id="2" xr3:uid="{00000000-0010-0000-0B00-000002000000}" name="Shipment"/>
    <tableColumn id="3" xr3:uid="{00000000-0010-0000-0B00-000003000000}" name="Aika"/>
    <tableColumn id="4" xr3:uid="{00000000-0010-0000-0B00-000004000000}" name="Tyyppi"/>
    <tableColumn id="5" xr3:uid="{00000000-0010-0000-0B00-000005000000}" name="Syy"/>
    <tableColumn id="6" xr3:uid="{00000000-0010-0000-0B00-000006000000}" name="Vakavuus"/>
    <tableColumn id="7" xr3:uid="{00000000-0010-0000-0B00-000007000000}" name="Viive min"/>
    <tableColumn id="8" xr3:uid="{00000000-0010-0000-0B00-000008000000}" name="Kustannus €"/>
    <tableColumn id="9" xr3:uid="{00000000-0010-0000-0B00-000009000000}" name="Asiakasvaikutus"/>
    <tableColumn id="10" xr3:uid="{00000000-0010-0000-0B00-00000A000000}" name="Toimenpide"/>
    <tableColumn id="11" xr3:uid="{00000000-0010-0000-0B00-00000B000000}" name="Owner"/>
    <tableColumn id="12" xr3:uid="{00000000-0010-0000-0B00-00000C000000}" name="Status"/>
    <tableColumn id="13" xr3:uid="{00000000-0010-0000-0B00-00000D000000}" name="SLA riski"/>
    <tableColumn id="14" xr3:uid="{00000000-0010-0000-0B00-00000E000000}" name="Huomi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MSTendering" displayName="TMSTendering" ref="A4:N41">
  <tableColumns count="14">
    <tableColumn id="1" xr3:uid="{00000000-0010-0000-0C00-000001000000}" name="Tender ID"/>
    <tableColumn id="2" xr3:uid="{00000000-0010-0000-0C00-000002000000}" name="Reitti"/>
    <tableColumn id="3" xr3:uid="{00000000-0010-0000-0C00-000003000000}" name="Carrier"/>
    <tableColumn id="4" xr3:uid="{00000000-0010-0000-0C00-000004000000}" name="Tarjous €"/>
    <tableColumn id="5" xr3:uid="{00000000-0010-0000-0C00-000005000000}" name="Vastaus"/>
    <tableColumn id="6" xr3:uid="{00000000-0010-0000-0C00-000006000000}" name="Kapasiteetti?"/>
    <tableColumn id="7" xr3:uid="{00000000-0010-0000-0C00-000007000000}" name="On-time %"/>
    <tableColumn id="8" xr3:uid="{00000000-0010-0000-0C00-000008000000}" name="Laatu"/>
    <tableColumn id="9" xr3:uid="{00000000-0010-0000-0C00-000009000000}" name="CO₂ score"/>
    <tableColumn id="10" xr3:uid="{00000000-0010-0000-0C00-00000A000000}" name="Hinta score"/>
    <tableColumn id="11" xr3:uid="{00000000-0010-0000-0C00-00000B000000}" name="Kokonais score"/>
    <tableColumn id="12" xr3:uid="{00000000-0010-0000-0C00-00000C000000}" name="Voittaja"/>
    <tableColumn id="13" xr3:uid="{00000000-0010-0000-0C00-00000D000000}" name="Perustelu"/>
    <tableColumn id="14" xr3:uid="{00000000-0010-0000-0C00-00000E000000}" name="Huomi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MSCapacity" displayName="TMSCapacity" ref="A4:N41">
  <tableColumns count="14">
    <tableColumn id="1" xr3:uid="{00000000-0010-0000-0D00-000001000000}" name="Päivä"/>
    <tableColumn id="2" xr3:uid="{00000000-0010-0000-0D00-000002000000}" name="Alue"/>
    <tableColumn id="3" xr3:uid="{00000000-0010-0000-0D00-000003000000}" name="Tilauksia"/>
    <tableColumn id="4" xr3:uid="{00000000-0010-0000-0D00-000004000000}" name="Trailerit saatavilla"/>
    <tableColumn id="5" xr3:uid="{00000000-0010-0000-0D00-000005000000}" name="Trailerit tarvitaan"/>
    <tableColumn id="6" xr3:uid="{00000000-0010-0000-0D00-000006000000}" name="Kuljettajat saatavilla"/>
    <tableColumn id="7" xr3:uid="{00000000-0010-0000-0D00-000007000000}" name="Kuljettajat tarvitaan"/>
    <tableColumn id="8" xr3:uid="{00000000-0010-0000-0D00-000008000000}" name="Käyttöaste"/>
    <tableColumn id="9" xr3:uid="{00000000-0010-0000-0D00-000009000000}" name="Vajaus trailerit"/>
    <tableColumn id="10" xr3:uid="{00000000-0010-0000-0D00-00000A000000}" name="Vajaus kuljettajat"/>
    <tableColumn id="11" xr3:uid="{00000000-0010-0000-0D00-00000B000000}" name="Status"/>
    <tableColumn id="12" xr3:uid="{00000000-0010-0000-0D00-00000C000000}" name="Toimenpide"/>
    <tableColumn id="13" xr3:uid="{00000000-0010-0000-0D00-00000D000000}" name="Owner"/>
    <tableColumn id="14" xr3:uid="{00000000-0010-0000-0D00-00000E000000}" name="Huomi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MSNetwork" displayName="TMSNetwork" ref="A4:N21">
  <tableColumns count="14">
    <tableColumn id="1" xr3:uid="{00000000-0010-0000-0E00-000001000000}" name="Vaihtoehto"/>
    <tableColumn id="2" xr3:uid="{00000000-0010-0000-0E00-000002000000}" name="Hub 1"/>
    <tableColumn id="3" xr3:uid="{00000000-0010-0000-0E00-000003000000}" name="Hub 2"/>
    <tableColumn id="4" xr3:uid="{00000000-0010-0000-0E00-000004000000}" name="Km"/>
    <tableColumn id="5" xr3:uid="{00000000-0010-0000-0E00-000005000000}" name="Ajoaika h"/>
    <tableColumn id="6" xr3:uid="{00000000-0010-0000-0E00-000006000000}" name="Kustannus €"/>
    <tableColumn id="7" xr3:uid="{00000000-0010-0000-0E00-000007000000}" name="CO₂ kg"/>
    <tableColumn id="8" xr3:uid="{00000000-0010-0000-0E00-000008000000}" name="Riski"/>
    <tableColumn id="9" xr3:uid="{00000000-0010-0000-0E00-000009000000}" name="Network score"/>
    <tableColumn id="10" xr3:uid="{00000000-0010-0000-0E00-00000A000000}" name="Päätös"/>
    <tableColumn id="11" xr3:uid="{00000000-0010-0000-0E00-00000B000000}" name="Km score"/>
    <tableColumn id="12" xr3:uid="{00000000-0010-0000-0E00-00000C000000}" name="Cost score"/>
    <tableColumn id="13" xr3:uid="{00000000-0010-0000-0E00-00000D000000}" name="CO₂ score"/>
    <tableColumn id="14" xr3:uid="{00000000-0010-0000-0E00-00000E000000}" name="Huomi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TAData" displayName="ETAData" ref="A4:N41">
  <tableColumns count="14">
    <tableColumn id="1" xr3:uid="{00000000-0010-0000-0F00-000001000000}" name="Keikka"/>
    <tableColumn id="2" xr3:uid="{00000000-0010-0000-0F00-000002000000}" name="Reitti"/>
    <tableColumn id="3" xr3:uid="{00000000-0010-0000-0F00-000003000000}" name="Lähtöaika"/>
    <tableColumn id="4" xr3:uid="{00000000-0010-0000-0F00-000004000000}" name="Ajoaika h"/>
    <tableColumn id="5" xr3:uid="{00000000-0010-0000-0F00-000005000000}" name="Tauko min"/>
    <tableColumn id="6" xr3:uid="{00000000-0010-0000-0F00-000006000000}" name="Lastaus min"/>
    <tableColumn id="7" xr3:uid="{00000000-0010-0000-0F00-000007000000}" name="Purku min"/>
    <tableColumn id="8" xr3:uid="{00000000-0010-0000-0F00-000008000000}" name="Viive min"/>
    <tableColumn id="9" xr3:uid="{00000000-0010-0000-0F00-000009000000}" name="ETA suunniteltu"/>
    <tableColumn id="10" xr3:uid="{00000000-0010-0000-0F00-00000A000000}" name="Deadline"/>
    <tableColumn id="11" xr3:uid="{00000000-0010-0000-0F00-00000B000000}" name="ETA status"/>
    <tableColumn id="12" xr3:uid="{00000000-0010-0000-0F00-00000C000000}" name="Myöhässä min"/>
    <tableColumn id="13" xr3:uid="{00000000-0010-0000-0F00-00000D000000}" name="Riskitaso"/>
    <tableColumn id="14" xr3:uid="{00000000-0010-0000-0F00-00000E000000}" name="Huomi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AjopaivaSimulointi" displayName="AjopaivaSimulointi" ref="A4:N41">
  <tableColumns count="14">
    <tableColumn id="1" xr3:uid="{00000000-0010-0000-1000-000001000000}" name="Tapahtuma"/>
    <tableColumn id="2" xr3:uid="{00000000-0010-0000-1000-000002000000}" name="Tyyppi"/>
    <tableColumn id="3" xr3:uid="{00000000-0010-0000-1000-000003000000}" name="Kesto min"/>
    <tableColumn id="4" xr3:uid="{00000000-0010-0000-1000-000004000000}" name="Alku"/>
    <tableColumn id="5" xr3:uid="{00000000-0010-0000-1000-000005000000}" name="Loppu"/>
    <tableColumn id="6" xr3:uid="{00000000-0010-0000-1000-000006000000}" name="Ajoaika h"/>
    <tableColumn id="7" xr3:uid="{00000000-0010-0000-1000-000007000000}" name="Työaika h"/>
    <tableColumn id="8" xr3:uid="{00000000-0010-0000-1000-000008000000}" name="Tauko h"/>
    <tableColumn id="9" xr3:uid="{00000000-0010-0000-1000-000009000000}" name="Kumul. ajo h"/>
    <tableColumn id="10" xr3:uid="{00000000-0010-0000-1000-00000A000000}" name="Kumul. työ h"/>
    <tableColumn id="11" xr3:uid="{00000000-0010-0000-1000-00000B000000}" name="Tauko tarvitaan?"/>
    <tableColumn id="12" xr3:uid="{00000000-0010-0000-1000-00000C000000}" name="Ajo-/työstatus"/>
    <tableColumn id="13" xr3:uid="{00000000-0010-0000-1000-00000D000000}" name="Paikka"/>
    <tableColumn id="14" xr3:uid="{00000000-0010-0000-1000-00000E000000}" name="Huomi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yhjaAjo" displayName="TyhjaAjo" ref="A4:L41">
  <tableColumns count="12">
    <tableColumn id="1" xr3:uid="{00000000-0010-0000-1100-000001000000}" name="Keikka"/>
    <tableColumn id="2" xr3:uid="{00000000-0010-0000-1100-000002000000}" name="Reitti"/>
    <tableColumn id="3" xr3:uid="{00000000-0010-0000-1100-000003000000}" name="Loaded km"/>
    <tableColumn id="4" xr3:uid="{00000000-0010-0000-1100-000004000000}" name="Empty km"/>
    <tableColumn id="5" xr3:uid="{00000000-0010-0000-1100-000005000000}" name="Total km"/>
    <tableColumn id="6" xr3:uid="{00000000-0010-0000-1100-000006000000}" name="Empty %"/>
    <tableColumn id="7" xr3:uid="{00000000-0010-0000-1100-000007000000}" name="Myynti €"/>
    <tableColumn id="8" xr3:uid="{00000000-0010-0000-1100-000008000000}" name="Kulut €"/>
    <tableColumn id="9" xr3:uid="{00000000-0010-0000-1100-000009000000}" name="Kate €"/>
    <tableColumn id="10" xr3:uid="{00000000-0010-0000-1100-00000A000000}" name="€/km loaded"/>
    <tableColumn id="11" xr3:uid="{00000000-0010-0000-1100-00000B000000}" name="Status"/>
    <tableColumn id="12" xr3:uid="{00000000-0010-0000-1100-00000C000000}" name="Huomi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urKmKPI" displayName="EurKmKPI" ref="A4:L41">
  <tableColumns count="12">
    <tableColumn id="1" xr3:uid="{00000000-0010-0000-1200-000001000000}" name="Reitti / tyyppi"/>
    <tableColumn id="2" xr3:uid="{00000000-0010-0000-1200-000002000000}" name="Km"/>
    <tableColumn id="3" xr3:uid="{00000000-0010-0000-1200-000003000000}" name="Myynti €"/>
    <tableColumn id="4" xr3:uid="{00000000-0010-0000-1200-000004000000}" name="Kulut €"/>
    <tableColumn id="5" xr3:uid="{00000000-0010-0000-1200-000005000000}" name="Kate €"/>
    <tableColumn id="6" xr3:uid="{00000000-0010-0000-1200-000006000000}" name="Revenue €/km"/>
    <tableColumn id="7" xr3:uid="{00000000-0010-0000-1200-000007000000}" name="Cost €/km"/>
    <tableColumn id="8" xr3:uid="{00000000-0010-0000-1200-000008000000}" name="Profit €/km"/>
    <tableColumn id="9" xr3:uid="{00000000-0010-0000-1200-000009000000}" name="Tavoite €/km"/>
    <tableColumn id="10" xr3:uid="{00000000-0010-0000-1200-00000A000000}" name="Status"/>
    <tableColumn id="11" xr3:uid="{00000000-0010-0000-1200-00000B000000}" name="Trend"/>
    <tableColumn id="12" xr3:uid="{00000000-0010-0000-1200-00000C000000}" name="Huomi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railerVaikutus" displayName="TrailerVaikutus" ref="A4:N21">
  <tableColumns count="14">
    <tableColumn id="1" xr3:uid="{00000000-0010-0000-1300-000001000000}" name="Trailerityyppi"/>
    <tableColumn id="2" xr3:uid="{00000000-0010-0000-1300-000002000000}" name="Lavapaikat"/>
    <tableColumn id="3" xr3:uid="{00000000-0010-0000-1300-000003000000}" name="Max paino kg"/>
    <tableColumn id="4" xr3:uid="{00000000-0010-0000-1300-000004000000}" name="Thermo?"/>
    <tableColumn id="5" xr3:uid="{00000000-0010-0000-1300-000005000000}" name="ADR?"/>
    <tableColumn id="6" xr3:uid="{00000000-0010-0000-1300-000006000000}" name="Sivulastaus?"/>
    <tableColumn id="7" xr3:uid="{00000000-0010-0000-1300-000007000000}" name="Päivävuokra €"/>
    <tableColumn id="8" xr3:uid="{00000000-0010-0000-1300-000008000000}" name="Thermolisä €"/>
    <tableColumn id="9" xr3:uid="{00000000-0010-0000-1300-000009000000}" name="ADR-lisä €"/>
    <tableColumn id="10" xr3:uid="{00000000-0010-0000-1300-00000A000000}" name="CO₂ kg/km"/>
    <tableColumn id="11" xr3:uid="{00000000-0010-0000-1300-00000B000000}" name="Riskipisteet"/>
    <tableColumn id="12" xr3:uid="{00000000-0010-0000-1300-00000C000000}" name="Sopivuus"/>
    <tableColumn id="13" xr3:uid="{00000000-0010-0000-1300-00000D000000}" name="Kokonaislisä €"/>
    <tableColumn id="14" xr3:uid="{00000000-0010-0000-1300-00000E000000}" name="Huomi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CO2Yksikko" displayName="CO2Yksikko" ref="A4:N41">
  <tableColumns count="14">
    <tableColumn id="1" xr3:uid="{00000000-0010-0000-1400-000001000000}" name="Keikka"/>
    <tableColumn id="2" xr3:uid="{00000000-0010-0000-1400-000002000000}" name="Reitti"/>
    <tableColumn id="3" xr3:uid="{00000000-0010-0000-1400-000003000000}" name="Kalusto"/>
    <tableColumn id="4" xr3:uid="{00000000-0010-0000-1400-000004000000}" name="Km"/>
    <tableColumn id="5" xr3:uid="{00000000-0010-0000-1400-000005000000}" name="kg CO₂/km"/>
    <tableColumn id="6" xr3:uid="{00000000-0010-0000-1400-000006000000}" name="CO₂ kg"/>
    <tableColumn id="7" xr3:uid="{00000000-0010-0000-1400-000007000000}" name="Lavapaikat"/>
    <tableColumn id="8" xr3:uid="{00000000-0010-0000-1400-000008000000}" name="Paino kg"/>
    <tableColumn id="9" xr3:uid="{00000000-0010-0000-1400-000009000000}" name="Paino t"/>
    <tableColumn id="10" xr3:uid="{00000000-0010-0000-1400-00000A000000}" name="CO₂/lava"/>
    <tableColumn id="11" xr3:uid="{00000000-0010-0000-1400-00000B000000}" name="CO₂/tonni"/>
    <tableColumn id="12" xr3:uid="{00000000-0010-0000-1400-00000C000000}" name="Status"/>
    <tableColumn id="13" xr3:uid="{00000000-0010-0000-1400-00000D000000}" name="Asiakasraportti?"/>
    <tableColumn id="14" xr3:uid="{00000000-0010-0000-1400-00000E000000}" name="Huomi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AsiakasAnalyysi2" displayName="AsiakasAnalyysi2" ref="A4:N41">
  <tableColumns count="14">
    <tableColumn id="1" xr3:uid="{00000000-0010-0000-1500-000001000000}" name="Asiakas"/>
    <tableColumn id="2" xr3:uid="{00000000-0010-0000-1500-000002000000}" name="Keikkoja"/>
    <tableColumn id="3" xr3:uid="{00000000-0010-0000-1500-000003000000}" name="Myynti €"/>
    <tableColumn id="4" xr3:uid="{00000000-0010-0000-1500-000004000000}" name="Kulut €"/>
    <tableColumn id="5" xr3:uid="{00000000-0010-0000-1500-000005000000}" name="Kate €"/>
    <tableColumn id="6" xr3:uid="{00000000-0010-0000-1500-000006000000}" name="Kate %"/>
    <tableColumn id="7" xr3:uid="{00000000-0010-0000-1500-000007000000}" name="Loaded km"/>
    <tableColumn id="8" xr3:uid="{00000000-0010-0000-1500-000008000000}" name="Empty km"/>
    <tableColumn id="9" xr3:uid="{00000000-0010-0000-1500-000009000000}" name="Empty %"/>
    <tableColumn id="10" xr3:uid="{00000000-0010-0000-1500-00000A000000}" name="On-time %"/>
    <tableColumn id="11" xr3:uid="{00000000-0010-0000-1500-00000B000000}" name="Tavoitekate %"/>
    <tableColumn id="12" xr3:uid="{00000000-0010-0000-1500-00000C000000}" name="Status"/>
    <tableColumn id="13" xr3:uid="{00000000-0010-0000-1500-00000D000000}" name="Toimenpide"/>
    <tableColumn id="14" xr3:uid="{00000000-0010-0000-1500-00000E000000}" name="Huomi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Reittihistoria" displayName="Reittihistoria" ref="A4:N101">
  <tableColumns count="14">
    <tableColumn id="1" xr3:uid="{00000000-0010-0000-1600-000001000000}" name="Päivä"/>
    <tableColumn id="2" xr3:uid="{00000000-0010-0000-1600-000002000000}" name="Asiakas"/>
    <tableColumn id="3" xr3:uid="{00000000-0010-0000-1600-000003000000}" name="Reitti"/>
    <tableColumn id="4" xr3:uid="{00000000-0010-0000-1600-000004000000}" name="Kalusto"/>
    <tableColumn id="5" xr3:uid="{00000000-0010-0000-1600-000005000000}" name="Carrier"/>
    <tableColumn id="6" xr3:uid="{00000000-0010-0000-1600-000006000000}" name="Loaded km"/>
    <tableColumn id="7" xr3:uid="{00000000-0010-0000-1600-000007000000}" name="Empty km"/>
    <tableColumn id="8" xr3:uid="{00000000-0010-0000-1600-000008000000}" name="Myynti €"/>
    <tableColumn id="9" xr3:uid="{00000000-0010-0000-1600-000009000000}" name="Kulut €"/>
    <tableColumn id="10" xr3:uid="{00000000-0010-0000-1600-00000A000000}" name="Kate €"/>
    <tableColumn id="11" xr3:uid="{00000000-0010-0000-1600-00000B000000}" name="Kate %"/>
    <tableColumn id="12" xr3:uid="{00000000-0010-0000-1600-00000C000000}" name="On-time?"/>
    <tableColumn id="13" xr3:uid="{00000000-0010-0000-1600-00000D000000}" name="Poikkeama"/>
    <tableColumn id="14" xr3:uid="{00000000-0010-0000-1600-00000E000000}" name="Huomi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Riskivaroitukset" displayName="Riskivaroitukset" ref="A4:N41">
  <tableColumns count="14">
    <tableColumn id="1" xr3:uid="{00000000-0010-0000-1700-000001000000}" name="Keikka"/>
    <tableColumn id="2" xr3:uid="{00000000-0010-0000-1700-000002000000}" name="Reitti"/>
    <tableColumn id="3" xr3:uid="{00000000-0010-0000-1700-000003000000}" name="Ajoaika h"/>
    <tableColumn id="4" xr3:uid="{00000000-0010-0000-1700-000004000000}" name="Täyttöaste"/>
    <tableColumn id="5" xr3:uid="{00000000-0010-0000-1700-000005000000}" name="Kate %"/>
    <tableColumn id="6" xr3:uid="{00000000-0010-0000-1700-000006000000}" name="Empty %"/>
    <tableColumn id="7" xr3:uid="{00000000-0010-0000-1700-000007000000}" name="ETA status"/>
    <tableColumn id="8" xr3:uid="{00000000-0010-0000-1700-000008000000}" name="Riskipisteet"/>
    <tableColumn id="9" xr3:uid="{00000000-0010-0000-1700-000009000000}" name="Ajo varoitus"/>
    <tableColumn id="10" xr3:uid="{00000000-0010-0000-1700-00000A000000}" name="Täyttö varoitus"/>
    <tableColumn id="11" xr3:uid="{00000000-0010-0000-1700-00000B000000}" name="Kate varoitus"/>
    <tableColumn id="12" xr3:uid="{00000000-0010-0000-1700-00000C000000}" name="Empty varoitus"/>
    <tableColumn id="13" xr3:uid="{00000000-0010-0000-1700-00000D000000}" name="Kokonaisstatus"/>
    <tableColumn id="14" xr3:uid="{00000000-0010-0000-1700-00000E000000}" name="Toimenpid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PowerBIKarttadata" displayName="PowerBIKarttadata" ref="A4:N41">
  <tableColumns count="14">
    <tableColumn id="1" xr3:uid="{00000000-0010-0000-1800-000001000000}" name="Route ID"/>
    <tableColumn id="2" xr3:uid="{00000000-0010-0000-1800-000002000000}" name="From"/>
    <tableColumn id="3" xr3:uid="{00000000-0010-0000-1800-000003000000}" name="To"/>
    <tableColumn id="4" xr3:uid="{00000000-0010-0000-1800-000004000000}" name="From lat"/>
    <tableColumn id="5" xr3:uid="{00000000-0010-0000-1800-000005000000}" name="From lon"/>
    <tableColumn id="6" xr3:uid="{00000000-0010-0000-1800-000006000000}" name="To lat"/>
    <tableColumn id="7" xr3:uid="{00000000-0010-0000-1800-000007000000}" name="To lon"/>
    <tableColumn id="8" xr3:uid="{00000000-0010-0000-1800-000008000000}" name="Loaded km"/>
    <tableColumn id="9" xr3:uid="{00000000-0010-0000-1800-000009000000}" name="Empty km"/>
    <tableColumn id="10" xr3:uid="{00000000-0010-0000-1800-00000A000000}" name="Kate %"/>
    <tableColumn id="11" xr3:uid="{00000000-0010-0000-1800-00000B000000}" name="CO₂ kg"/>
    <tableColumn id="12" xr3:uid="{00000000-0010-0000-1800-00000C000000}" name="Riskitaso"/>
    <tableColumn id="13" xr3:uid="{00000000-0010-0000-1800-00000D000000}" name="Power BI visual"/>
    <tableColumn id="14" xr3:uid="{00000000-0010-0000-1800-00000E000000}" name="Huom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workbookViewId="0">
      <selection sqref="A1:K1"/>
    </sheetView>
  </sheetViews>
  <sheetFormatPr defaultRowHeight="13.8"/>
  <cols>
    <col min="1" max="1" width="26" customWidth="1"/>
    <col min="2" max="3" width="22" customWidth="1"/>
    <col min="4" max="4" width="24" customWidth="1"/>
    <col min="5" max="6" width="20" customWidth="1"/>
    <col min="7" max="11" width="18" customWidth="1"/>
  </cols>
  <sheetData>
    <row r="1" spans="1:26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60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</row>
    <row r="4" spans="1:26">
      <c r="A4" s="62" t="s">
        <v>2</v>
      </c>
      <c r="B4" s="61"/>
      <c r="C4" s="61"/>
      <c r="D4" s="61"/>
      <c r="E4" s="61"/>
      <c r="F4" s="61"/>
      <c r="G4" s="61"/>
      <c r="H4" s="61"/>
      <c r="I4" s="61"/>
      <c r="J4" s="61"/>
      <c r="K4" s="61"/>
    </row>
    <row r="5" spans="1:26">
      <c r="A5" s="1" t="s">
        <v>3</v>
      </c>
      <c r="B5" s="1" t="s">
        <v>4</v>
      </c>
      <c r="C5" s="1" t="s">
        <v>5</v>
      </c>
      <c r="D5" s="1"/>
      <c r="E5" s="1"/>
      <c r="F5" s="1"/>
      <c r="G5" s="1"/>
      <c r="H5" s="1"/>
      <c r="I5" s="1"/>
      <c r="J5" s="1"/>
      <c r="K5" s="1"/>
    </row>
    <row r="6" spans="1:26" ht="27.6">
      <c r="A6" t="s">
        <v>6</v>
      </c>
      <c r="B6" s="2" t="str">
        <f>Optimointi!B33</f>
        <v>Vantaa → Tampere → Pori</v>
      </c>
      <c r="C6" t="s">
        <v>7</v>
      </c>
    </row>
    <row r="7" spans="1:26">
      <c r="A7" t="s">
        <v>8</v>
      </c>
      <c r="B7" s="4">
        <f>Optimointi!C33</f>
        <v>76.187400318979257</v>
      </c>
      <c r="C7" t="s">
        <v>9</v>
      </c>
    </row>
    <row r="8" spans="1:26">
      <c r="A8" t="s">
        <v>10</v>
      </c>
      <c r="B8" s="4">
        <f>Optimointi!D33</f>
        <v>290</v>
      </c>
    </row>
    <row r="9" spans="1:26">
      <c r="A9" t="s">
        <v>11</v>
      </c>
      <c r="B9" s="4">
        <f>Optimointi!E33</f>
        <v>3.9</v>
      </c>
    </row>
    <row r="10" spans="1:26">
      <c r="A10" t="s">
        <v>12</v>
      </c>
      <c r="B10" s="3">
        <f>Optimointi!F33</f>
        <v>0.54545454545454541</v>
      </c>
    </row>
    <row r="11" spans="1:26">
      <c r="A11" t="s">
        <v>13</v>
      </c>
      <c r="B11" s="3">
        <f>Optimointi!G33</f>
        <v>0.18</v>
      </c>
    </row>
    <row r="12" spans="1:26">
      <c r="A12" t="s">
        <v>14</v>
      </c>
      <c r="B12" s="2" t="str">
        <f>Optimointi!H33</f>
        <v>Matala</v>
      </c>
    </row>
    <row r="13" spans="1:26">
      <c r="A13" t="s">
        <v>15</v>
      </c>
      <c r="B13" s="2" t="str">
        <f>Optimointi!I33</f>
        <v>Aja tällä vaihtoehdolla</v>
      </c>
    </row>
    <row r="14" spans="1:26" ht="41.4">
      <c r="A14" t="s">
        <v>16</v>
      </c>
      <c r="B14" s="2" t="e">
        <f ca="1">Optimointi!J33</f>
        <v>#NAME?</v>
      </c>
    </row>
    <row r="17" spans="1:11">
      <c r="A17" s="62" t="s">
        <v>17</v>
      </c>
      <c r="B17" s="61"/>
      <c r="C17" s="61"/>
      <c r="D17" s="61"/>
      <c r="E17" s="61"/>
      <c r="F17" s="61"/>
      <c r="G17" s="61"/>
      <c r="H17" s="61"/>
      <c r="I17" s="61"/>
      <c r="J17" s="61"/>
      <c r="K17" s="61"/>
    </row>
    <row r="18" spans="1:11">
      <c r="A18" s="1" t="s">
        <v>18</v>
      </c>
      <c r="B18" s="1" t="s">
        <v>19</v>
      </c>
      <c r="C18" s="1" t="s">
        <v>20</v>
      </c>
    </row>
    <row r="19" spans="1:11">
      <c r="A19" t="s">
        <v>21</v>
      </c>
      <c r="B19" t="s">
        <v>22</v>
      </c>
      <c r="C19" t="s">
        <v>23</v>
      </c>
    </row>
    <row r="20" spans="1:11">
      <c r="A20" t="s">
        <v>24</v>
      </c>
      <c r="B20" t="s">
        <v>25</v>
      </c>
      <c r="C20" t="s">
        <v>26</v>
      </c>
    </row>
    <row r="21" spans="1:11">
      <c r="A21" t="s">
        <v>27</v>
      </c>
      <c r="B21" t="s">
        <v>28</v>
      </c>
      <c r="C21" t="s">
        <v>29</v>
      </c>
    </row>
    <row r="22" spans="1:11">
      <c r="A22" t="s">
        <v>30</v>
      </c>
      <c r="B22" t="s">
        <v>31</v>
      </c>
      <c r="C22" t="s">
        <v>32</v>
      </c>
    </row>
    <row r="23" spans="1:11">
      <c r="A23" t="s">
        <v>33</v>
      </c>
      <c r="B23" t="s">
        <v>34</v>
      </c>
      <c r="C23" t="s">
        <v>35</v>
      </c>
    </row>
  </sheetData>
  <mergeCells count="4">
    <mergeCell ref="A1:K1"/>
    <mergeCell ref="A2:K2"/>
    <mergeCell ref="A4:K4"/>
    <mergeCell ref="A17: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"/>
  <sheetViews>
    <sheetView workbookViewId="0"/>
  </sheetViews>
  <sheetFormatPr defaultRowHeight="13.8"/>
  <cols>
    <col min="1" max="1" width="12" customWidth="1"/>
    <col min="2" max="3" width="18" customWidth="1"/>
    <col min="4" max="4" width="16" customWidth="1"/>
    <col min="5" max="7" width="14" customWidth="1"/>
    <col min="8" max="9" width="16" customWidth="1"/>
    <col min="10" max="10" width="20" customWidth="1"/>
    <col min="11" max="11" width="26" customWidth="1"/>
  </cols>
  <sheetData>
    <row r="1" spans="1:26">
      <c r="A1" s="58" t="s">
        <v>36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60" t="s">
        <v>37</v>
      </c>
      <c r="B2" s="61"/>
      <c r="C2" s="61"/>
      <c r="D2" s="61"/>
      <c r="E2" s="61"/>
      <c r="F2" s="61"/>
      <c r="G2" s="61"/>
      <c r="H2" s="61"/>
      <c r="I2" s="61"/>
      <c r="J2" s="61"/>
      <c r="K2" s="61"/>
    </row>
    <row r="4" spans="1:26">
      <c r="A4" s="1" t="s">
        <v>38</v>
      </c>
      <c r="B4" s="1" t="s">
        <v>39</v>
      </c>
      <c r="C4" s="1" t="s">
        <v>40</v>
      </c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5</v>
      </c>
    </row>
    <row r="5" spans="1:26">
      <c r="A5" s="5" t="s">
        <v>48</v>
      </c>
      <c r="B5" s="5" t="s">
        <v>49</v>
      </c>
      <c r="C5" s="5" t="s">
        <v>50</v>
      </c>
      <c r="D5" s="5">
        <v>8</v>
      </c>
      <c r="E5" s="5">
        <v>2500</v>
      </c>
      <c r="F5" s="5">
        <v>2</v>
      </c>
      <c r="G5" s="5">
        <v>6</v>
      </c>
      <c r="H5" s="5" t="s">
        <v>51</v>
      </c>
      <c r="I5" s="5" t="s">
        <v>52</v>
      </c>
      <c r="J5" s="5" t="s">
        <v>53</v>
      </c>
      <c r="K5" s="5" t="s">
        <v>54</v>
      </c>
    </row>
    <row r="6" spans="1:26">
      <c r="A6" s="5" t="s">
        <v>55</v>
      </c>
      <c r="B6" s="5" t="s">
        <v>49</v>
      </c>
      <c r="C6" s="5" t="s">
        <v>56</v>
      </c>
      <c r="D6" s="5">
        <v>10</v>
      </c>
      <c r="E6" s="5">
        <v>3200</v>
      </c>
      <c r="F6" s="5">
        <v>2</v>
      </c>
      <c r="G6" s="5">
        <v>6</v>
      </c>
      <c r="H6" s="5" t="s">
        <v>51</v>
      </c>
      <c r="I6" s="5" t="s">
        <v>57</v>
      </c>
      <c r="J6" s="5" t="s">
        <v>53</v>
      </c>
      <c r="K6" s="5" t="s">
        <v>54</v>
      </c>
    </row>
    <row r="7" spans="1:26">
      <c r="A7" s="5" t="s">
        <v>58</v>
      </c>
      <c r="B7" s="5" t="s">
        <v>50</v>
      </c>
      <c r="C7" s="5" t="s">
        <v>59</v>
      </c>
      <c r="D7" s="5">
        <v>12</v>
      </c>
      <c r="E7" s="5">
        <v>5000</v>
      </c>
      <c r="F7" s="5"/>
      <c r="G7" s="5"/>
      <c r="H7" s="5" t="s">
        <v>51</v>
      </c>
      <c r="I7" s="5" t="s">
        <v>60</v>
      </c>
      <c r="J7" s="5" t="s">
        <v>51</v>
      </c>
      <c r="K7" s="5" t="s">
        <v>61</v>
      </c>
    </row>
    <row r="8" spans="1:26">
      <c r="A8" s="5" t="s">
        <v>62</v>
      </c>
      <c r="B8" s="5" t="s">
        <v>49</v>
      </c>
      <c r="C8" s="5" t="s">
        <v>63</v>
      </c>
      <c r="D8" s="5">
        <v>6</v>
      </c>
      <c r="E8" s="5">
        <v>1800</v>
      </c>
      <c r="F8" s="5"/>
      <c r="G8" s="5"/>
      <c r="H8" s="5" t="s">
        <v>53</v>
      </c>
      <c r="I8" s="5" t="s">
        <v>64</v>
      </c>
      <c r="J8" s="5" t="s">
        <v>51</v>
      </c>
      <c r="K8" s="5" t="s">
        <v>65</v>
      </c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</row>
    <row r="17" spans="1:1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1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1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1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</sheetData>
  <mergeCells count="2">
    <mergeCell ref="A1:K1"/>
    <mergeCell ref="A2:K2"/>
  </mergeCells>
  <dataValidations count="1">
    <dataValidation type="list" sqref="H5:H20 J5:J20" xr:uid="{00000000-0002-0000-0100-000000000000}">
      <formula1>"Kyllä,Ei"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0"/>
  <sheetViews>
    <sheetView workbookViewId="0"/>
  </sheetViews>
  <sheetFormatPr defaultRowHeight="13.8"/>
  <cols>
    <col min="1" max="1" width="12" customWidth="1"/>
    <col min="2" max="2" width="46" customWidth="1"/>
    <col min="3" max="6" width="14" customWidth="1"/>
    <col min="7" max="11" width="16" customWidth="1"/>
    <col min="12" max="12" width="24" customWidth="1"/>
  </cols>
  <sheetData>
    <row r="1" spans="1:26">
      <c r="A1" s="58" t="s">
        <v>66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60" t="s">
        <v>67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</row>
    <row r="4" spans="1:26" ht="27.6">
      <c r="A4" s="1" t="s">
        <v>68</v>
      </c>
      <c r="B4" s="1" t="s">
        <v>69</v>
      </c>
      <c r="C4" s="1" t="s">
        <v>70</v>
      </c>
      <c r="D4" s="1" t="s">
        <v>11</v>
      </c>
      <c r="E4" s="1" t="s">
        <v>71</v>
      </c>
      <c r="F4" s="1" t="s">
        <v>72</v>
      </c>
      <c r="G4" s="1" t="s">
        <v>41</v>
      </c>
      <c r="H4" s="1" t="s">
        <v>73</v>
      </c>
      <c r="I4" s="1" t="s">
        <v>13</v>
      </c>
      <c r="J4" s="1" t="s">
        <v>74</v>
      </c>
      <c r="K4" s="1" t="s">
        <v>75</v>
      </c>
      <c r="L4" s="1" t="s">
        <v>5</v>
      </c>
    </row>
    <row r="5" spans="1:26">
      <c r="A5" s="5" t="s">
        <v>76</v>
      </c>
      <c r="B5" s="5" t="s">
        <v>77</v>
      </c>
      <c r="C5" s="5">
        <v>290</v>
      </c>
      <c r="D5" s="5">
        <v>3.9</v>
      </c>
      <c r="E5" s="5">
        <v>5.4</v>
      </c>
      <c r="F5" s="5">
        <v>0</v>
      </c>
      <c r="G5" s="5">
        <v>18</v>
      </c>
      <c r="H5" s="5">
        <v>33</v>
      </c>
      <c r="I5" s="6">
        <v>0.18</v>
      </c>
      <c r="J5" s="5">
        <v>2</v>
      </c>
      <c r="K5" s="5" t="s">
        <v>78</v>
      </c>
      <c r="L5" s="5" t="s">
        <v>79</v>
      </c>
    </row>
    <row r="6" spans="1:26">
      <c r="A6" s="5" t="s">
        <v>80</v>
      </c>
      <c r="B6" s="5" t="s">
        <v>81</v>
      </c>
      <c r="C6" s="5">
        <v>330</v>
      </c>
      <c r="D6" s="5">
        <v>4.4000000000000004</v>
      </c>
      <c r="E6" s="5">
        <v>5.9</v>
      </c>
      <c r="F6" s="5">
        <v>0</v>
      </c>
      <c r="G6" s="5">
        <v>18</v>
      </c>
      <c r="H6" s="5">
        <v>33</v>
      </c>
      <c r="I6" s="6">
        <v>0.15</v>
      </c>
      <c r="J6" s="5">
        <v>3</v>
      </c>
      <c r="K6" s="5" t="s">
        <v>78</v>
      </c>
      <c r="L6" s="5" t="s">
        <v>82</v>
      </c>
    </row>
    <row r="7" spans="1:26">
      <c r="A7" s="5" t="s">
        <v>83</v>
      </c>
      <c r="B7" s="5" t="s">
        <v>84</v>
      </c>
      <c r="C7" s="5">
        <v>610</v>
      </c>
      <c r="D7" s="5">
        <v>8.1</v>
      </c>
      <c r="E7" s="5">
        <v>10.199999999999999</v>
      </c>
      <c r="F7" s="5">
        <v>45</v>
      </c>
      <c r="G7" s="5">
        <v>30</v>
      </c>
      <c r="H7" s="5">
        <v>33</v>
      </c>
      <c r="I7" s="6">
        <v>0.16</v>
      </c>
      <c r="J7" s="5">
        <v>5</v>
      </c>
      <c r="K7" s="5" t="s">
        <v>85</v>
      </c>
      <c r="L7" s="5" t="s">
        <v>86</v>
      </c>
    </row>
    <row r="8" spans="1:26" ht="27.6">
      <c r="A8" s="5" t="s">
        <v>87</v>
      </c>
      <c r="B8" s="5" t="s">
        <v>88</v>
      </c>
      <c r="C8" s="5">
        <v>410</v>
      </c>
      <c r="D8" s="5">
        <v>5.5</v>
      </c>
      <c r="E8" s="5">
        <v>7.5</v>
      </c>
      <c r="F8" s="5">
        <v>45</v>
      </c>
      <c r="G8" s="5">
        <v>18</v>
      </c>
      <c r="H8" s="5">
        <v>66</v>
      </c>
      <c r="I8" s="6">
        <v>0.1</v>
      </c>
      <c r="J8" s="5">
        <v>2</v>
      </c>
      <c r="K8" s="5" t="s">
        <v>78</v>
      </c>
      <c r="L8" s="5" t="s">
        <v>89</v>
      </c>
    </row>
    <row r="9" spans="1:26">
      <c r="A9" s="5" t="s">
        <v>90</v>
      </c>
      <c r="B9" s="5" t="s">
        <v>91</v>
      </c>
      <c r="C9" s="5">
        <v>455</v>
      </c>
      <c r="D9" s="5">
        <v>6.1</v>
      </c>
      <c r="E9" s="5">
        <v>8.1</v>
      </c>
      <c r="F9" s="5">
        <v>45</v>
      </c>
      <c r="G9" s="5">
        <v>24</v>
      </c>
      <c r="H9" s="5">
        <v>33</v>
      </c>
      <c r="I9" s="6">
        <v>0.17</v>
      </c>
      <c r="J9" s="5">
        <v>4</v>
      </c>
      <c r="K9" s="5" t="s">
        <v>92</v>
      </c>
      <c r="L9" s="5" t="s">
        <v>93</v>
      </c>
    </row>
    <row r="10" spans="1:26">
      <c r="A10" s="5"/>
      <c r="B10" s="5"/>
      <c r="C10" s="5"/>
      <c r="D10" s="5"/>
      <c r="E10" s="5"/>
      <c r="F10" s="5"/>
      <c r="G10" s="5"/>
      <c r="H10" s="5"/>
      <c r="I10" s="6"/>
      <c r="J10" s="5"/>
      <c r="K10" s="5"/>
      <c r="L10" s="5"/>
    </row>
    <row r="11" spans="1:26">
      <c r="A11" s="5"/>
      <c r="B11" s="5"/>
      <c r="C11" s="5"/>
      <c r="D11" s="5"/>
      <c r="E11" s="5"/>
      <c r="F11" s="5"/>
      <c r="G11" s="5"/>
      <c r="H11" s="5"/>
      <c r="I11" s="6"/>
      <c r="J11" s="5"/>
      <c r="K11" s="5"/>
      <c r="L11" s="5"/>
    </row>
    <row r="12" spans="1:26">
      <c r="A12" s="5"/>
      <c r="B12" s="5"/>
      <c r="C12" s="5"/>
      <c r="D12" s="5"/>
      <c r="E12" s="5"/>
      <c r="F12" s="5"/>
      <c r="G12" s="5"/>
      <c r="H12" s="5"/>
      <c r="I12" s="6"/>
      <c r="J12" s="5"/>
      <c r="K12" s="5"/>
      <c r="L12" s="5"/>
    </row>
    <row r="13" spans="1:26">
      <c r="A13" s="5"/>
      <c r="B13" s="5"/>
      <c r="C13" s="5"/>
      <c r="D13" s="5"/>
      <c r="E13" s="5"/>
      <c r="F13" s="5"/>
      <c r="G13" s="5"/>
      <c r="H13" s="5"/>
      <c r="I13" s="6"/>
      <c r="J13" s="5"/>
      <c r="K13" s="5"/>
      <c r="L13" s="5"/>
    </row>
    <row r="14" spans="1:26">
      <c r="A14" s="5"/>
      <c r="B14" s="5"/>
      <c r="C14" s="5"/>
      <c r="D14" s="5"/>
      <c r="E14" s="5"/>
      <c r="F14" s="5"/>
      <c r="G14" s="5"/>
      <c r="H14" s="5"/>
      <c r="I14" s="6"/>
      <c r="J14" s="5"/>
      <c r="K14" s="5"/>
      <c r="L14" s="5"/>
    </row>
    <row r="15" spans="1:26">
      <c r="A15" s="5"/>
      <c r="B15" s="5"/>
      <c r="C15" s="5"/>
      <c r="D15" s="5"/>
      <c r="E15" s="5"/>
      <c r="F15" s="5"/>
      <c r="G15" s="5"/>
      <c r="H15" s="5"/>
      <c r="I15" s="6"/>
      <c r="J15" s="5"/>
      <c r="K15" s="5"/>
      <c r="L15" s="5"/>
    </row>
    <row r="16" spans="1:26">
      <c r="A16" s="5"/>
      <c r="B16" s="5"/>
      <c r="C16" s="5"/>
      <c r="D16" s="5"/>
      <c r="E16" s="5"/>
      <c r="F16" s="5"/>
      <c r="G16" s="5"/>
      <c r="H16" s="5"/>
      <c r="I16" s="6"/>
      <c r="J16" s="5"/>
      <c r="K16" s="5"/>
      <c r="L16" s="5"/>
    </row>
    <row r="17" spans="1:12">
      <c r="A17" s="5"/>
      <c r="B17" s="5"/>
      <c r="C17" s="5"/>
      <c r="D17" s="5"/>
      <c r="E17" s="5"/>
      <c r="F17" s="5"/>
      <c r="G17" s="5"/>
      <c r="H17" s="5"/>
      <c r="I17" s="6"/>
      <c r="J17" s="5"/>
      <c r="K17" s="5"/>
      <c r="L17" s="5"/>
    </row>
    <row r="18" spans="1:12">
      <c r="A18" s="5"/>
      <c r="B18" s="5"/>
      <c r="C18" s="5"/>
      <c r="D18" s="5"/>
      <c r="E18" s="5"/>
      <c r="F18" s="5"/>
      <c r="G18" s="5"/>
      <c r="H18" s="5"/>
      <c r="I18" s="6"/>
      <c r="J18" s="5"/>
      <c r="K18" s="5"/>
      <c r="L18" s="5"/>
    </row>
    <row r="19" spans="1:12">
      <c r="A19" s="5"/>
      <c r="B19" s="5"/>
      <c r="C19" s="5"/>
      <c r="D19" s="5"/>
      <c r="E19" s="5"/>
      <c r="F19" s="5"/>
      <c r="G19" s="5"/>
      <c r="H19" s="5"/>
      <c r="I19" s="6"/>
      <c r="J19" s="5"/>
      <c r="K19" s="5"/>
      <c r="L19" s="5"/>
    </row>
    <row r="20" spans="1:12">
      <c r="A20" s="5"/>
      <c r="B20" s="5"/>
      <c r="C20" s="5"/>
      <c r="D20" s="5"/>
      <c r="E20" s="5"/>
      <c r="F20" s="5"/>
      <c r="G20" s="5"/>
      <c r="H20" s="5"/>
      <c r="I20" s="6"/>
      <c r="J20" s="5"/>
      <c r="K20" s="5"/>
      <c r="L20" s="5"/>
    </row>
    <row r="21" spans="1:12">
      <c r="A21" s="5"/>
      <c r="B21" s="5"/>
      <c r="C21" s="5"/>
      <c r="D21" s="5"/>
      <c r="E21" s="5"/>
      <c r="F21" s="5"/>
      <c r="G21" s="5"/>
      <c r="H21" s="5"/>
      <c r="I21" s="6"/>
      <c r="J21" s="5"/>
      <c r="K21" s="5"/>
      <c r="L21" s="5"/>
    </row>
    <row r="22" spans="1:12">
      <c r="A22" s="5"/>
      <c r="B22" s="5"/>
      <c r="C22" s="5"/>
      <c r="D22" s="5"/>
      <c r="E22" s="5"/>
      <c r="F22" s="5"/>
      <c r="G22" s="5"/>
      <c r="H22" s="5"/>
      <c r="I22" s="6"/>
      <c r="J22" s="5"/>
      <c r="K22" s="5"/>
      <c r="L22" s="5"/>
    </row>
    <row r="23" spans="1:12">
      <c r="A23" s="5"/>
      <c r="B23" s="5"/>
      <c r="C23" s="5"/>
      <c r="D23" s="5"/>
      <c r="E23" s="5"/>
      <c r="F23" s="5"/>
      <c r="G23" s="5"/>
      <c r="H23" s="5"/>
      <c r="I23" s="6"/>
      <c r="J23" s="5"/>
      <c r="K23" s="5"/>
      <c r="L23" s="5"/>
    </row>
    <row r="24" spans="1:12">
      <c r="A24" s="5"/>
      <c r="B24" s="5"/>
      <c r="C24" s="5"/>
      <c r="D24" s="5"/>
      <c r="E24" s="5"/>
      <c r="F24" s="5"/>
      <c r="G24" s="5"/>
      <c r="H24" s="5"/>
      <c r="I24" s="6"/>
      <c r="J24" s="5"/>
      <c r="K24" s="5"/>
      <c r="L24" s="5"/>
    </row>
    <row r="25" spans="1:12">
      <c r="A25" s="5"/>
      <c r="B25" s="5"/>
      <c r="C25" s="5"/>
      <c r="D25" s="5"/>
      <c r="E25" s="5"/>
      <c r="F25" s="5"/>
      <c r="G25" s="5"/>
      <c r="H25" s="5"/>
      <c r="I25" s="6"/>
      <c r="J25" s="5"/>
      <c r="K25" s="5"/>
      <c r="L25" s="5"/>
    </row>
    <row r="26" spans="1:12">
      <c r="A26" s="5"/>
      <c r="B26" s="5"/>
      <c r="C26" s="5"/>
      <c r="D26" s="5"/>
      <c r="E26" s="5"/>
      <c r="F26" s="5"/>
      <c r="G26" s="5"/>
      <c r="H26" s="5"/>
      <c r="I26" s="6"/>
      <c r="J26" s="5"/>
      <c r="K26" s="5"/>
      <c r="L26" s="5"/>
    </row>
    <row r="27" spans="1:12">
      <c r="A27" s="5"/>
      <c r="B27" s="5"/>
      <c r="C27" s="5"/>
      <c r="D27" s="5"/>
      <c r="E27" s="5"/>
      <c r="F27" s="5"/>
      <c r="G27" s="5"/>
      <c r="H27" s="5"/>
      <c r="I27" s="6"/>
      <c r="J27" s="5"/>
      <c r="K27" s="5"/>
      <c r="L27" s="5"/>
    </row>
    <row r="28" spans="1:12">
      <c r="A28" s="5"/>
      <c r="B28" s="5"/>
      <c r="C28" s="5"/>
      <c r="D28" s="5"/>
      <c r="E28" s="5"/>
      <c r="F28" s="5"/>
      <c r="G28" s="5"/>
      <c r="H28" s="5"/>
      <c r="I28" s="6"/>
      <c r="J28" s="5"/>
      <c r="K28" s="5"/>
      <c r="L28" s="5"/>
    </row>
    <row r="29" spans="1:12">
      <c r="A29" s="5"/>
      <c r="B29" s="5"/>
      <c r="C29" s="5"/>
      <c r="D29" s="5"/>
      <c r="E29" s="5"/>
      <c r="F29" s="5"/>
      <c r="G29" s="5"/>
      <c r="H29" s="5"/>
      <c r="I29" s="6"/>
      <c r="J29" s="5"/>
      <c r="K29" s="5"/>
      <c r="L29" s="5"/>
    </row>
    <row r="30" spans="1:12">
      <c r="A30" s="5"/>
      <c r="B30" s="5"/>
      <c r="C30" s="5"/>
      <c r="D30" s="5"/>
      <c r="E30" s="5"/>
      <c r="F30" s="5"/>
      <c r="G30" s="5"/>
      <c r="H30" s="5"/>
      <c r="I30" s="6"/>
      <c r="J30" s="5"/>
      <c r="K30" s="5"/>
      <c r="L30" s="5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"/>
  <sheetViews>
    <sheetView workbookViewId="0"/>
  </sheetViews>
  <sheetFormatPr defaultRowHeight="13.8"/>
  <cols>
    <col min="1" max="1" width="28" customWidth="1"/>
    <col min="2" max="2" width="14" customWidth="1"/>
    <col min="3" max="3" width="38" customWidth="1"/>
    <col min="4" max="8" width="18" customWidth="1"/>
  </cols>
  <sheetData>
    <row r="1" spans="1:26">
      <c r="A1" s="58" t="s">
        <v>94</v>
      </c>
      <c r="B1" s="59"/>
      <c r="C1" s="59"/>
      <c r="D1" s="59"/>
      <c r="E1" s="59"/>
      <c r="F1" s="59"/>
      <c r="G1" s="59"/>
      <c r="H1" s="5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60" t="s">
        <v>95</v>
      </c>
      <c r="B2" s="61"/>
      <c r="C2" s="61"/>
      <c r="D2" s="61"/>
      <c r="E2" s="61"/>
      <c r="F2" s="61"/>
      <c r="G2" s="61"/>
      <c r="H2" s="61"/>
    </row>
    <row r="4" spans="1:26">
      <c r="A4" s="1" t="s">
        <v>96</v>
      </c>
      <c r="B4" s="1" t="s">
        <v>19</v>
      </c>
      <c r="C4" s="1" t="s">
        <v>20</v>
      </c>
      <c r="D4" s="1" t="s">
        <v>97</v>
      </c>
      <c r="E4" s="1" t="s">
        <v>98</v>
      </c>
      <c r="F4" s="1" t="s">
        <v>647</v>
      </c>
      <c r="G4" s="1" t="s">
        <v>648</v>
      </c>
      <c r="H4" s="1" t="s">
        <v>649</v>
      </c>
    </row>
    <row r="5" spans="1:26">
      <c r="A5" t="s">
        <v>21</v>
      </c>
      <c r="B5" s="6">
        <v>0.3</v>
      </c>
      <c r="C5" t="s">
        <v>99</v>
      </c>
      <c r="D5">
        <v>250</v>
      </c>
      <c r="E5">
        <v>700</v>
      </c>
    </row>
    <row r="6" spans="1:26">
      <c r="A6" t="s">
        <v>24</v>
      </c>
      <c r="B6" s="6">
        <v>0.2</v>
      </c>
      <c r="C6" t="s">
        <v>100</v>
      </c>
      <c r="D6">
        <v>3</v>
      </c>
      <c r="E6">
        <v>9</v>
      </c>
    </row>
    <row r="7" spans="1:26">
      <c r="A7" t="s">
        <v>27</v>
      </c>
      <c r="B7" s="6">
        <v>0.25</v>
      </c>
      <c r="C7" t="s">
        <v>101</v>
      </c>
      <c r="D7" s="7">
        <v>0.7</v>
      </c>
      <c r="E7" s="7">
        <v>0.95</v>
      </c>
    </row>
    <row r="8" spans="1:26">
      <c r="A8" t="s">
        <v>30</v>
      </c>
      <c r="B8" s="6">
        <v>0.15</v>
      </c>
      <c r="C8" t="s">
        <v>102</v>
      </c>
      <c r="D8" s="7">
        <v>0.1</v>
      </c>
      <c r="E8" s="7">
        <v>0.22</v>
      </c>
    </row>
    <row r="9" spans="1:26">
      <c r="A9" t="s">
        <v>33</v>
      </c>
      <c r="B9" s="6">
        <v>0.1</v>
      </c>
      <c r="C9" t="s">
        <v>103</v>
      </c>
      <c r="D9">
        <v>0</v>
      </c>
      <c r="E9">
        <v>8</v>
      </c>
    </row>
    <row r="10" spans="1:26">
      <c r="A10" t="s">
        <v>104</v>
      </c>
      <c r="B10" s="3">
        <f>SUM(B5:B9)</f>
        <v>1</v>
      </c>
      <c r="C10" t="s">
        <v>105</v>
      </c>
    </row>
  </sheetData>
  <mergeCells count="2">
    <mergeCell ref="A1:H1"/>
    <mergeCell ref="A2:H2"/>
  </mergeCells>
  <conditionalFormatting sqref="B10">
    <cfRule type="expression" dxfId="14" priority="1">
      <formula>ABS(B10-1)&gt;0.001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33"/>
  <sheetViews>
    <sheetView workbookViewId="0"/>
  </sheetViews>
  <sheetFormatPr defaultRowHeight="13.8"/>
  <cols>
    <col min="1" max="1" width="12" customWidth="1"/>
    <col min="2" max="2" width="44" customWidth="1"/>
    <col min="3" max="5" width="14" customWidth="1"/>
    <col min="6" max="10" width="16" customWidth="1"/>
    <col min="11" max="13" width="18" customWidth="1"/>
    <col min="14" max="14" width="28" customWidth="1"/>
  </cols>
  <sheetData>
    <row r="1" spans="1:26">
      <c r="A1" s="58" t="s">
        <v>106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60" t="s">
        <v>107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26">
      <c r="A4" s="1" t="s">
        <v>68</v>
      </c>
      <c r="B4" s="1" t="s">
        <v>69</v>
      </c>
      <c r="C4" s="1" t="s">
        <v>70</v>
      </c>
      <c r="D4" s="1" t="s">
        <v>11</v>
      </c>
      <c r="E4" s="1" t="s">
        <v>12</v>
      </c>
      <c r="F4" s="1" t="s">
        <v>13</v>
      </c>
      <c r="G4" s="1" t="s">
        <v>74</v>
      </c>
      <c r="H4" s="1" t="s">
        <v>21</v>
      </c>
      <c r="I4" s="1" t="s">
        <v>108</v>
      </c>
      <c r="J4" s="1" t="s">
        <v>109</v>
      </c>
      <c r="K4" s="1" t="s">
        <v>30</v>
      </c>
      <c r="L4" s="1" t="s">
        <v>33</v>
      </c>
      <c r="M4" s="1" t="s">
        <v>110</v>
      </c>
      <c r="N4" s="1" t="s">
        <v>15</v>
      </c>
    </row>
    <row r="5" spans="1:26">
      <c r="A5" s="2" t="str">
        <f>IF(Reittivaihtoehdot!A5="","",Reittivaihtoehdot!A5)</f>
        <v>R1</v>
      </c>
      <c r="B5" s="2" t="str">
        <f>IF(Reittivaihtoehdot!A5="","",Reittivaihtoehdot!B5)</f>
        <v>Vantaa → Tampere → Pori</v>
      </c>
      <c r="C5" s="2">
        <f>IF(Reittivaihtoehdot!A5="","",Reittivaihtoehdot!C5)</f>
        <v>290</v>
      </c>
      <c r="D5" s="2">
        <f>IF(Reittivaihtoehdot!A5="","",Reittivaihtoehdot!D5)</f>
        <v>3.9</v>
      </c>
      <c r="E5" s="3">
        <f>IF(Reittivaihtoehdot!A5="","",IF(Reittivaihtoehdot!H5=0,0,Reittivaihtoehdot!G5/Reittivaihtoehdot!H5))</f>
        <v>0.54545454545454541</v>
      </c>
      <c r="F5" s="3">
        <f>IF(Reittivaihtoehdot!A5="","",Reittivaihtoehdot!I5)</f>
        <v>0.18</v>
      </c>
      <c r="G5" s="2">
        <f>IF(Reittivaihtoehdot!A5="","",Reittivaihtoehdot!J5)</f>
        <v>2</v>
      </c>
      <c r="H5" s="8">
        <f>IF(A5="","",MAX(0,MIN(100,100*(1-(C5-Painotukset!D5)/(Painotukset!E5-Painotukset!D5)))))</f>
        <v>91.111111111111114</v>
      </c>
      <c r="I5" s="8">
        <f>IF(A5="","",MAX(0,MIN(100,100*(1-(D5-Painotukset!D6)/(Painotukset!E6-Painotukset!D6)))))</f>
        <v>85</v>
      </c>
      <c r="J5" s="8">
        <f>IF(A5="","",MAX(0,MIN(100,IF(E5&lt;=Painotukset!E7,100*(E5/Painotukset!E7),100*(1-(E5-Painotukset!E7)/(1-Painotukset!E7))))))</f>
        <v>57.41626794258373</v>
      </c>
      <c r="K5" s="8">
        <f>IF(A5="","",MAX(0,MIN(100,100*((F5-Painotukset!D8)/(Painotukset!E8-Painotukset!D8)))))</f>
        <v>66.666666666666657</v>
      </c>
      <c r="L5" s="8">
        <f>IF(A5="","",MAX(0,MIN(100,100*(1-(G5-Painotukset!D9)/(Painotukset!E9-Painotukset!D9)))))</f>
        <v>75</v>
      </c>
      <c r="M5" s="8">
        <f>IF(A5="","",H5*Painotukset!B5+I5*Painotukset!B6+J5*Painotukset!B7+K5*Painotukset!B8+L5*Painotukset!B9)</f>
        <v>76.187400318979257</v>
      </c>
      <c r="N5" s="2" t="str">
        <f t="shared" ref="N5:N14" si="0">IF(A5="","",IF(M5=MAX($M$5:$M$14),"SUOSITUS",""))</f>
        <v>SUOSITUS</v>
      </c>
    </row>
    <row r="6" spans="1:26">
      <c r="A6" s="2" t="str">
        <f>IF(Reittivaihtoehdot!A6="","",Reittivaihtoehdot!A6)</f>
        <v>R2</v>
      </c>
      <c r="B6" s="2" t="str">
        <f>IF(Reittivaihtoehdot!A6="","",Reittivaihtoehdot!B6)</f>
        <v>Vantaa → Pori → Tampere</v>
      </c>
      <c r="C6" s="2">
        <f>IF(Reittivaihtoehdot!A6="","",Reittivaihtoehdot!C6)</f>
        <v>330</v>
      </c>
      <c r="D6" s="2">
        <f>IF(Reittivaihtoehdot!A6="","",Reittivaihtoehdot!D6)</f>
        <v>4.4000000000000004</v>
      </c>
      <c r="E6" s="3">
        <f>IF(Reittivaihtoehdot!A6="","",IF(Reittivaihtoehdot!H6=0,0,Reittivaihtoehdot!G6/Reittivaihtoehdot!H6))</f>
        <v>0.54545454545454541</v>
      </c>
      <c r="F6" s="3">
        <f>IF(Reittivaihtoehdot!A6="","",Reittivaihtoehdot!I6)</f>
        <v>0.15</v>
      </c>
      <c r="G6" s="2">
        <f>IF(Reittivaihtoehdot!A6="","",Reittivaihtoehdot!J6)</f>
        <v>3</v>
      </c>
      <c r="H6" s="8">
        <f>IF(A6="","",MAX(0,MIN(100,100*(1-(C6-Painotukset!D5)/(Painotukset!E5-Painotukset!D5)))))</f>
        <v>82.222222222222214</v>
      </c>
      <c r="I6" s="8">
        <f>IF(A6="","",MAX(0,MIN(100,100*(1-(D6-Painotukset!D6)/(Painotukset!E6-Painotukset!D6)))))</f>
        <v>76.666666666666657</v>
      </c>
      <c r="J6" s="8">
        <f>IF(A6="","",MAX(0,MIN(100,IF(E6&lt;=Painotukset!E7,100*(E6/Painotukset!E7),100*(1-(E6-Painotukset!E7)/(1-Painotukset!E7))))))</f>
        <v>57.41626794258373</v>
      </c>
      <c r="K6" s="8">
        <f>IF(A6="","",MAX(0,MIN(100,100*((F6-Painotukset!D8)/(Painotukset!E8-Painotukset!D8)))))</f>
        <v>41.666666666666657</v>
      </c>
      <c r="L6" s="8">
        <f>IF(A6="","",MAX(0,MIN(100,100*(1-(G6-Painotukset!D9)/(Painotukset!E9-Painotukset!D9)))))</f>
        <v>62.5</v>
      </c>
      <c r="M6" s="8">
        <f>IF(A6="","",H6*Painotukset!B5+I6*Painotukset!B6+J6*Painotukset!B7+K6*Painotukset!B8+L6*Painotukset!B9)</f>
        <v>66.854066985645929</v>
      </c>
      <c r="N6" s="2" t="str">
        <f t="shared" si="0"/>
        <v/>
      </c>
    </row>
    <row r="7" spans="1:26">
      <c r="A7" s="2" t="str">
        <f>IF(Reittivaihtoehdot!A7="","",Reittivaihtoehdot!A7)</f>
        <v>R3</v>
      </c>
      <c r="B7" s="2" t="str">
        <f>IF(Reittivaihtoehdot!A7="","",Reittivaihtoehdot!B7)</f>
        <v>Vantaa → Tampere → Pori → Oulu</v>
      </c>
      <c r="C7" s="2">
        <f>IF(Reittivaihtoehdot!A7="","",Reittivaihtoehdot!C7)</f>
        <v>610</v>
      </c>
      <c r="D7" s="2">
        <f>IF(Reittivaihtoehdot!A7="","",Reittivaihtoehdot!D7)</f>
        <v>8.1</v>
      </c>
      <c r="E7" s="3">
        <f>IF(Reittivaihtoehdot!A7="","",IF(Reittivaihtoehdot!H7=0,0,Reittivaihtoehdot!G7/Reittivaihtoehdot!H7))</f>
        <v>0.90909090909090906</v>
      </c>
      <c r="F7" s="3">
        <f>IF(Reittivaihtoehdot!A7="","",Reittivaihtoehdot!I7)</f>
        <v>0.16</v>
      </c>
      <c r="G7" s="2">
        <f>IF(Reittivaihtoehdot!A7="","",Reittivaihtoehdot!J7)</f>
        <v>5</v>
      </c>
      <c r="H7" s="8">
        <f>IF(A7="","",MAX(0,MIN(100,100*(1-(C7-Painotukset!D5)/(Painotukset!E5-Painotukset!D5)))))</f>
        <v>19.999999999999996</v>
      </c>
      <c r="I7" s="8">
        <f>IF(A7="","",MAX(0,MIN(100,100*(1-(D7-Painotukset!D6)/(Painotukset!E6-Painotukset!D6)))))</f>
        <v>15.000000000000002</v>
      </c>
      <c r="J7" s="8">
        <f>IF(A7="","",MAX(0,MIN(100,IF(E7&lt;=Painotukset!E7,100*(E7/Painotukset!E7),100*(1-(E7-Painotukset!E7)/(1-Painotukset!E7))))))</f>
        <v>95.693779904306226</v>
      </c>
      <c r="K7" s="8">
        <f>IF(A7="","",MAX(0,MIN(100,100*((F7-Painotukset!D8)/(Painotukset!E8-Painotukset!D8)))))</f>
        <v>50</v>
      </c>
      <c r="L7" s="8">
        <f>IF(A7="","",MAX(0,MIN(100,100*(1-(G7-Painotukset!D9)/(Painotukset!E9-Painotukset!D9)))))</f>
        <v>37.5</v>
      </c>
      <c r="M7" s="8">
        <f>IF(A7="","",H7*Painotukset!B5+I7*Painotukset!B6+J7*Painotukset!B7+K7*Painotukset!B8+L7*Painotukset!B9)</f>
        <v>44.173444976076553</v>
      </c>
      <c r="N7" s="2" t="str">
        <f t="shared" si="0"/>
        <v/>
      </c>
    </row>
    <row r="8" spans="1:26">
      <c r="A8" s="2" t="str">
        <f>IF(Reittivaihtoehdot!A8="","",Reittivaihtoehdot!A8)</f>
        <v>R4</v>
      </c>
      <c r="B8" s="2" t="str">
        <f>IF(Reittivaihtoehdot!A8="","",Reittivaihtoehdot!B8)</f>
        <v>Jaetaan kahteen autoon</v>
      </c>
      <c r="C8" s="2">
        <f>IF(Reittivaihtoehdot!A8="","",Reittivaihtoehdot!C8)</f>
        <v>410</v>
      </c>
      <c r="D8" s="2">
        <f>IF(Reittivaihtoehdot!A8="","",Reittivaihtoehdot!D8)</f>
        <v>5.5</v>
      </c>
      <c r="E8" s="3">
        <f>IF(Reittivaihtoehdot!A8="","",IF(Reittivaihtoehdot!H8=0,0,Reittivaihtoehdot!G8/Reittivaihtoehdot!H8))</f>
        <v>0.27272727272727271</v>
      </c>
      <c r="F8" s="3">
        <f>IF(Reittivaihtoehdot!A8="","",Reittivaihtoehdot!I8)</f>
        <v>0.1</v>
      </c>
      <c r="G8" s="2">
        <f>IF(Reittivaihtoehdot!A8="","",Reittivaihtoehdot!J8)</f>
        <v>2</v>
      </c>
      <c r="H8" s="8">
        <f>IF(A8="","",MAX(0,MIN(100,100*(1-(C8-Painotukset!D5)/(Painotukset!E5-Painotukset!D5)))))</f>
        <v>64.444444444444443</v>
      </c>
      <c r="I8" s="8">
        <f>IF(A8="","",MAX(0,MIN(100,100*(1-(D8-Painotukset!D6)/(Painotukset!E6-Painotukset!D6)))))</f>
        <v>58.333333333333329</v>
      </c>
      <c r="J8" s="8">
        <f>IF(A8="","",MAX(0,MIN(100,IF(E8&lt;=Painotukset!E7,100*(E8/Painotukset!E7),100*(1-(E8-Painotukset!E7)/(1-Painotukset!E7))))))</f>
        <v>28.708133971291865</v>
      </c>
      <c r="K8" s="8">
        <f>IF(A8="","",MAX(0,MIN(100,100*((F8-Painotukset!D8)/(Painotukset!E8-Painotukset!D8)))))</f>
        <v>0</v>
      </c>
      <c r="L8" s="8">
        <f>IF(A8="","",MAX(0,MIN(100,100*(1-(G8-Painotukset!D9)/(Painotukset!E9-Painotukset!D9)))))</f>
        <v>75</v>
      </c>
      <c r="M8" s="8">
        <f>IF(A8="","",H8*Painotukset!B5+I8*Painotukset!B6+J8*Painotukset!B7+K8*Painotukset!B8+L8*Painotukset!B9)</f>
        <v>45.677033492822964</v>
      </c>
      <c r="N8" s="2" t="str">
        <f t="shared" si="0"/>
        <v/>
      </c>
    </row>
    <row r="9" spans="1:26">
      <c r="A9" s="2" t="str">
        <f>IF(Reittivaihtoehdot!A9="","",Reittivaihtoehdot!A9)</f>
        <v>R5</v>
      </c>
      <c r="B9" s="2" t="str">
        <f>IF(Reittivaihtoehdot!A9="","",Reittivaihtoehdot!B9)</f>
        <v>Vantaa → Turku → Tampere → Pori</v>
      </c>
      <c r="C9" s="2">
        <f>IF(Reittivaihtoehdot!A9="","",Reittivaihtoehdot!C9)</f>
        <v>455</v>
      </c>
      <c r="D9" s="2">
        <f>IF(Reittivaihtoehdot!A9="","",Reittivaihtoehdot!D9)</f>
        <v>6.1</v>
      </c>
      <c r="E9" s="3">
        <f>IF(Reittivaihtoehdot!A9="","",IF(Reittivaihtoehdot!H9=0,0,Reittivaihtoehdot!G9/Reittivaihtoehdot!H9))</f>
        <v>0.72727272727272729</v>
      </c>
      <c r="F9" s="3">
        <f>IF(Reittivaihtoehdot!A9="","",Reittivaihtoehdot!I9)</f>
        <v>0.17</v>
      </c>
      <c r="G9" s="2">
        <f>IF(Reittivaihtoehdot!A9="","",Reittivaihtoehdot!J9)</f>
        <v>4</v>
      </c>
      <c r="H9" s="8">
        <f>IF(A9="","",MAX(0,MIN(100,100*(1-(C9-Painotukset!D5)/(Painotukset!E5-Painotukset!D5)))))</f>
        <v>54.44444444444445</v>
      </c>
      <c r="I9" s="8">
        <f>IF(A9="","",MAX(0,MIN(100,100*(1-(D9-Painotukset!D6)/(Painotukset!E6-Painotukset!D6)))))</f>
        <v>48.333333333333343</v>
      </c>
      <c r="J9" s="8">
        <f>IF(A9="","",MAX(0,MIN(100,IF(E9&lt;=Painotukset!E7,100*(E9/Painotukset!E7),100*(1-(E9-Painotukset!E7)/(1-Painotukset!E7))))))</f>
        <v>76.555023923444992</v>
      </c>
      <c r="K9" s="8">
        <f>IF(A9="","",MAX(0,MIN(100,100*((F9-Painotukset!D8)/(Painotukset!E8-Painotukset!D8)))))</f>
        <v>58.333333333333336</v>
      </c>
      <c r="L9" s="8">
        <f>IF(A9="","",MAX(0,MIN(100,100*(1-(G9-Painotukset!D9)/(Painotukset!E9-Painotukset!D9)))))</f>
        <v>50</v>
      </c>
      <c r="M9" s="8">
        <f>IF(A9="","",H9*Painotukset!B5+I9*Painotukset!B6+J9*Painotukset!B7+K9*Painotukset!B8+L9*Painotukset!B9)</f>
        <v>58.888755980861255</v>
      </c>
      <c r="N9" s="2" t="str">
        <f t="shared" si="0"/>
        <v/>
      </c>
    </row>
    <row r="10" spans="1:26">
      <c r="A10" s="2" t="str">
        <f>IF(Reittivaihtoehdot!A10="","",Reittivaihtoehdot!A10)</f>
        <v/>
      </c>
      <c r="B10" s="2" t="str">
        <f>IF(Reittivaihtoehdot!A10="","",Reittivaihtoehdot!B10)</f>
        <v/>
      </c>
      <c r="C10" s="2" t="str">
        <f>IF(Reittivaihtoehdot!A10="","",Reittivaihtoehdot!C10)</f>
        <v/>
      </c>
      <c r="D10" s="2" t="str">
        <f>IF(Reittivaihtoehdot!A10="","",Reittivaihtoehdot!D10)</f>
        <v/>
      </c>
      <c r="E10" s="3" t="str">
        <f>IF(Reittivaihtoehdot!A10="","",IF(Reittivaihtoehdot!H10=0,0,Reittivaihtoehdot!G10/Reittivaihtoehdot!H10))</f>
        <v/>
      </c>
      <c r="F10" s="3" t="str">
        <f>IF(Reittivaihtoehdot!A10="","",Reittivaihtoehdot!I10)</f>
        <v/>
      </c>
      <c r="G10" s="2" t="str">
        <f>IF(Reittivaihtoehdot!A10="","",Reittivaihtoehdot!J10)</f>
        <v/>
      </c>
      <c r="H10" s="8" t="str">
        <f>IF(A10="","",MAX(0,MIN(100,100*(1-(C10-Painotukset!D5)/(Painotukset!E5-Painotukset!D5)))))</f>
        <v/>
      </c>
      <c r="I10" s="8" t="str">
        <f>IF(A10="","",MAX(0,MIN(100,100*(1-(D10-Painotukset!D6)/(Painotukset!E6-Painotukset!D6)))))</f>
        <v/>
      </c>
      <c r="J10" s="8" t="str">
        <f>IF(A10="","",MAX(0,MIN(100,IF(E10&lt;=Painotukset!E7,100*(E10/Painotukset!E7),100*(1-(E10-Painotukset!E7)/(1-Painotukset!E7))))))</f>
        <v/>
      </c>
      <c r="K10" s="8" t="str">
        <f>IF(A10="","",MAX(0,MIN(100,100*((F10-Painotukset!D8)/(Painotukset!E8-Painotukset!D8)))))</f>
        <v/>
      </c>
      <c r="L10" s="8" t="str">
        <f>IF(A10="","",MAX(0,MIN(100,100*(1-(G10-Painotukset!D9)/(Painotukset!E9-Painotukset!D9)))))</f>
        <v/>
      </c>
      <c r="M10" s="8" t="str">
        <f>IF(A10="","",H10*Painotukset!B5+I10*Painotukset!B6+J10*Painotukset!B7+K10*Painotukset!B8+L10*Painotukset!B9)</f>
        <v/>
      </c>
      <c r="N10" s="2" t="str">
        <f t="shared" si="0"/>
        <v/>
      </c>
    </row>
    <row r="11" spans="1:26">
      <c r="A11" s="2" t="str">
        <f>IF(Reittivaihtoehdot!A11="","",Reittivaihtoehdot!A11)</f>
        <v/>
      </c>
      <c r="B11" s="2" t="str">
        <f>IF(Reittivaihtoehdot!A11="","",Reittivaihtoehdot!B11)</f>
        <v/>
      </c>
      <c r="C11" s="2" t="str">
        <f>IF(Reittivaihtoehdot!A11="","",Reittivaihtoehdot!C11)</f>
        <v/>
      </c>
      <c r="D11" s="2" t="str">
        <f>IF(Reittivaihtoehdot!A11="","",Reittivaihtoehdot!D11)</f>
        <v/>
      </c>
      <c r="E11" s="3" t="str">
        <f>IF(Reittivaihtoehdot!A11="","",IF(Reittivaihtoehdot!H11=0,0,Reittivaihtoehdot!G11/Reittivaihtoehdot!H11))</f>
        <v/>
      </c>
      <c r="F11" s="3" t="str">
        <f>IF(Reittivaihtoehdot!A11="","",Reittivaihtoehdot!I11)</f>
        <v/>
      </c>
      <c r="G11" s="2" t="str">
        <f>IF(Reittivaihtoehdot!A11="","",Reittivaihtoehdot!J11)</f>
        <v/>
      </c>
      <c r="H11" s="8" t="str">
        <f>IF(A11="","",MAX(0,MIN(100,100*(1-(C11-Painotukset!D5)/(Painotukset!E5-Painotukset!D5)))))</f>
        <v/>
      </c>
      <c r="I11" s="8" t="str">
        <f>IF(A11="","",MAX(0,MIN(100,100*(1-(D11-Painotukset!D6)/(Painotukset!E6-Painotukset!D6)))))</f>
        <v/>
      </c>
      <c r="J11" s="8" t="str">
        <f>IF(A11="","",MAX(0,MIN(100,IF(E11&lt;=Painotukset!E7,100*(E11/Painotukset!E7),100*(1-(E11-Painotukset!E7)/(1-Painotukset!E7))))))</f>
        <v/>
      </c>
      <c r="K11" s="8" t="str">
        <f>IF(A11="","",MAX(0,MIN(100,100*((F11-Painotukset!D8)/(Painotukset!E8-Painotukset!D8)))))</f>
        <v/>
      </c>
      <c r="L11" s="8" t="str">
        <f>IF(A11="","",MAX(0,MIN(100,100*(1-(G11-Painotukset!D9)/(Painotukset!E9-Painotukset!D9)))))</f>
        <v/>
      </c>
      <c r="M11" s="8" t="str">
        <f>IF(A11="","",H11*Painotukset!B5+I11*Painotukset!B6+J11*Painotukset!B7+K11*Painotukset!B8+L11*Painotukset!B9)</f>
        <v/>
      </c>
      <c r="N11" s="2" t="str">
        <f t="shared" si="0"/>
        <v/>
      </c>
    </row>
    <row r="12" spans="1:26">
      <c r="A12" s="2" t="str">
        <f>IF(Reittivaihtoehdot!A12="","",Reittivaihtoehdot!A12)</f>
        <v/>
      </c>
      <c r="B12" s="2" t="str">
        <f>IF(Reittivaihtoehdot!A12="","",Reittivaihtoehdot!B12)</f>
        <v/>
      </c>
      <c r="C12" s="2" t="str">
        <f>IF(Reittivaihtoehdot!A12="","",Reittivaihtoehdot!C12)</f>
        <v/>
      </c>
      <c r="D12" s="2" t="str">
        <f>IF(Reittivaihtoehdot!A12="","",Reittivaihtoehdot!D12)</f>
        <v/>
      </c>
      <c r="E12" s="3" t="str">
        <f>IF(Reittivaihtoehdot!A12="","",IF(Reittivaihtoehdot!H12=0,0,Reittivaihtoehdot!G12/Reittivaihtoehdot!H12))</f>
        <v/>
      </c>
      <c r="F12" s="3" t="str">
        <f>IF(Reittivaihtoehdot!A12="","",Reittivaihtoehdot!I12)</f>
        <v/>
      </c>
      <c r="G12" s="2" t="str">
        <f>IF(Reittivaihtoehdot!A12="","",Reittivaihtoehdot!J12)</f>
        <v/>
      </c>
      <c r="H12" s="8" t="str">
        <f>IF(A12="","",MAX(0,MIN(100,100*(1-(C12-Painotukset!D5)/(Painotukset!E5-Painotukset!D5)))))</f>
        <v/>
      </c>
      <c r="I12" s="8" t="str">
        <f>IF(A12="","",MAX(0,MIN(100,100*(1-(D12-Painotukset!D6)/(Painotukset!E6-Painotukset!D6)))))</f>
        <v/>
      </c>
      <c r="J12" s="8" t="str">
        <f>IF(A12="","",MAX(0,MIN(100,IF(E12&lt;=Painotukset!E7,100*(E12/Painotukset!E7),100*(1-(E12-Painotukset!E7)/(1-Painotukset!E7))))))</f>
        <v/>
      </c>
      <c r="K12" s="8" t="str">
        <f>IF(A12="","",MAX(0,MIN(100,100*((F12-Painotukset!D8)/(Painotukset!E8-Painotukset!D8)))))</f>
        <v/>
      </c>
      <c r="L12" s="8" t="str">
        <f>IF(A12="","",MAX(0,MIN(100,100*(1-(G12-Painotukset!D9)/(Painotukset!E9-Painotukset!D9)))))</f>
        <v/>
      </c>
      <c r="M12" s="8" t="str">
        <f>IF(A12="","",H12*Painotukset!B5+I12*Painotukset!B6+J12*Painotukset!B7+K12*Painotukset!B8+L12*Painotukset!B9)</f>
        <v/>
      </c>
      <c r="N12" s="2" t="str">
        <f t="shared" si="0"/>
        <v/>
      </c>
    </row>
    <row r="13" spans="1:26">
      <c r="A13" s="2" t="str">
        <f>IF(Reittivaihtoehdot!A13="","",Reittivaihtoehdot!A13)</f>
        <v/>
      </c>
      <c r="B13" s="2" t="str">
        <f>IF(Reittivaihtoehdot!A13="","",Reittivaihtoehdot!B13)</f>
        <v/>
      </c>
      <c r="C13" s="2" t="str">
        <f>IF(Reittivaihtoehdot!A13="","",Reittivaihtoehdot!C13)</f>
        <v/>
      </c>
      <c r="D13" s="2" t="str">
        <f>IF(Reittivaihtoehdot!A13="","",Reittivaihtoehdot!D13)</f>
        <v/>
      </c>
      <c r="E13" s="3" t="str">
        <f>IF(Reittivaihtoehdot!A13="","",IF(Reittivaihtoehdot!H13=0,0,Reittivaihtoehdot!G13/Reittivaihtoehdot!H13))</f>
        <v/>
      </c>
      <c r="F13" s="3" t="str">
        <f>IF(Reittivaihtoehdot!A13="","",Reittivaihtoehdot!I13)</f>
        <v/>
      </c>
      <c r="G13" s="2" t="str">
        <f>IF(Reittivaihtoehdot!A13="","",Reittivaihtoehdot!J13)</f>
        <v/>
      </c>
      <c r="H13" s="8" t="str">
        <f>IF(A13="","",MAX(0,MIN(100,100*(1-(C13-Painotukset!D5)/(Painotukset!E5-Painotukset!D5)))))</f>
        <v/>
      </c>
      <c r="I13" s="8" t="str">
        <f>IF(A13="","",MAX(0,MIN(100,100*(1-(D13-Painotukset!D6)/(Painotukset!E6-Painotukset!D6)))))</f>
        <v/>
      </c>
      <c r="J13" s="8" t="str">
        <f>IF(A13="","",MAX(0,MIN(100,IF(E13&lt;=Painotukset!E7,100*(E13/Painotukset!E7),100*(1-(E13-Painotukset!E7)/(1-Painotukset!E7))))))</f>
        <v/>
      </c>
      <c r="K13" s="8" t="str">
        <f>IF(A13="","",MAX(0,MIN(100,100*((F13-Painotukset!D8)/(Painotukset!E8-Painotukset!D8)))))</f>
        <v/>
      </c>
      <c r="L13" s="8" t="str">
        <f>IF(A13="","",MAX(0,MIN(100,100*(1-(G13-Painotukset!D9)/(Painotukset!E9-Painotukset!D9)))))</f>
        <v/>
      </c>
      <c r="M13" s="8" t="str">
        <f>IF(A13="","",H13*Painotukset!B5+I13*Painotukset!B6+J13*Painotukset!B7+K13*Painotukset!B8+L13*Painotukset!B9)</f>
        <v/>
      </c>
      <c r="N13" s="2" t="str">
        <f t="shared" si="0"/>
        <v/>
      </c>
    </row>
    <row r="14" spans="1:26">
      <c r="A14" s="2" t="str">
        <f>IF(Reittivaihtoehdot!A14="","",Reittivaihtoehdot!A14)</f>
        <v/>
      </c>
      <c r="B14" s="2" t="str">
        <f>IF(Reittivaihtoehdot!A14="","",Reittivaihtoehdot!B14)</f>
        <v/>
      </c>
      <c r="C14" s="2" t="str">
        <f>IF(Reittivaihtoehdot!A14="","",Reittivaihtoehdot!C14)</f>
        <v/>
      </c>
      <c r="D14" s="2" t="str">
        <f>IF(Reittivaihtoehdot!A14="","",Reittivaihtoehdot!D14)</f>
        <v/>
      </c>
      <c r="E14" s="3" t="str">
        <f>IF(Reittivaihtoehdot!A14="","",IF(Reittivaihtoehdot!H14=0,0,Reittivaihtoehdot!G14/Reittivaihtoehdot!H14))</f>
        <v/>
      </c>
      <c r="F14" s="3" t="str">
        <f>IF(Reittivaihtoehdot!A14="","",Reittivaihtoehdot!I14)</f>
        <v/>
      </c>
      <c r="G14" s="2" t="str">
        <f>IF(Reittivaihtoehdot!A14="","",Reittivaihtoehdot!J14)</f>
        <v/>
      </c>
      <c r="H14" s="8" t="str">
        <f>IF(A14="","",MAX(0,MIN(100,100*(1-(C14-Painotukset!D5)/(Painotukset!E5-Painotukset!D5)))))</f>
        <v/>
      </c>
      <c r="I14" s="8" t="str">
        <f>IF(A14="","",MAX(0,MIN(100,100*(1-(D14-Painotukset!D6)/(Painotukset!E6-Painotukset!D6)))))</f>
        <v/>
      </c>
      <c r="J14" s="8" t="str">
        <f>IF(A14="","",MAX(0,MIN(100,IF(E14&lt;=Painotukset!E7,100*(E14/Painotukset!E7),100*(1-(E14-Painotukset!E7)/(1-Painotukset!E7))))))</f>
        <v/>
      </c>
      <c r="K14" s="8" t="str">
        <f>IF(A14="","",MAX(0,MIN(100,100*((F14-Painotukset!D8)/(Painotukset!E8-Painotukset!D8)))))</f>
        <v/>
      </c>
      <c r="L14" s="8" t="str">
        <f>IF(A14="","",MAX(0,MIN(100,100*(1-(G14-Painotukset!D9)/(Painotukset!E9-Painotukset!D9)))))</f>
        <v/>
      </c>
      <c r="M14" s="8" t="str">
        <f>IF(A14="","",H14*Painotukset!B5+I14*Painotukset!B6+J14*Painotukset!B7+K14*Painotukset!B8+L14*Painotukset!B9)</f>
        <v/>
      </c>
      <c r="N14" s="2" t="str">
        <f t="shared" si="0"/>
        <v/>
      </c>
    </row>
    <row r="31" spans="1:14">
      <c r="A31" s="62" t="s">
        <v>111</v>
      </c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</row>
    <row r="32" spans="1:14">
      <c r="A32" s="1" t="s">
        <v>112</v>
      </c>
      <c r="B32" s="1" t="s">
        <v>69</v>
      </c>
      <c r="C32" s="1" t="s">
        <v>113</v>
      </c>
      <c r="D32" s="1" t="s">
        <v>70</v>
      </c>
      <c r="E32" s="1" t="s">
        <v>11</v>
      </c>
      <c r="F32" s="1" t="s">
        <v>12</v>
      </c>
      <c r="G32" s="1" t="s">
        <v>13</v>
      </c>
      <c r="H32" s="1" t="s">
        <v>14</v>
      </c>
      <c r="I32" s="1" t="s">
        <v>15</v>
      </c>
      <c r="J32" s="1" t="s">
        <v>16</v>
      </c>
    </row>
    <row r="33" spans="1:10" ht="55.2">
      <c r="A33" s="2" t="str">
        <f>INDEX(A5:A14,MATCH(MAX(M5:M14),M5:M14,0))</f>
        <v>R1</v>
      </c>
      <c r="B33" s="2" t="str">
        <f>INDEX(B5:B14,MATCH(MAX(M5:M14),M5:M14,0))</f>
        <v>Vantaa → Tampere → Pori</v>
      </c>
      <c r="C33" s="2">
        <f>MAX(M5:M14)</f>
        <v>76.187400318979257</v>
      </c>
      <c r="D33" s="2">
        <f>INDEX(C5:C14,MATCH(MAX(M5:M14),M5:M14,0))</f>
        <v>290</v>
      </c>
      <c r="E33" s="2">
        <f>INDEX(D5:D14,MATCH(MAX(M5:M14),M5:M14,0))</f>
        <v>3.9</v>
      </c>
      <c r="F33" s="3">
        <f>INDEX(E5:E14,MATCH(MAX(M5:M14),M5:M14,0))</f>
        <v>0.54545454545454541</v>
      </c>
      <c r="G33" s="3">
        <f>INDEX(F5:F14,MATCH(MAX(M5:M14),M5:M14,0))</f>
        <v>0.18</v>
      </c>
      <c r="H33" s="2" t="str">
        <f>IF(INDEX(G5:G14,MATCH(MAX(M5:M14),M5:M14,0))&gt;=5,"Korkea",IF(INDEX(G5:G14,MATCH(MAX(M5:M14),M5:M14,0))&gt;=3,"Keskitaso","Matala"))</f>
        <v>Matala</v>
      </c>
      <c r="I33" s="2" t="str">
        <f>IF(C33&gt;=75,"Aja tällä vaihtoehdolla",IF(C33&gt;=60,"Tarkista manuaalisesti","Ei suositella"))</f>
        <v>Aja tällä vaihtoehdolla</v>
      </c>
      <c r="J33" s="2" t="e">
        <f ca="1">_xludf.TEXTJOIN(", ",TRUE,IF(E33&lt;=4.5,"ei taukopakkoa","tauko huomioitava"),IF(F33&gt;=0.85,"hyvä täyttöaste","täyttöaste tarkistettava"),IF(G33&gt;=0.15,"kate ok","kate matala"))</f>
        <v>#NAME?</v>
      </c>
    </row>
  </sheetData>
  <mergeCells count="3">
    <mergeCell ref="A1:N1"/>
    <mergeCell ref="A2:N2"/>
    <mergeCell ref="A31:N31"/>
  </mergeCells>
  <conditionalFormatting sqref="M5:M14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conditionalFormatting sqref="N5:N14">
    <cfRule type="expression" dxfId="13" priority="2">
      <formula>N5="SUOSITUS"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3"/>
  <sheetViews>
    <sheetView workbookViewId="0"/>
  </sheetViews>
  <sheetFormatPr defaultRowHeight="13.8"/>
  <cols>
    <col min="1" max="1" width="12" customWidth="1"/>
    <col min="2" max="2" width="20" customWidth="1"/>
    <col min="3" max="3" width="18" customWidth="1"/>
    <col min="4" max="8" width="14" customWidth="1"/>
    <col min="9" max="9" width="16" customWidth="1"/>
    <col min="10" max="12" width="18" customWidth="1"/>
    <col min="13" max="13" width="26" customWidth="1"/>
  </cols>
  <sheetData>
    <row r="1" spans="1:26">
      <c r="A1" s="58" t="s">
        <v>114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60" t="s">
        <v>115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</row>
    <row r="4" spans="1:26" ht="27.6">
      <c r="A4" s="10" t="s">
        <v>38</v>
      </c>
      <c r="B4" s="10" t="s">
        <v>116</v>
      </c>
      <c r="C4" s="10" t="s">
        <v>40</v>
      </c>
      <c r="D4" s="10" t="s">
        <v>41</v>
      </c>
      <c r="E4" s="10" t="s">
        <v>42</v>
      </c>
      <c r="F4" s="10" t="s">
        <v>43</v>
      </c>
      <c r="G4" s="10" t="s">
        <v>44</v>
      </c>
      <c r="H4" s="10" t="s">
        <v>45</v>
      </c>
      <c r="I4" s="10" t="s">
        <v>117</v>
      </c>
      <c r="J4" s="10" t="s">
        <v>118</v>
      </c>
      <c r="K4" s="10" t="s">
        <v>119</v>
      </c>
      <c r="L4" s="10" t="s">
        <v>120</v>
      </c>
      <c r="M4" s="10" t="s">
        <v>5</v>
      </c>
    </row>
    <row r="5" spans="1:26">
      <c r="A5" s="12" t="str">
        <f>IF(Lähetykset!A5="","",Lähetykset!A5)</f>
        <v>A</v>
      </c>
      <c r="B5" s="12" t="str">
        <f>IF(A5="","",IF(ISNUMBER(SEARCH(A5,INDEX(Reittivaihtoehdot!K:K,MATCH(Optimointi!A33,Reittivaihtoehdot!A:A,0)))),"Kyllä","Ei"))</f>
        <v>Kyllä</v>
      </c>
      <c r="C5" s="13" t="str">
        <f>IF(A5="","",Lähetykset!C5)</f>
        <v>Tampere</v>
      </c>
      <c r="D5" s="13">
        <f>IF(A5="","",Lähetykset!D5)</f>
        <v>8</v>
      </c>
      <c r="E5" s="12">
        <f>IF(A5="","",Lähetykset!E5)</f>
        <v>2500</v>
      </c>
      <c r="F5" s="12">
        <f>IF(OR(A5="",Lähetykset!F5=""),"",Lähetykset!F5)</f>
        <v>2</v>
      </c>
      <c r="G5" s="12">
        <f>IF(OR(A5="",Lähetykset!G5=""),"",Lähetykset!G5)</f>
        <v>6</v>
      </c>
      <c r="H5" s="12" t="str">
        <f>IF(A5="","",Lähetykset!H5)</f>
        <v>Ei</v>
      </c>
      <c r="I5" s="12">
        <f>IF(A5="","",COUNTIF($B$5:B5,"Kyllä"))</f>
        <v>1</v>
      </c>
      <c r="J5" s="12" t="str">
        <f t="shared" ref="J5:J14" si="0">IF(B5&lt;&gt;"Kyllä","",IF(I5=1,"Perä",IF(I5=2,"Keskiosa","Keula")))</f>
        <v>Perä</v>
      </c>
      <c r="K5" s="12" t="str">
        <f t="shared" ref="K5:K14" si="1">IF(B5&lt;&gt;"Kyllä","",IF(SUMIF($B$5:$B$14,"Kyllä",$D$5:$D$14)&gt;33,"Ei mahdu",IF(SUMIF($B$5:$B$14,"Kyllä",$E$5:$E$14)&gt;24000,"Paino yli","OK")))</f>
        <v>OK</v>
      </c>
      <c r="L5" s="12" t="str">
        <f t="shared" ref="L5:L14" si="2">IF(B5&lt;&gt;"Kyllä","",IF(H5="Kyllä","ADR",IF(AND(F5&lt;&gt;"",G5&lt;&gt;""),"Thermo","Normaali")))</f>
        <v>Thermo</v>
      </c>
      <c r="M5" s="12" t="str">
        <f t="shared" ref="M5:M14" si="3">IF(B5&lt;&gt;"Kyllä","",IF(K5&lt;&gt;"OK","Tarkista kapasiteetti",IF(L5="ADR","ADR-lisä",IF(L5="Thermo","Thermolisä",""))))</f>
        <v>Thermolisä</v>
      </c>
    </row>
    <row r="6" spans="1:26">
      <c r="A6" s="12" t="str">
        <f>IF(Lähetykset!A6="","",Lähetykset!A6)</f>
        <v>B</v>
      </c>
      <c r="B6" s="12" t="str">
        <f>IF(A6="","",IF(ISNUMBER(SEARCH(A6,INDEX(Reittivaihtoehdot!K:K,MATCH(Optimointi!A33,Reittivaihtoehdot!A:A,0)))),"Kyllä","Ei"))</f>
        <v>Kyllä</v>
      </c>
      <c r="C6" s="13" t="str">
        <f>IF(A6="","",Lähetykset!C6)</f>
        <v>Pori</v>
      </c>
      <c r="D6" s="13">
        <f>IF(A6="","",Lähetykset!D6)</f>
        <v>10</v>
      </c>
      <c r="E6" s="12">
        <f>IF(A6="","",Lähetykset!E6)</f>
        <v>3200</v>
      </c>
      <c r="F6" s="12">
        <f>IF(OR(A6="",Lähetykset!F6=""),"",Lähetykset!F6)</f>
        <v>2</v>
      </c>
      <c r="G6" s="12">
        <f>IF(OR(A6="",Lähetykset!G6=""),"",Lähetykset!G6)</f>
        <v>6</v>
      </c>
      <c r="H6" s="12" t="str">
        <f>IF(A6="","",Lähetykset!H6)</f>
        <v>Ei</v>
      </c>
      <c r="I6" s="12">
        <f>IF(A6="","",COUNTIF($B$5:B6,"Kyllä"))</f>
        <v>2</v>
      </c>
      <c r="J6" s="12" t="str">
        <f t="shared" si="0"/>
        <v>Keskiosa</v>
      </c>
      <c r="K6" s="12" t="str">
        <f t="shared" si="1"/>
        <v>OK</v>
      </c>
      <c r="L6" s="12" t="str">
        <f t="shared" si="2"/>
        <v>Thermo</v>
      </c>
      <c r="M6" s="12" t="str">
        <f t="shared" si="3"/>
        <v>Thermolisä</v>
      </c>
    </row>
    <row r="7" spans="1:26">
      <c r="A7" s="12" t="str">
        <f>IF(Lähetykset!A7="","",Lähetykset!A7)</f>
        <v>C</v>
      </c>
      <c r="B7" s="12" t="str">
        <f>IF(A7="","",IF(ISNUMBER(SEARCH(A7,INDEX(Reittivaihtoehdot!K:K,MATCH(Optimointi!A33,Reittivaihtoehdot!A:A,0)))),"Kyllä","Ei"))</f>
        <v>Ei</v>
      </c>
      <c r="C7" s="13" t="str">
        <f>IF(A7="","",Lähetykset!C7)</f>
        <v>Oulu</v>
      </c>
      <c r="D7" s="13">
        <f>IF(A7="","",Lähetykset!D7)</f>
        <v>12</v>
      </c>
      <c r="E7" s="12">
        <f>IF(A7="","",Lähetykset!E7)</f>
        <v>5000</v>
      </c>
      <c r="F7" s="12" t="str">
        <f>IF(OR(A7="",Lähetykset!F7=""),"",Lähetykset!F7)</f>
        <v/>
      </c>
      <c r="G7" s="12" t="str">
        <f>IF(OR(A7="",Lähetykset!G7=""),"",Lähetykset!G7)</f>
        <v/>
      </c>
      <c r="H7" s="12" t="str">
        <f>IF(A7="","",Lähetykset!H7)</f>
        <v>Ei</v>
      </c>
      <c r="I7" s="12">
        <f>IF(A7="","",COUNTIF($B$5:B7,"Kyllä"))</f>
        <v>2</v>
      </c>
      <c r="J7" s="12" t="str">
        <f t="shared" si="0"/>
        <v/>
      </c>
      <c r="K7" s="12" t="str">
        <f t="shared" si="1"/>
        <v/>
      </c>
      <c r="L7" s="12" t="str">
        <f t="shared" si="2"/>
        <v/>
      </c>
      <c r="M7" s="12" t="str">
        <f t="shared" si="3"/>
        <v/>
      </c>
    </row>
    <row r="8" spans="1:26">
      <c r="A8" s="12" t="str">
        <f>IF(Lähetykset!A8="","",Lähetykset!A8)</f>
        <v>D</v>
      </c>
      <c r="B8" s="12" t="str">
        <f>IF(A8="","",IF(ISNUMBER(SEARCH(A8,INDEX(Reittivaihtoehdot!K:K,MATCH(Optimointi!A33,Reittivaihtoehdot!A:A,0)))),"Kyllä","Ei"))</f>
        <v>Ei</v>
      </c>
      <c r="C8" s="13" t="str">
        <f>IF(A8="","",Lähetykset!C8)</f>
        <v>Turku</v>
      </c>
      <c r="D8" s="13">
        <f>IF(A8="","",Lähetykset!D8)</f>
        <v>6</v>
      </c>
      <c r="E8" s="12">
        <f>IF(A8="","",Lähetykset!E8)</f>
        <v>1800</v>
      </c>
      <c r="F8" s="12" t="str">
        <f>IF(OR(A8="",Lähetykset!F8=""),"",Lähetykset!F8)</f>
        <v/>
      </c>
      <c r="G8" s="12" t="str">
        <f>IF(OR(A8="",Lähetykset!G8=""),"",Lähetykset!G8)</f>
        <v/>
      </c>
      <c r="H8" s="12" t="str">
        <f>IF(A8="","",Lähetykset!H8)</f>
        <v>Kyllä</v>
      </c>
      <c r="I8" s="12">
        <f>IF(A8="","",COUNTIF($B$5:B8,"Kyllä"))</f>
        <v>2</v>
      </c>
      <c r="J8" s="12" t="str">
        <f t="shared" si="0"/>
        <v/>
      </c>
      <c r="K8" s="12" t="str">
        <f t="shared" si="1"/>
        <v/>
      </c>
      <c r="L8" s="12" t="str">
        <f t="shared" si="2"/>
        <v/>
      </c>
      <c r="M8" s="12" t="str">
        <f t="shared" si="3"/>
        <v/>
      </c>
    </row>
    <row r="9" spans="1:26">
      <c r="A9" s="12" t="str">
        <f>IF(Lähetykset!A9="","",Lähetykset!A9)</f>
        <v/>
      </c>
      <c r="B9" s="12" t="str">
        <f>IF(A9="","",IF(ISNUMBER(SEARCH(A9,INDEX(Reittivaihtoehdot!K:K,MATCH(Optimointi!A33,Reittivaihtoehdot!A:A,0)))),"Kyllä","Ei"))</f>
        <v/>
      </c>
      <c r="C9" s="13" t="str">
        <f>IF(A9="","",Lähetykset!C9)</f>
        <v/>
      </c>
      <c r="D9" s="13" t="str">
        <f>IF(A9="","",Lähetykset!D9)</f>
        <v/>
      </c>
      <c r="E9" s="12" t="str">
        <f>IF(A9="","",Lähetykset!E9)</f>
        <v/>
      </c>
      <c r="F9" s="12" t="str">
        <f>IF(OR(A9="",Lähetykset!F9=""),"",Lähetykset!F9)</f>
        <v/>
      </c>
      <c r="G9" s="12" t="str">
        <f>IF(OR(A9="",Lähetykset!G9=""),"",Lähetykset!G9)</f>
        <v/>
      </c>
      <c r="H9" s="12" t="str">
        <f>IF(A9="","",Lähetykset!H9)</f>
        <v/>
      </c>
      <c r="I9" s="12" t="str">
        <f>IF(A9="","",COUNTIF($B$5:B9,"Kyllä"))</f>
        <v/>
      </c>
      <c r="J9" s="12" t="str">
        <f t="shared" si="0"/>
        <v/>
      </c>
      <c r="K9" s="12" t="str">
        <f t="shared" si="1"/>
        <v/>
      </c>
      <c r="L9" s="12" t="str">
        <f t="shared" si="2"/>
        <v/>
      </c>
      <c r="M9" s="12" t="str">
        <f t="shared" si="3"/>
        <v/>
      </c>
    </row>
    <row r="10" spans="1:26">
      <c r="A10" s="12" t="str">
        <f>IF(Lähetykset!A10="","",Lähetykset!A10)</f>
        <v/>
      </c>
      <c r="B10" s="12" t="str">
        <f>IF(A10="","",IF(ISNUMBER(SEARCH(A10,INDEX(Reittivaihtoehdot!K:K,MATCH(Optimointi!A33,Reittivaihtoehdot!A:A,0)))),"Kyllä","Ei"))</f>
        <v/>
      </c>
      <c r="C10" s="13" t="str">
        <f>IF(A10="","",Lähetykset!C10)</f>
        <v/>
      </c>
      <c r="D10" s="13" t="str">
        <f>IF(A10="","",Lähetykset!D10)</f>
        <v/>
      </c>
      <c r="E10" s="12" t="str">
        <f>IF(A10="","",Lähetykset!E10)</f>
        <v/>
      </c>
      <c r="F10" s="12" t="str">
        <f>IF(OR(A10="",Lähetykset!F10=""),"",Lähetykset!F10)</f>
        <v/>
      </c>
      <c r="G10" s="12" t="str">
        <f>IF(OR(A10="",Lähetykset!G10=""),"",Lähetykset!G10)</f>
        <v/>
      </c>
      <c r="H10" s="12" t="str">
        <f>IF(A10="","",Lähetykset!H10)</f>
        <v/>
      </c>
      <c r="I10" s="12" t="str">
        <f>IF(A10="","",COUNTIF($B$5:B10,"Kyllä"))</f>
        <v/>
      </c>
      <c r="J10" s="12" t="str">
        <f t="shared" si="0"/>
        <v/>
      </c>
      <c r="K10" s="12" t="str">
        <f t="shared" si="1"/>
        <v/>
      </c>
      <c r="L10" s="12" t="str">
        <f t="shared" si="2"/>
        <v/>
      </c>
      <c r="M10" s="12" t="str">
        <f t="shared" si="3"/>
        <v/>
      </c>
    </row>
    <row r="11" spans="1:26">
      <c r="A11" s="12" t="str">
        <f>IF(Lähetykset!A11="","",Lähetykset!A11)</f>
        <v/>
      </c>
      <c r="B11" s="12" t="str">
        <f>IF(A11="","",IF(ISNUMBER(SEARCH(A11,INDEX(Reittivaihtoehdot!K:K,MATCH(Optimointi!A33,Reittivaihtoehdot!A:A,0)))),"Kyllä","Ei"))</f>
        <v/>
      </c>
      <c r="C11" s="13" t="str">
        <f>IF(A11="","",Lähetykset!C11)</f>
        <v/>
      </c>
      <c r="D11" s="13" t="str">
        <f>IF(A11="","",Lähetykset!D11)</f>
        <v/>
      </c>
      <c r="E11" s="12" t="str">
        <f>IF(A11="","",Lähetykset!E11)</f>
        <v/>
      </c>
      <c r="F11" s="12" t="str">
        <f>IF(OR(A11="",Lähetykset!F11=""),"",Lähetykset!F11)</f>
        <v/>
      </c>
      <c r="G11" s="12" t="str">
        <f>IF(OR(A11="",Lähetykset!G11=""),"",Lähetykset!G11)</f>
        <v/>
      </c>
      <c r="H11" s="12" t="str">
        <f>IF(A11="","",Lähetykset!H11)</f>
        <v/>
      </c>
      <c r="I11" s="12" t="str">
        <f>IF(A11="","",COUNTIF($B$5:B11,"Kyllä"))</f>
        <v/>
      </c>
      <c r="J11" s="12" t="str">
        <f t="shared" si="0"/>
        <v/>
      </c>
      <c r="K11" s="12" t="str">
        <f t="shared" si="1"/>
        <v/>
      </c>
      <c r="L11" s="12" t="str">
        <f t="shared" si="2"/>
        <v/>
      </c>
      <c r="M11" s="12" t="str">
        <f t="shared" si="3"/>
        <v/>
      </c>
    </row>
    <row r="12" spans="1:26">
      <c r="A12" s="12" t="str">
        <f>IF(Lähetykset!A12="","",Lähetykset!A12)</f>
        <v/>
      </c>
      <c r="B12" s="12" t="str">
        <f>IF(A12="","",IF(ISNUMBER(SEARCH(A12,INDEX(Reittivaihtoehdot!K:K,MATCH(Optimointi!A33,Reittivaihtoehdot!A:A,0)))),"Kyllä","Ei"))</f>
        <v/>
      </c>
      <c r="C12" s="13" t="str">
        <f>IF(A12="","",Lähetykset!C12)</f>
        <v/>
      </c>
      <c r="D12" s="13" t="str">
        <f>IF(A12="","",Lähetykset!D12)</f>
        <v/>
      </c>
      <c r="E12" s="12" t="str">
        <f>IF(A12="","",Lähetykset!E12)</f>
        <v/>
      </c>
      <c r="F12" s="12" t="str">
        <f>IF(OR(A12="",Lähetykset!F12=""),"",Lähetykset!F12)</f>
        <v/>
      </c>
      <c r="G12" s="12" t="str">
        <f>IF(OR(A12="",Lähetykset!G12=""),"",Lähetykset!G12)</f>
        <v/>
      </c>
      <c r="H12" s="12" t="str">
        <f>IF(A12="","",Lähetykset!H12)</f>
        <v/>
      </c>
      <c r="I12" s="12" t="str">
        <f>IF(A12="","",COUNTIF($B$5:B12,"Kyllä"))</f>
        <v/>
      </c>
      <c r="J12" s="12" t="str">
        <f t="shared" si="0"/>
        <v/>
      </c>
      <c r="K12" s="12" t="str">
        <f t="shared" si="1"/>
        <v/>
      </c>
      <c r="L12" s="12" t="str">
        <f t="shared" si="2"/>
        <v/>
      </c>
      <c r="M12" s="12" t="str">
        <f t="shared" si="3"/>
        <v/>
      </c>
    </row>
    <row r="13" spans="1:26">
      <c r="A13" s="12" t="str">
        <f>IF(Lähetykset!A13="","",Lähetykset!A13)</f>
        <v/>
      </c>
      <c r="B13" s="12" t="str">
        <f>IF(A13="","",IF(ISNUMBER(SEARCH(A13,INDEX(Reittivaihtoehdot!K:K,MATCH(Optimointi!A33,Reittivaihtoehdot!A:A,0)))),"Kyllä","Ei"))</f>
        <v/>
      </c>
      <c r="C13" s="13" t="str">
        <f>IF(A13="","",Lähetykset!C13)</f>
        <v/>
      </c>
      <c r="D13" s="13" t="str">
        <f>IF(A13="","",Lähetykset!D13)</f>
        <v/>
      </c>
      <c r="E13" s="12" t="str">
        <f>IF(A13="","",Lähetykset!E13)</f>
        <v/>
      </c>
      <c r="F13" s="12" t="str">
        <f>IF(OR(A13="",Lähetykset!F13=""),"",Lähetykset!F13)</f>
        <v/>
      </c>
      <c r="G13" s="12" t="str">
        <f>IF(OR(A13="",Lähetykset!G13=""),"",Lähetykset!G13)</f>
        <v/>
      </c>
      <c r="H13" s="12" t="str">
        <f>IF(A13="","",Lähetykset!H13)</f>
        <v/>
      </c>
      <c r="I13" s="12" t="str">
        <f>IF(A13="","",COUNTIF($B$5:B13,"Kyllä"))</f>
        <v/>
      </c>
      <c r="J13" s="12" t="str">
        <f t="shared" si="0"/>
        <v/>
      </c>
      <c r="K13" s="12" t="str">
        <f t="shared" si="1"/>
        <v/>
      </c>
      <c r="L13" s="12" t="str">
        <f t="shared" si="2"/>
        <v/>
      </c>
      <c r="M13" s="12" t="str">
        <f t="shared" si="3"/>
        <v/>
      </c>
    </row>
    <row r="14" spans="1:26">
      <c r="A14" s="12" t="str">
        <f>IF(Lähetykset!A14="","",Lähetykset!A14)</f>
        <v/>
      </c>
      <c r="B14" s="12" t="str">
        <f>IF(A14="","",IF(ISNUMBER(SEARCH(A14,INDEX(Reittivaihtoehdot!K:K,MATCH(Optimointi!A33,Reittivaihtoehdot!A:A,0)))),"Kyllä","Ei"))</f>
        <v/>
      </c>
      <c r="C14" s="13" t="str">
        <f>IF(A14="","",Lähetykset!C14)</f>
        <v/>
      </c>
      <c r="D14" s="13" t="str">
        <f>IF(A14="","",Lähetykset!D14)</f>
        <v/>
      </c>
      <c r="E14" s="12" t="str">
        <f>IF(A14="","",Lähetykset!E14)</f>
        <v/>
      </c>
      <c r="F14" s="12" t="str">
        <f>IF(OR(A14="",Lähetykset!F14=""),"",Lähetykset!F14)</f>
        <v/>
      </c>
      <c r="G14" s="12" t="str">
        <f>IF(OR(A14="",Lähetykset!G14=""),"",Lähetykset!G14)</f>
        <v/>
      </c>
      <c r="H14" s="12" t="str">
        <f>IF(A14="","",Lähetykset!H14)</f>
        <v/>
      </c>
      <c r="I14" s="12" t="str">
        <f>IF(A14="","",COUNTIF($B$5:B14,"Kyllä"))</f>
        <v/>
      </c>
      <c r="J14" s="12" t="str">
        <f t="shared" si="0"/>
        <v/>
      </c>
      <c r="K14" s="12" t="str">
        <f t="shared" si="1"/>
        <v/>
      </c>
      <c r="L14" s="12" t="str">
        <f t="shared" si="2"/>
        <v/>
      </c>
      <c r="M14" s="12" t="str">
        <f t="shared" si="3"/>
        <v/>
      </c>
    </row>
    <row r="17" spans="1:12">
      <c r="A17" s="63" t="s">
        <v>121</v>
      </c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</row>
    <row r="18" spans="1:12">
      <c r="A18" s="10" t="s">
        <v>3</v>
      </c>
      <c r="B18" s="10" t="s">
        <v>4</v>
      </c>
      <c r="C18" s="10" t="s">
        <v>122</v>
      </c>
      <c r="D18" s="10" t="s">
        <v>123</v>
      </c>
      <c r="E18" s="10" t="s">
        <v>5</v>
      </c>
      <c r="F18" s="10"/>
    </row>
    <row r="19" spans="1:12">
      <c r="A19" t="s">
        <v>124</v>
      </c>
      <c r="B19" s="11">
        <f>SUMIF($B$5:$B$14,"Kyllä",$D$5:$D$14)</f>
        <v>18</v>
      </c>
      <c r="C19" s="11">
        <v>33</v>
      </c>
      <c r="D19" s="11" t="str">
        <f>IF(B19&gt;C19,"Ei mahdu",IF(B19&gt;=29,"Lähes täysi","OK"))</f>
        <v>OK</v>
      </c>
      <c r="E19" t="s">
        <v>125</v>
      </c>
    </row>
    <row r="20" spans="1:12">
      <c r="A20" t="s">
        <v>126</v>
      </c>
      <c r="B20" s="11">
        <f>SUMIF($B$5:$B$14,"Kyllä",$E$5:$E$14)</f>
        <v>5700</v>
      </c>
      <c r="C20" s="11">
        <v>24000</v>
      </c>
      <c r="D20" s="11" t="str">
        <f>IF(B20&gt;C20,"Paino yli","OK")</f>
        <v>OK</v>
      </c>
      <c r="E20" t="s">
        <v>125</v>
      </c>
    </row>
    <row r="21" spans="1:12">
      <c r="A21" t="s">
        <v>12</v>
      </c>
      <c r="B21" s="14">
        <f>B19/C19</f>
        <v>0.54545454545454541</v>
      </c>
      <c r="C21" s="11" t="s">
        <v>127</v>
      </c>
      <c r="D21" s="11" t="str">
        <f>IF(B21&lt;0.7,"Vajaakuorma",IF(B21&gt;0.95,"Liian täysi","Hyvä"))</f>
        <v>Vajaakuorma</v>
      </c>
    </row>
    <row r="22" spans="1:12">
      <c r="A22" t="s">
        <v>128</v>
      </c>
      <c r="B22" s="11">
        <f>COUNTIFS($B$5:$B$14,"Kyllä",$H$5:$H$14,"Kyllä")</f>
        <v>0</v>
      </c>
      <c r="C22" s="11"/>
      <c r="D22" s="11" t="str">
        <f>IF(B22&gt;0,"ADR-lisä","OK")</f>
        <v>OK</v>
      </c>
    </row>
    <row r="23" spans="1:12">
      <c r="A23" t="s">
        <v>129</v>
      </c>
      <c r="B23" s="11">
        <f>COUNTIFS($B$5:$B$14,"Kyllä",$L$5:$L$14,"Thermo")</f>
        <v>2</v>
      </c>
      <c r="C23" s="11"/>
      <c r="D23" s="11" t="str">
        <f>IF(B23&gt;0,"Thermolisä","OK")</f>
        <v>Thermolisä</v>
      </c>
    </row>
  </sheetData>
  <mergeCells count="3">
    <mergeCell ref="A1:L1"/>
    <mergeCell ref="A2:L2"/>
    <mergeCell ref="A17:L17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1"/>
  <sheetViews>
    <sheetView workbookViewId="0"/>
  </sheetViews>
  <sheetFormatPr defaultRowHeight="13.8"/>
  <cols>
    <col min="1" max="1" width="28" customWidth="1"/>
    <col min="2" max="2" width="68" customWidth="1"/>
    <col min="3" max="3" width="24" customWidth="1"/>
    <col min="4" max="8" width="18" customWidth="1"/>
  </cols>
  <sheetData>
    <row r="1" spans="1:26">
      <c r="A1" s="58" t="s">
        <v>130</v>
      </c>
      <c r="B1" s="59"/>
      <c r="C1" s="59"/>
      <c r="D1" s="59"/>
      <c r="E1" s="59"/>
      <c r="F1" s="59"/>
      <c r="G1" s="59"/>
      <c r="H1" s="5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60" t="s">
        <v>131</v>
      </c>
      <c r="B2" s="61"/>
      <c r="C2" s="61"/>
      <c r="D2" s="61"/>
      <c r="E2" s="61"/>
      <c r="F2" s="61"/>
      <c r="G2" s="61"/>
      <c r="H2" s="61"/>
    </row>
    <row r="4" spans="1:26">
      <c r="A4" s="1" t="s">
        <v>132</v>
      </c>
      <c r="B4" s="1" t="s">
        <v>133</v>
      </c>
      <c r="C4" s="1" t="s">
        <v>134</v>
      </c>
    </row>
    <row r="5" spans="1:26">
      <c r="A5" t="s">
        <v>135</v>
      </c>
      <c r="B5" t="s">
        <v>136</v>
      </c>
      <c r="C5" t="s">
        <v>137</v>
      </c>
    </row>
    <row r="6" spans="1:26">
      <c r="A6" t="s">
        <v>138</v>
      </c>
      <c r="B6" t="s">
        <v>139</v>
      </c>
      <c r="C6" t="s">
        <v>66</v>
      </c>
    </row>
    <row r="7" spans="1:26">
      <c r="A7" t="s">
        <v>140</v>
      </c>
      <c r="B7" t="s">
        <v>141</v>
      </c>
      <c r="C7" t="s">
        <v>142</v>
      </c>
    </row>
    <row r="8" spans="1:26">
      <c r="A8" t="s">
        <v>143</v>
      </c>
      <c r="B8" t="s">
        <v>144</v>
      </c>
      <c r="C8" t="s">
        <v>145</v>
      </c>
    </row>
    <row r="9" spans="1:26">
      <c r="A9" t="s">
        <v>146</v>
      </c>
      <c r="B9" t="s">
        <v>147</v>
      </c>
      <c r="C9" t="s">
        <v>114</v>
      </c>
    </row>
    <row r="10" spans="1:26">
      <c r="A10" t="s">
        <v>148</v>
      </c>
      <c r="B10" t="s">
        <v>149</v>
      </c>
      <c r="C10" t="s">
        <v>150</v>
      </c>
    </row>
    <row r="11" spans="1:26">
      <c r="A11" t="s">
        <v>5</v>
      </c>
      <c r="B11" t="s">
        <v>151</v>
      </c>
    </row>
    <row r="12" spans="1:26">
      <c r="A12" t="s">
        <v>152</v>
      </c>
      <c r="B12" t="s">
        <v>153</v>
      </c>
    </row>
    <row r="14" spans="1:26">
      <c r="A14" s="48" t="s">
        <v>154</v>
      </c>
      <c r="B14" s="48" t="s">
        <v>155</v>
      </c>
      <c r="C14" s="48" t="s">
        <v>156</v>
      </c>
    </row>
    <row r="15" spans="1:26">
      <c r="A15" t="s">
        <v>157</v>
      </c>
      <c r="B15" t="s">
        <v>158</v>
      </c>
      <c r="C15" t="s">
        <v>157</v>
      </c>
    </row>
    <row r="16" spans="1:26">
      <c r="A16" t="s">
        <v>159</v>
      </c>
      <c r="B16" t="s">
        <v>160</v>
      </c>
      <c r="C16" t="s">
        <v>159</v>
      </c>
    </row>
    <row r="17" spans="1:3">
      <c r="A17" t="s">
        <v>161</v>
      </c>
      <c r="B17" t="s">
        <v>162</v>
      </c>
      <c r="C17" t="s">
        <v>161</v>
      </c>
    </row>
    <row r="18" spans="1:3">
      <c r="A18" t="s">
        <v>163</v>
      </c>
      <c r="B18" t="s">
        <v>164</v>
      </c>
      <c r="C18" t="s">
        <v>165</v>
      </c>
    </row>
    <row r="19" spans="1:3">
      <c r="A19" t="s">
        <v>166</v>
      </c>
      <c r="B19" t="s">
        <v>167</v>
      </c>
      <c r="C19" t="s">
        <v>168</v>
      </c>
    </row>
    <row r="20" spans="1:3">
      <c r="A20" t="s">
        <v>169</v>
      </c>
      <c r="B20" t="s">
        <v>170</v>
      </c>
      <c r="C20" t="s">
        <v>152</v>
      </c>
    </row>
    <row r="21" spans="1:3">
      <c r="A21" t="s">
        <v>5</v>
      </c>
      <c r="B21" t="s">
        <v>171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"/>
  <sheetViews>
    <sheetView workbookViewId="0"/>
  </sheetViews>
  <sheetFormatPr defaultRowHeight="13.8"/>
  <cols>
    <col min="1" max="1" width="24" customWidth="1"/>
    <col min="2" max="2" width="46" customWidth="1"/>
    <col min="3" max="3" width="22" customWidth="1"/>
    <col min="4" max="4" width="24" customWidth="1"/>
    <col min="5" max="5" width="16" customWidth="1"/>
    <col min="6" max="6" width="40" customWidth="1"/>
    <col min="7" max="8" width="12" customWidth="1"/>
  </cols>
  <sheetData>
    <row r="1" spans="1:8">
      <c r="A1" s="64" t="s">
        <v>172</v>
      </c>
      <c r="B1" s="59"/>
      <c r="C1" s="59"/>
      <c r="D1" s="59"/>
      <c r="E1" s="59"/>
      <c r="F1" s="59"/>
      <c r="G1" s="59"/>
      <c r="H1" s="59"/>
    </row>
    <row r="2" spans="1:8">
      <c r="A2" s="60" t="s">
        <v>173</v>
      </c>
      <c r="B2" s="61"/>
      <c r="C2" s="61"/>
      <c r="D2" s="61"/>
      <c r="E2" s="61"/>
      <c r="F2" s="61"/>
      <c r="G2" s="61"/>
      <c r="H2" s="61"/>
    </row>
    <row r="4" spans="1:8">
      <c r="A4" s="15" t="s">
        <v>174</v>
      </c>
      <c r="B4" s="15" t="s">
        <v>175</v>
      </c>
      <c r="C4" s="15" t="s">
        <v>176</v>
      </c>
      <c r="D4" s="15" t="s">
        <v>177</v>
      </c>
      <c r="E4" s="15" t="s">
        <v>123</v>
      </c>
      <c r="F4" s="15" t="s">
        <v>5</v>
      </c>
      <c r="G4" s="15"/>
      <c r="H4" s="15"/>
    </row>
    <row r="5" spans="1:8">
      <c r="A5" s="9" t="s">
        <v>178</v>
      </c>
      <c r="B5" s="9" t="s">
        <v>179</v>
      </c>
      <c r="C5" s="9" t="s">
        <v>180</v>
      </c>
      <c r="D5" s="9" t="s">
        <v>181</v>
      </c>
      <c r="E5" s="9" t="s">
        <v>182</v>
      </c>
      <c r="F5" s="9" t="s">
        <v>183</v>
      </c>
    </row>
    <row r="6" spans="1:8" ht="27.6">
      <c r="A6" s="9" t="s">
        <v>184</v>
      </c>
      <c r="B6" s="9" t="s">
        <v>185</v>
      </c>
      <c r="C6" s="9" t="str">
        <f>Optimointi!B33</f>
        <v>Vantaa → Tampere → Pori</v>
      </c>
      <c r="D6" s="17" t="e">
        <v>#REF!</v>
      </c>
      <c r="E6" s="17" t="e">
        <f>D6</f>
        <v>#REF!</v>
      </c>
      <c r="F6" s="9"/>
    </row>
    <row r="7" spans="1:8">
      <c r="A7" s="9" t="s">
        <v>186</v>
      </c>
      <c r="B7" s="9" t="s">
        <v>187</v>
      </c>
      <c r="C7" s="9">
        <f>MAX(Optimointi!M5:M14)</f>
        <v>76.187400318979257</v>
      </c>
      <c r="D7" s="17" t="str">
        <f>IF(ABS(Optimointi!C33-MAX(Optimointi!M5:M14))&lt;0.0001,"OK","VIRHE")</f>
        <v>OK</v>
      </c>
      <c r="E7" s="17" t="str">
        <f>D7</f>
        <v>OK</v>
      </c>
      <c r="F7" s="9"/>
    </row>
    <row r="8" spans="1:8">
      <c r="A8" s="9" t="s">
        <v>188</v>
      </c>
      <c r="B8" s="9" t="s">
        <v>189</v>
      </c>
      <c r="C8" s="9" t="s">
        <v>190</v>
      </c>
      <c r="D8" s="17" t="str">
        <f>IF(COUNT(Optimointi!M10:M14)=0,"OK","TARKISTA")</f>
        <v>OK</v>
      </c>
      <c r="E8" s="17" t="str">
        <f>D8</f>
        <v>OK</v>
      </c>
      <c r="F8" s="9"/>
    </row>
    <row r="9" spans="1:8">
      <c r="A9" s="9" t="s">
        <v>191</v>
      </c>
      <c r="B9" s="9" t="s">
        <v>192</v>
      </c>
      <c r="C9" s="9" t="s">
        <v>135</v>
      </c>
      <c r="D9" s="17">
        <f>COUNTIF(Optimointi!N5:N14,"SUOSITUS")</f>
        <v>1</v>
      </c>
      <c r="E9" s="17" t="str">
        <f>IF(D9=1,"OK","VIRHE")</f>
        <v>OK</v>
      </c>
      <c r="F9" s="9"/>
    </row>
    <row r="10" spans="1:8">
      <c r="A10" s="9" t="s">
        <v>193</v>
      </c>
      <c r="B10" s="9" t="s">
        <v>194</v>
      </c>
      <c r="C10" s="9">
        <f>SUMIF(Kuormaoptimointi!B5:B14,"Kyllä",Kuormaoptimointi!D5:D14)</f>
        <v>18</v>
      </c>
      <c r="D10" s="17" t="str">
        <f>IF(Kuormaoptimointi!B19=SUMIF(Kuormaoptimointi!B5:B14,"Kyllä",Kuormaoptimointi!D5:D14),"OK","VIRHE")</f>
        <v>OK</v>
      </c>
      <c r="E10" s="17" t="str">
        <f>D10</f>
        <v>OK</v>
      </c>
      <c r="F10" s="9"/>
    </row>
    <row r="11" spans="1:8">
      <c r="A11" s="9" t="s">
        <v>195</v>
      </c>
      <c r="B11" s="9" t="s">
        <v>196</v>
      </c>
      <c r="C11" s="9">
        <f>SUMIF(Kuormaoptimointi!B5:B14,"Kyllä",Kuormaoptimointi!E5:E14)</f>
        <v>5700</v>
      </c>
      <c r="D11" s="17" t="str">
        <f>IF(Kuormaoptimointi!B20=SUMIF(Kuormaoptimointi!B5:B14,"Kyllä",Kuormaoptimointi!E5:E14),"OK","VIRHE")</f>
        <v>OK</v>
      </c>
      <c r="E11" s="17" t="str">
        <f>D11</f>
        <v>OK</v>
      </c>
      <c r="F11" s="9"/>
    </row>
    <row r="12" spans="1:8">
      <c r="A12" s="9" t="s">
        <v>197</v>
      </c>
      <c r="B12" s="9" t="s">
        <v>198</v>
      </c>
      <c r="C12" s="9" t="s">
        <v>199</v>
      </c>
      <c r="D12" s="17" t="str">
        <f>IF(ABS(Painotukset!B10-1)&lt;0.0001,"OK","VIRHE")</f>
        <v>OK</v>
      </c>
      <c r="E12" s="17" t="str">
        <f>D12</f>
        <v>OK</v>
      </c>
      <c r="F12" s="9"/>
    </row>
    <row r="13" spans="1:8">
      <c r="A13" s="16" t="s">
        <v>200</v>
      </c>
      <c r="B13" s="16" t="s">
        <v>201</v>
      </c>
      <c r="C13" s="16" t="s">
        <v>202</v>
      </c>
      <c r="D13" s="18" t="str">
        <f>IF(AND(Kuormaoptimointi!D19&lt;&gt;"",Kuormaoptimointi!D20&lt;&gt;"",Kuormaoptimointi!D21&lt;&gt;""),"OK","VIRHE")</f>
        <v>OK</v>
      </c>
      <c r="E13" s="18" t="str">
        <f>D13</f>
        <v>OK</v>
      </c>
      <c r="F13" s="16"/>
    </row>
  </sheetData>
  <mergeCells count="2">
    <mergeCell ref="A1:H1"/>
    <mergeCell ref="A2:H2"/>
  </mergeCells>
  <conditionalFormatting sqref="E5:E13">
    <cfRule type="expression" dxfId="12" priority="1">
      <formula>E5="OK"</formula>
    </cfRule>
    <cfRule type="expression" dxfId="11" priority="2">
      <formula>OR(E5="VIRHE",E5="TARKISTA")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4"/>
  <sheetViews>
    <sheetView workbookViewId="0"/>
  </sheetViews>
  <sheetFormatPr defaultRowHeight="13.8"/>
  <cols>
    <col min="1" max="1" width="28" customWidth="1"/>
    <col min="2" max="2" width="18" customWidth="1"/>
    <col min="3" max="3" width="20" customWidth="1"/>
    <col min="4" max="4" width="24" customWidth="1"/>
    <col min="5" max="14" width="18" customWidth="1"/>
  </cols>
  <sheetData>
    <row r="1" spans="1:14">
      <c r="A1" s="65" t="s">
        <v>203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204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66" t="s">
        <v>205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1:14">
      <c r="A5" s="19" t="s">
        <v>206</v>
      </c>
      <c r="B5" s="19" t="s">
        <v>207</v>
      </c>
      <c r="C5" s="19" t="s">
        <v>208</v>
      </c>
      <c r="D5" s="19" t="s">
        <v>209</v>
      </c>
      <c r="E5" s="19" t="s">
        <v>123</v>
      </c>
      <c r="F5" s="19" t="s">
        <v>5</v>
      </c>
    </row>
    <row r="6" spans="1:14" ht="27.6">
      <c r="A6" s="20">
        <v>1</v>
      </c>
      <c r="B6" s="20" t="s">
        <v>210</v>
      </c>
      <c r="C6" s="20" t="s">
        <v>211</v>
      </c>
      <c r="D6" s="20" t="s">
        <v>212</v>
      </c>
      <c r="E6" s="20" t="s">
        <v>213</v>
      </c>
      <c r="F6" s="20"/>
    </row>
    <row r="7" spans="1:14" ht="27.6">
      <c r="A7" s="20">
        <v>2</v>
      </c>
      <c r="B7" s="20" t="s">
        <v>214</v>
      </c>
      <c r="C7" s="20" t="s">
        <v>215</v>
      </c>
      <c r="D7" s="20" t="s">
        <v>216</v>
      </c>
      <c r="E7" s="20" t="s">
        <v>213</v>
      </c>
      <c r="F7" s="20"/>
    </row>
    <row r="8" spans="1:14" ht="27.6">
      <c r="A8" s="20">
        <v>3</v>
      </c>
      <c r="B8" s="20" t="s">
        <v>217</v>
      </c>
      <c r="C8" s="20" t="s">
        <v>218</v>
      </c>
      <c r="D8" s="20" t="s">
        <v>219</v>
      </c>
      <c r="E8" s="20" t="s">
        <v>213</v>
      </c>
      <c r="F8" s="20"/>
    </row>
    <row r="9" spans="1:14" ht="41.4">
      <c r="A9" s="20">
        <v>4</v>
      </c>
      <c r="B9" s="20" t="s">
        <v>220</v>
      </c>
      <c r="C9" s="20" t="s">
        <v>221</v>
      </c>
      <c r="D9" s="20" t="s">
        <v>222</v>
      </c>
      <c r="E9" s="20" t="s">
        <v>213</v>
      </c>
      <c r="F9" s="20"/>
    </row>
    <row r="10" spans="1:14" ht="27.6">
      <c r="A10" s="20">
        <v>5</v>
      </c>
      <c r="B10" s="20" t="s">
        <v>223</v>
      </c>
      <c r="C10" s="20" t="s">
        <v>224</v>
      </c>
      <c r="D10" s="20" t="s">
        <v>225</v>
      </c>
      <c r="E10" s="20" t="s">
        <v>213</v>
      </c>
      <c r="F10" s="20"/>
    </row>
    <row r="11" spans="1:14" ht="27.6">
      <c r="A11" s="20">
        <v>6</v>
      </c>
      <c r="B11" s="20" t="s">
        <v>226</v>
      </c>
      <c r="C11" s="20" t="s">
        <v>227</v>
      </c>
      <c r="D11" s="20" t="s">
        <v>228</v>
      </c>
      <c r="E11" s="20" t="s">
        <v>213</v>
      </c>
      <c r="F11" s="20"/>
    </row>
    <row r="12" spans="1:14" ht="27.6">
      <c r="A12" s="20">
        <v>7</v>
      </c>
      <c r="B12" s="20" t="s">
        <v>229</v>
      </c>
      <c r="C12" s="20" t="s">
        <v>230</v>
      </c>
      <c r="D12" s="20" t="s">
        <v>231</v>
      </c>
      <c r="E12" s="20" t="s">
        <v>213</v>
      </c>
      <c r="F12" s="20"/>
    </row>
    <row r="13" spans="1:14" ht="27.6">
      <c r="A13" s="20">
        <v>8</v>
      </c>
      <c r="B13" s="20" t="s">
        <v>232</v>
      </c>
      <c r="C13" s="20" t="s">
        <v>233</v>
      </c>
      <c r="D13" s="20" t="s">
        <v>234</v>
      </c>
      <c r="E13" s="20" t="s">
        <v>213</v>
      </c>
      <c r="F13" s="20"/>
    </row>
    <row r="14" spans="1:14" ht="27.6">
      <c r="A14" s="20">
        <v>9</v>
      </c>
      <c r="B14" s="20" t="s">
        <v>235</v>
      </c>
      <c r="C14" s="20" t="s">
        <v>236</v>
      </c>
      <c r="D14" s="20" t="s">
        <v>237</v>
      </c>
      <c r="E14" s="20" t="s">
        <v>213</v>
      </c>
      <c r="F14" s="20"/>
    </row>
    <row r="15" spans="1:14" ht="27.6">
      <c r="A15" s="20">
        <v>10</v>
      </c>
      <c r="B15" s="20" t="s">
        <v>238</v>
      </c>
      <c r="C15" s="20" t="s">
        <v>239</v>
      </c>
      <c r="D15" s="20" t="s">
        <v>240</v>
      </c>
      <c r="E15" s="20" t="s">
        <v>213</v>
      </c>
      <c r="F15" s="20"/>
    </row>
    <row r="18" spans="1:14">
      <c r="A18" s="66" t="s">
        <v>241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</row>
    <row r="19" spans="1:14">
      <c r="A19" s="19" t="s">
        <v>242</v>
      </c>
      <c r="B19" s="19" t="s">
        <v>4</v>
      </c>
      <c r="C19" s="19" t="s">
        <v>243</v>
      </c>
      <c r="D19" s="19" t="s">
        <v>123</v>
      </c>
      <c r="E19" s="19" t="s">
        <v>244</v>
      </c>
      <c r="F19" s="19" t="s">
        <v>5</v>
      </c>
    </row>
    <row r="20" spans="1:14">
      <c r="A20" t="s">
        <v>245</v>
      </c>
      <c r="B20" s="21">
        <f>COUNTIFS('TMS Orders'!H5:H40,"&lt;&gt;Delivered",'TMS Orders'!H5:H40,"&lt;&gt;")</f>
        <v>4</v>
      </c>
      <c r="C20" s="21" t="s">
        <v>246</v>
      </c>
      <c r="D20" s="21" t="str">
        <f>IF(B20&gt;0,"Seurattava","OK")</f>
        <v>Seurattava</v>
      </c>
      <c r="E20" t="s">
        <v>211</v>
      </c>
    </row>
    <row r="21" spans="1:14">
      <c r="A21" t="s">
        <v>247</v>
      </c>
      <c r="B21" s="21">
        <f>COUNTIF('TMS Exceptions'!F5:F40,"Korkea")</f>
        <v>1</v>
      </c>
      <c r="C21" s="21" t="s">
        <v>246</v>
      </c>
      <c r="D21" s="21" t="str">
        <f>IF(B21&gt;0,"Punainen","OK")</f>
        <v>Punainen</v>
      </c>
      <c r="E21" t="s">
        <v>230</v>
      </c>
    </row>
    <row r="22" spans="1:14">
      <c r="A22" t="s">
        <v>248</v>
      </c>
      <c r="B22" s="22">
        <f>AVERAGE('TMS Capacity'!H5:H20)</f>
        <v>1.0107142857142857</v>
      </c>
      <c r="C22" s="21" t="s">
        <v>249</v>
      </c>
      <c r="D22" s="21" t="str">
        <f>IF(B22&lt;0.8,"Keltainen","OK")</f>
        <v>OK</v>
      </c>
      <c r="E22" t="s">
        <v>236</v>
      </c>
    </row>
    <row r="23" spans="1:14">
      <c r="A23" t="s">
        <v>250</v>
      </c>
      <c r="B23" s="21">
        <f>MAX('TMS Carrier Selection'!K5:K20)</f>
        <v>94.325000334821368</v>
      </c>
      <c r="C23" s="21" t="s">
        <v>251</v>
      </c>
      <c r="D23" s="21" t="str">
        <f>IF(B23&gt;0,"OK","Tarkista")</f>
        <v>OK</v>
      </c>
      <c r="E23" t="s">
        <v>221</v>
      </c>
    </row>
    <row r="24" spans="1:14">
      <c r="A24" t="s">
        <v>252</v>
      </c>
      <c r="B24" s="21" t="str">
        <f>INDEX('TMS Network'!A5:A20,MATCH(MAX('TMS Network'!I5:I20),'TMS Network'!I5:I20,0))</f>
        <v>N1</v>
      </c>
      <c r="C24" s="21" t="s">
        <v>253</v>
      </c>
      <c r="D24" s="21" t="s">
        <v>182</v>
      </c>
      <c r="E24" t="s">
        <v>239</v>
      </c>
    </row>
  </sheetData>
  <mergeCells count="4">
    <mergeCell ref="A1:N1"/>
    <mergeCell ref="A2:N2"/>
    <mergeCell ref="A4:N4"/>
    <mergeCell ref="A18:N18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0"/>
  <sheetViews>
    <sheetView workbookViewId="0"/>
  </sheetViews>
  <sheetFormatPr defaultRowHeight="13.8"/>
  <cols>
    <col min="1" max="1" width="14" customWidth="1"/>
    <col min="2" max="2" width="18" customWidth="1"/>
    <col min="3" max="3" width="22" customWidth="1"/>
    <col min="4" max="5" width="20" customWidth="1"/>
    <col min="6" max="7" width="16" customWidth="1"/>
    <col min="8" max="8" width="18" customWidth="1"/>
    <col min="9" max="9" width="20" customWidth="1"/>
    <col min="10" max="12" width="18" customWidth="1"/>
    <col min="13" max="13" width="26" customWidth="1"/>
    <col min="14" max="14" width="24" customWidth="1"/>
  </cols>
  <sheetData>
    <row r="1" spans="1:14">
      <c r="A1" s="65" t="s">
        <v>254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255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19" t="s">
        <v>256</v>
      </c>
      <c r="B4" s="19" t="s">
        <v>257</v>
      </c>
      <c r="C4" s="19" t="s">
        <v>258</v>
      </c>
      <c r="D4" s="19" t="s">
        <v>39</v>
      </c>
      <c r="E4" s="19" t="s">
        <v>40</v>
      </c>
      <c r="F4" s="19" t="s">
        <v>41</v>
      </c>
      <c r="G4" s="19" t="s">
        <v>42</v>
      </c>
      <c r="H4" s="19" t="s">
        <v>123</v>
      </c>
      <c r="I4" s="19" t="s">
        <v>259</v>
      </c>
      <c r="J4" s="19" t="s">
        <v>260</v>
      </c>
      <c r="K4" s="19" t="s">
        <v>261</v>
      </c>
      <c r="L4" s="19" t="s">
        <v>262</v>
      </c>
      <c r="M4" s="19" t="s">
        <v>263</v>
      </c>
      <c r="N4" s="19" t="s">
        <v>5</v>
      </c>
    </row>
    <row r="5" spans="1:14">
      <c r="A5" s="20" t="s">
        <v>264</v>
      </c>
      <c r="B5" s="23">
        <v>46147</v>
      </c>
      <c r="C5" s="20" t="s">
        <v>265</v>
      </c>
      <c r="D5" s="20" t="s">
        <v>49</v>
      </c>
      <c r="E5" s="20" t="s">
        <v>50</v>
      </c>
      <c r="F5" s="20">
        <v>8</v>
      </c>
      <c r="G5" s="20">
        <v>2500</v>
      </c>
      <c r="H5" s="20" t="s">
        <v>266</v>
      </c>
      <c r="I5" s="20" t="s">
        <v>76</v>
      </c>
      <c r="J5" s="20"/>
      <c r="K5" s="20"/>
      <c r="L5" s="20"/>
      <c r="M5" s="21" t="str">
        <f t="shared" ref="M5:M40" si="0">IF(A5="","",IF(H5="Order","Suunnittele",IF(H5="Planning","Valitse carrier",IF(H5="Execution","Seuraa ETA",IF(H5="Tracking","Tarkista poikkeamat","Valmis")))))</f>
        <v>Valitse carrier</v>
      </c>
    </row>
    <row r="6" spans="1:14">
      <c r="A6" s="20" t="s">
        <v>267</v>
      </c>
      <c r="B6" s="23">
        <v>46147</v>
      </c>
      <c r="C6" s="20" t="s">
        <v>265</v>
      </c>
      <c r="D6" s="20" t="s">
        <v>49</v>
      </c>
      <c r="E6" s="20" t="s">
        <v>56</v>
      </c>
      <c r="F6" s="20">
        <v>10</v>
      </c>
      <c r="G6" s="20">
        <v>3200</v>
      </c>
      <c r="H6" s="20" t="s">
        <v>266</v>
      </c>
      <c r="I6" s="20" t="s">
        <v>76</v>
      </c>
      <c r="J6" s="20"/>
      <c r="K6" s="20"/>
      <c r="L6" s="20"/>
      <c r="M6" s="21" t="str">
        <f t="shared" si="0"/>
        <v>Valitse carrier</v>
      </c>
    </row>
    <row r="7" spans="1:14">
      <c r="A7" s="20" t="s">
        <v>268</v>
      </c>
      <c r="B7" s="23">
        <v>46148</v>
      </c>
      <c r="C7" s="20" t="s">
        <v>269</v>
      </c>
      <c r="D7" s="20" t="s">
        <v>50</v>
      </c>
      <c r="E7" s="20" t="s">
        <v>59</v>
      </c>
      <c r="F7" s="20">
        <v>12</v>
      </c>
      <c r="G7" s="20">
        <v>5000</v>
      </c>
      <c r="H7" s="20" t="s">
        <v>270</v>
      </c>
      <c r="I7" s="20" t="s">
        <v>83</v>
      </c>
      <c r="J7" s="20"/>
      <c r="K7" s="20"/>
      <c r="L7" s="20"/>
      <c r="M7" s="21" t="str">
        <f t="shared" si="0"/>
        <v>Suunnittele</v>
      </c>
    </row>
    <row r="8" spans="1:14">
      <c r="A8" s="20" t="s">
        <v>271</v>
      </c>
      <c r="B8" s="23">
        <v>46148</v>
      </c>
      <c r="C8" s="20" t="s">
        <v>272</v>
      </c>
      <c r="D8" s="20" t="s">
        <v>49</v>
      </c>
      <c r="E8" s="20" t="s">
        <v>63</v>
      </c>
      <c r="F8" s="20">
        <v>6</v>
      </c>
      <c r="G8" s="20">
        <v>1800</v>
      </c>
      <c r="H8" s="20" t="s">
        <v>270</v>
      </c>
      <c r="I8" s="20" t="s">
        <v>90</v>
      </c>
      <c r="J8" s="20"/>
      <c r="K8" s="20"/>
      <c r="L8" s="20"/>
      <c r="M8" s="21" t="str">
        <f t="shared" si="0"/>
        <v>Suunnittele</v>
      </c>
      <c r="N8" t="s">
        <v>273</v>
      </c>
    </row>
    <row r="9" spans="1:14">
      <c r="A9" s="20"/>
      <c r="B9" s="23"/>
      <c r="C9" s="20"/>
      <c r="D9" s="20"/>
      <c r="E9" s="20"/>
      <c r="F9" s="20"/>
      <c r="G9" s="20"/>
      <c r="H9" s="20"/>
      <c r="I9" s="20"/>
      <c r="J9" s="20"/>
      <c r="K9" s="20"/>
      <c r="L9" s="20"/>
      <c r="M9" s="21" t="str">
        <f t="shared" si="0"/>
        <v/>
      </c>
    </row>
    <row r="10" spans="1:14">
      <c r="A10" s="20"/>
      <c r="B10" s="23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1" t="str">
        <f t="shared" si="0"/>
        <v/>
      </c>
    </row>
    <row r="11" spans="1:14">
      <c r="A11" s="20"/>
      <c r="B11" s="23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 t="str">
        <f t="shared" si="0"/>
        <v/>
      </c>
    </row>
    <row r="12" spans="1:14">
      <c r="A12" s="20"/>
      <c r="B12" s="23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1" t="str">
        <f t="shared" si="0"/>
        <v/>
      </c>
    </row>
    <row r="13" spans="1:14">
      <c r="A13" s="20"/>
      <c r="B13" s="23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 t="str">
        <f t="shared" si="0"/>
        <v/>
      </c>
    </row>
    <row r="14" spans="1:14">
      <c r="A14" s="20"/>
      <c r="B14" s="23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1" t="str">
        <f t="shared" si="0"/>
        <v/>
      </c>
    </row>
    <row r="15" spans="1:14">
      <c r="A15" s="20"/>
      <c r="B15" s="23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1" t="str">
        <f t="shared" si="0"/>
        <v/>
      </c>
    </row>
    <row r="16" spans="1:14">
      <c r="A16" s="20"/>
      <c r="B16" s="23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1" t="str">
        <f t="shared" si="0"/>
        <v/>
      </c>
    </row>
    <row r="17" spans="1:13">
      <c r="A17" s="20"/>
      <c r="B17" s="23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1" t="str">
        <f t="shared" si="0"/>
        <v/>
      </c>
    </row>
    <row r="18" spans="1:13">
      <c r="A18" s="20"/>
      <c r="B18" s="23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1" t="str">
        <f t="shared" si="0"/>
        <v/>
      </c>
    </row>
    <row r="19" spans="1:13">
      <c r="A19" s="20"/>
      <c r="B19" s="23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1" t="str">
        <f t="shared" si="0"/>
        <v/>
      </c>
    </row>
    <row r="20" spans="1:13">
      <c r="A20" s="20"/>
      <c r="B20" s="23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1" t="str">
        <f t="shared" si="0"/>
        <v/>
      </c>
    </row>
    <row r="21" spans="1:13">
      <c r="A21" s="20"/>
      <c r="B21" s="23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1" t="str">
        <f t="shared" si="0"/>
        <v/>
      </c>
    </row>
    <row r="22" spans="1:13">
      <c r="A22" s="20"/>
      <c r="B22" s="23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1" t="str">
        <f t="shared" si="0"/>
        <v/>
      </c>
    </row>
    <row r="23" spans="1:13">
      <c r="A23" s="20"/>
      <c r="B23" s="23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1" t="str">
        <f t="shared" si="0"/>
        <v/>
      </c>
    </row>
    <row r="24" spans="1:13">
      <c r="A24" s="20"/>
      <c r="B24" s="23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1" t="str">
        <f t="shared" si="0"/>
        <v/>
      </c>
    </row>
    <row r="25" spans="1:13">
      <c r="A25" s="20"/>
      <c r="B25" s="23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1" t="str">
        <f t="shared" si="0"/>
        <v/>
      </c>
    </row>
    <row r="26" spans="1:13">
      <c r="A26" s="20"/>
      <c r="B26" s="23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1" t="str">
        <f t="shared" si="0"/>
        <v/>
      </c>
    </row>
    <row r="27" spans="1:13">
      <c r="A27" s="20"/>
      <c r="B27" s="23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1" t="str">
        <f t="shared" si="0"/>
        <v/>
      </c>
    </row>
    <row r="28" spans="1:13">
      <c r="A28" s="20"/>
      <c r="B28" s="23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1" t="str">
        <f t="shared" si="0"/>
        <v/>
      </c>
    </row>
    <row r="29" spans="1:13">
      <c r="A29" s="20"/>
      <c r="B29" s="23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1" t="str">
        <f t="shared" si="0"/>
        <v/>
      </c>
    </row>
    <row r="30" spans="1:13">
      <c r="A30" s="20"/>
      <c r="B30" s="23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1" t="str">
        <f t="shared" si="0"/>
        <v/>
      </c>
    </row>
    <row r="31" spans="1:13">
      <c r="A31" s="20"/>
      <c r="B31" s="23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1" t="str">
        <f t="shared" si="0"/>
        <v/>
      </c>
    </row>
    <row r="32" spans="1:13">
      <c r="A32" s="20"/>
      <c r="B32" s="23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1" t="str">
        <f t="shared" si="0"/>
        <v/>
      </c>
    </row>
    <row r="33" spans="1:13">
      <c r="A33" s="20"/>
      <c r="B33" s="23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1" t="str">
        <f t="shared" si="0"/>
        <v/>
      </c>
    </row>
    <row r="34" spans="1:13">
      <c r="A34" s="20"/>
      <c r="B34" s="23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 t="str">
        <f t="shared" si="0"/>
        <v/>
      </c>
    </row>
    <row r="35" spans="1:13">
      <c r="A35" s="20"/>
      <c r="B35" s="23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1" t="str">
        <f t="shared" si="0"/>
        <v/>
      </c>
    </row>
    <row r="36" spans="1:13">
      <c r="A36" s="20"/>
      <c r="B36" s="23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1" t="str">
        <f t="shared" si="0"/>
        <v/>
      </c>
    </row>
    <row r="37" spans="1:13">
      <c r="A37" s="20"/>
      <c r="B37" s="23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1" t="str">
        <f t="shared" si="0"/>
        <v/>
      </c>
    </row>
    <row r="38" spans="1:13">
      <c r="A38" s="20"/>
      <c r="B38" s="23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1" t="str">
        <f t="shared" si="0"/>
        <v/>
      </c>
    </row>
    <row r="39" spans="1:13">
      <c r="A39" s="20"/>
      <c r="B39" s="23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1" t="str">
        <f t="shared" si="0"/>
        <v/>
      </c>
    </row>
    <row r="40" spans="1:13">
      <c r="A40" s="20"/>
      <c r="B40" s="23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1" t="str">
        <f t="shared" si="0"/>
        <v/>
      </c>
    </row>
  </sheetData>
  <mergeCells count="2">
    <mergeCell ref="A1:N1"/>
    <mergeCell ref="A2:N2"/>
  </mergeCells>
  <dataValidations count="1">
    <dataValidation type="list" sqref="H5:H40" xr:uid="{00000000-0002-0000-0900-000000000000}">
      <formula1>"Order,Planning,Execution,Tracking,Delivered"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21"/>
  <sheetViews>
    <sheetView workbookViewId="0"/>
  </sheetViews>
  <sheetFormatPr defaultRowHeight="13.8"/>
  <cols>
    <col min="1" max="1" width="16" customWidth="1"/>
    <col min="2" max="2" width="34" customWidth="1"/>
    <col min="3" max="5" width="16" customWidth="1"/>
    <col min="6" max="10" width="18" customWidth="1"/>
    <col min="11" max="11" width="20" customWidth="1"/>
    <col min="12" max="13" width="18" customWidth="1"/>
    <col min="14" max="14" width="26" customWidth="1"/>
  </cols>
  <sheetData>
    <row r="1" spans="1:14">
      <c r="A1" s="65" t="s">
        <v>274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275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 ht="27.6">
      <c r="A4" s="19" t="s">
        <v>276</v>
      </c>
      <c r="B4" s="19" t="s">
        <v>277</v>
      </c>
      <c r="C4" s="19" t="s">
        <v>278</v>
      </c>
      <c r="D4" s="19" t="s">
        <v>279</v>
      </c>
      <c r="E4" s="19" t="s">
        <v>280</v>
      </c>
      <c r="F4" s="19" t="s">
        <v>41</v>
      </c>
      <c r="G4" s="19" t="s">
        <v>281</v>
      </c>
      <c r="H4" s="19" t="s">
        <v>282</v>
      </c>
      <c r="I4" s="19" t="s">
        <v>283</v>
      </c>
      <c r="J4" s="19" t="s">
        <v>284</v>
      </c>
      <c r="K4" s="19" t="s">
        <v>285</v>
      </c>
      <c r="L4" s="19" t="s">
        <v>286</v>
      </c>
      <c r="M4" s="19" t="s">
        <v>15</v>
      </c>
      <c r="N4" s="19" t="s">
        <v>5</v>
      </c>
    </row>
    <row r="5" spans="1:14">
      <c r="A5" s="20" t="s">
        <v>287</v>
      </c>
      <c r="B5" s="20" t="s">
        <v>288</v>
      </c>
      <c r="C5" s="20" t="s">
        <v>49</v>
      </c>
      <c r="D5" s="20" t="s">
        <v>56</v>
      </c>
      <c r="E5" s="20" t="s">
        <v>50</v>
      </c>
      <c r="F5" s="20">
        <v>18</v>
      </c>
      <c r="G5" s="20">
        <v>33</v>
      </c>
      <c r="H5" s="22">
        <f t="shared" ref="H5:H20" si="0">IF(A5="","",IF(G5=0,"",F5/G5))</f>
        <v>0.54545454545454541</v>
      </c>
      <c r="I5" s="20">
        <v>290</v>
      </c>
      <c r="J5" s="20">
        <v>40</v>
      </c>
      <c r="K5" s="20">
        <v>0.5</v>
      </c>
      <c r="L5" s="21">
        <f t="shared" ref="L5:L20" si="1">IF(A5="","",H5*50+J5/100*30+K5*20)</f>
        <v>49.272727272727266</v>
      </c>
      <c r="M5" s="21" t="str">
        <f t="shared" ref="M5:M20" si="2">IF(A5="","",IF(L5&gt;=60,"Yhdistä","Tarkista"))</f>
        <v>Tarkista</v>
      </c>
      <c r="N5" s="20"/>
    </row>
    <row r="6" spans="1:14">
      <c r="A6" s="20" t="s">
        <v>289</v>
      </c>
      <c r="B6" s="20" t="s">
        <v>290</v>
      </c>
      <c r="C6" s="20" t="s">
        <v>49</v>
      </c>
      <c r="D6" s="20" t="s">
        <v>59</v>
      </c>
      <c r="E6" s="20" t="s">
        <v>291</v>
      </c>
      <c r="F6" s="20">
        <v>30</v>
      </c>
      <c r="G6" s="20">
        <v>33</v>
      </c>
      <c r="H6" s="22">
        <f t="shared" si="0"/>
        <v>0.90909090909090906</v>
      </c>
      <c r="I6" s="20">
        <v>610</v>
      </c>
      <c r="J6" s="20">
        <v>80</v>
      </c>
      <c r="K6" s="20">
        <v>1</v>
      </c>
      <c r="L6" s="21">
        <f t="shared" si="1"/>
        <v>89.454545454545453</v>
      </c>
      <c r="M6" s="21" t="str">
        <f t="shared" si="2"/>
        <v>Yhdistä</v>
      </c>
      <c r="N6" s="20"/>
    </row>
    <row r="7" spans="1:14">
      <c r="A7" s="20" t="s">
        <v>292</v>
      </c>
      <c r="B7" s="20" t="s">
        <v>293</v>
      </c>
      <c r="C7" s="20" t="s">
        <v>49</v>
      </c>
      <c r="D7" s="20" t="s">
        <v>294</v>
      </c>
      <c r="E7" s="20"/>
      <c r="F7" s="20">
        <v>18</v>
      </c>
      <c r="G7" s="20">
        <v>66</v>
      </c>
      <c r="H7" s="22">
        <f t="shared" si="0"/>
        <v>0.27272727272727271</v>
      </c>
      <c r="I7" s="20">
        <v>410</v>
      </c>
      <c r="J7" s="20">
        <v>0</v>
      </c>
      <c r="K7" s="20">
        <v>0</v>
      </c>
      <c r="L7" s="21">
        <f t="shared" si="1"/>
        <v>13.636363636363635</v>
      </c>
      <c r="M7" s="21" t="str">
        <f t="shared" si="2"/>
        <v>Tarkista</v>
      </c>
      <c r="N7" s="20"/>
    </row>
    <row r="8" spans="1:14">
      <c r="A8" s="20"/>
      <c r="B8" s="20"/>
      <c r="C8" s="20"/>
      <c r="D8" s="20"/>
      <c r="E8" s="20"/>
      <c r="F8" s="20"/>
      <c r="G8" s="20"/>
      <c r="H8" s="22" t="str">
        <f t="shared" si="0"/>
        <v/>
      </c>
      <c r="I8" s="20" t="str">
        <f t="shared" ref="I8:K20" ca="1" si="3">I8</f>
        <v/>
      </c>
      <c r="J8" s="20" t="str">
        <f t="shared" ca="1" si="3"/>
        <v/>
      </c>
      <c r="K8" s="20" t="str">
        <f t="shared" ca="1" si="3"/>
        <v/>
      </c>
      <c r="L8" s="21" t="str">
        <f t="shared" si="1"/>
        <v/>
      </c>
      <c r="M8" s="21" t="str">
        <f t="shared" si="2"/>
        <v/>
      </c>
      <c r="N8" s="20"/>
    </row>
    <row r="9" spans="1:14">
      <c r="A9" s="20"/>
      <c r="B9" s="20"/>
      <c r="C9" s="20"/>
      <c r="D9" s="20"/>
      <c r="E9" s="20"/>
      <c r="F9" s="20"/>
      <c r="G9" s="20"/>
      <c r="H9" s="22" t="str">
        <f t="shared" si="0"/>
        <v/>
      </c>
      <c r="I9" s="20" t="str">
        <f t="shared" ca="1" si="3"/>
        <v/>
      </c>
      <c r="J9" s="20" t="str">
        <f t="shared" ca="1" si="3"/>
        <v/>
      </c>
      <c r="K9" s="20" t="str">
        <f t="shared" ca="1" si="3"/>
        <v/>
      </c>
      <c r="L9" s="21" t="str">
        <f t="shared" si="1"/>
        <v/>
      </c>
      <c r="M9" s="21" t="str">
        <f t="shared" si="2"/>
        <v/>
      </c>
      <c r="N9" s="20"/>
    </row>
    <row r="10" spans="1:14">
      <c r="A10" s="20"/>
      <c r="B10" s="20"/>
      <c r="C10" s="20"/>
      <c r="D10" s="20"/>
      <c r="E10" s="20"/>
      <c r="F10" s="20"/>
      <c r="G10" s="20"/>
      <c r="H10" s="22" t="str">
        <f t="shared" si="0"/>
        <v/>
      </c>
      <c r="I10" s="20" t="str">
        <f t="shared" ca="1" si="3"/>
        <v/>
      </c>
      <c r="J10" s="20" t="str">
        <f t="shared" ca="1" si="3"/>
        <v/>
      </c>
      <c r="K10" s="20" t="str">
        <f t="shared" ca="1" si="3"/>
        <v/>
      </c>
      <c r="L10" s="21" t="str">
        <f t="shared" si="1"/>
        <v/>
      </c>
      <c r="M10" s="21" t="str">
        <f t="shared" si="2"/>
        <v/>
      </c>
      <c r="N10" s="20"/>
    </row>
    <row r="11" spans="1:14">
      <c r="A11" s="20"/>
      <c r="B11" s="20"/>
      <c r="C11" s="20"/>
      <c r="D11" s="20"/>
      <c r="E11" s="20"/>
      <c r="F11" s="20"/>
      <c r="G11" s="20"/>
      <c r="H11" s="22" t="str">
        <f t="shared" si="0"/>
        <v/>
      </c>
      <c r="I11" s="20" t="str">
        <f t="shared" ca="1" si="3"/>
        <v/>
      </c>
      <c r="J11" s="20" t="str">
        <f t="shared" ca="1" si="3"/>
        <v/>
      </c>
      <c r="K11" s="20" t="str">
        <f t="shared" ca="1" si="3"/>
        <v/>
      </c>
      <c r="L11" s="21" t="str">
        <f t="shared" si="1"/>
        <v/>
      </c>
      <c r="M11" s="21" t="str">
        <f t="shared" si="2"/>
        <v/>
      </c>
      <c r="N11" s="20"/>
    </row>
    <row r="12" spans="1:14">
      <c r="A12" s="20"/>
      <c r="B12" s="20"/>
      <c r="C12" s="20"/>
      <c r="D12" s="20"/>
      <c r="E12" s="20"/>
      <c r="F12" s="20"/>
      <c r="G12" s="20"/>
      <c r="H12" s="22" t="str">
        <f t="shared" si="0"/>
        <v/>
      </c>
      <c r="I12" s="20" t="str">
        <f t="shared" ca="1" si="3"/>
        <v/>
      </c>
      <c r="J12" s="20" t="str">
        <f t="shared" ca="1" si="3"/>
        <v/>
      </c>
      <c r="K12" s="20" t="str">
        <f t="shared" ca="1" si="3"/>
        <v/>
      </c>
      <c r="L12" s="21" t="str">
        <f t="shared" si="1"/>
        <v/>
      </c>
      <c r="M12" s="21" t="str">
        <f t="shared" si="2"/>
        <v/>
      </c>
      <c r="N12" s="20"/>
    </row>
    <row r="13" spans="1:14">
      <c r="A13" s="20"/>
      <c r="B13" s="20"/>
      <c r="C13" s="20"/>
      <c r="D13" s="20"/>
      <c r="E13" s="20"/>
      <c r="F13" s="20"/>
      <c r="G13" s="20"/>
      <c r="H13" s="22" t="str">
        <f t="shared" si="0"/>
        <v/>
      </c>
      <c r="I13" s="20" t="str">
        <f t="shared" ca="1" si="3"/>
        <v/>
      </c>
      <c r="J13" s="20" t="str">
        <f t="shared" ca="1" si="3"/>
        <v/>
      </c>
      <c r="K13" s="20" t="str">
        <f t="shared" ca="1" si="3"/>
        <v/>
      </c>
      <c r="L13" s="21" t="str">
        <f t="shared" si="1"/>
        <v/>
      </c>
      <c r="M13" s="21" t="str">
        <f t="shared" si="2"/>
        <v/>
      </c>
      <c r="N13" s="20"/>
    </row>
    <row r="14" spans="1:14">
      <c r="A14" s="20"/>
      <c r="B14" s="20"/>
      <c r="C14" s="20"/>
      <c r="D14" s="20"/>
      <c r="E14" s="20"/>
      <c r="F14" s="20"/>
      <c r="G14" s="20"/>
      <c r="H14" s="22" t="str">
        <f t="shared" si="0"/>
        <v/>
      </c>
      <c r="I14" s="20" t="str">
        <f t="shared" ca="1" si="3"/>
        <v/>
      </c>
      <c r="J14" s="20" t="str">
        <f t="shared" ca="1" si="3"/>
        <v/>
      </c>
      <c r="K14" s="20" t="str">
        <f t="shared" ca="1" si="3"/>
        <v/>
      </c>
      <c r="L14" s="21" t="str">
        <f t="shared" si="1"/>
        <v/>
      </c>
      <c r="M14" s="21" t="str">
        <f t="shared" si="2"/>
        <v/>
      </c>
      <c r="N14" s="20"/>
    </row>
    <row r="15" spans="1:14">
      <c r="A15" s="20"/>
      <c r="B15" s="20"/>
      <c r="C15" s="20"/>
      <c r="D15" s="20"/>
      <c r="E15" s="20"/>
      <c r="F15" s="20"/>
      <c r="G15" s="20"/>
      <c r="H15" s="22" t="str">
        <f t="shared" si="0"/>
        <v/>
      </c>
      <c r="I15" s="20" t="str">
        <f t="shared" ca="1" si="3"/>
        <v/>
      </c>
      <c r="J15" s="20" t="str">
        <f t="shared" ca="1" si="3"/>
        <v/>
      </c>
      <c r="K15" s="20" t="str">
        <f t="shared" ca="1" si="3"/>
        <v/>
      </c>
      <c r="L15" s="21" t="str">
        <f t="shared" si="1"/>
        <v/>
      </c>
      <c r="M15" s="21" t="str">
        <f t="shared" si="2"/>
        <v/>
      </c>
      <c r="N15" s="20"/>
    </row>
    <row r="16" spans="1:14">
      <c r="A16" s="20"/>
      <c r="B16" s="20"/>
      <c r="C16" s="20"/>
      <c r="D16" s="20"/>
      <c r="E16" s="20"/>
      <c r="F16" s="20"/>
      <c r="G16" s="20"/>
      <c r="H16" s="22" t="str">
        <f t="shared" si="0"/>
        <v/>
      </c>
      <c r="I16" s="20" t="str">
        <f t="shared" ca="1" si="3"/>
        <v/>
      </c>
      <c r="J16" s="20" t="str">
        <f t="shared" ca="1" si="3"/>
        <v/>
      </c>
      <c r="K16" s="20" t="str">
        <f t="shared" ca="1" si="3"/>
        <v/>
      </c>
      <c r="L16" s="21" t="str">
        <f t="shared" si="1"/>
        <v/>
      </c>
      <c r="M16" s="21" t="str">
        <f t="shared" si="2"/>
        <v/>
      </c>
      <c r="N16" s="20"/>
    </row>
    <row r="17" spans="1:14">
      <c r="A17" s="20"/>
      <c r="B17" s="20"/>
      <c r="C17" s="20"/>
      <c r="D17" s="20"/>
      <c r="E17" s="20"/>
      <c r="F17" s="20"/>
      <c r="G17" s="20"/>
      <c r="H17" s="22" t="str">
        <f t="shared" si="0"/>
        <v/>
      </c>
      <c r="I17" s="20" t="str">
        <f t="shared" ca="1" si="3"/>
        <v/>
      </c>
      <c r="J17" s="20" t="str">
        <f t="shared" ca="1" si="3"/>
        <v/>
      </c>
      <c r="K17" s="20" t="str">
        <f t="shared" ca="1" si="3"/>
        <v/>
      </c>
      <c r="L17" s="21" t="str">
        <f t="shared" si="1"/>
        <v/>
      </c>
      <c r="M17" s="21" t="str">
        <f t="shared" si="2"/>
        <v/>
      </c>
      <c r="N17" s="20"/>
    </row>
    <row r="18" spans="1:14">
      <c r="A18" s="20"/>
      <c r="B18" s="20"/>
      <c r="C18" s="20"/>
      <c r="D18" s="20"/>
      <c r="E18" s="20"/>
      <c r="F18" s="20"/>
      <c r="G18" s="20"/>
      <c r="H18" s="22" t="str">
        <f t="shared" si="0"/>
        <v/>
      </c>
      <c r="I18" s="20" t="str">
        <f t="shared" ca="1" si="3"/>
        <v/>
      </c>
      <c r="J18" s="20" t="str">
        <f t="shared" ca="1" si="3"/>
        <v/>
      </c>
      <c r="K18" s="20" t="str">
        <f t="shared" ca="1" si="3"/>
        <v/>
      </c>
      <c r="L18" s="21" t="str">
        <f t="shared" si="1"/>
        <v/>
      </c>
      <c r="M18" s="21" t="str">
        <f t="shared" si="2"/>
        <v/>
      </c>
      <c r="N18" s="20"/>
    </row>
    <row r="19" spans="1:14">
      <c r="A19" s="20"/>
      <c r="B19" s="20"/>
      <c r="C19" s="20"/>
      <c r="D19" s="20"/>
      <c r="E19" s="20"/>
      <c r="F19" s="20"/>
      <c r="G19" s="20"/>
      <c r="H19" s="22" t="str">
        <f t="shared" si="0"/>
        <v/>
      </c>
      <c r="I19" s="20" t="str">
        <f t="shared" ca="1" si="3"/>
        <v/>
      </c>
      <c r="J19" s="20" t="str">
        <f t="shared" ca="1" si="3"/>
        <v/>
      </c>
      <c r="K19" s="20" t="str">
        <f t="shared" ca="1" si="3"/>
        <v/>
      </c>
      <c r="L19" s="21" t="str">
        <f t="shared" si="1"/>
        <v/>
      </c>
      <c r="M19" s="21" t="str">
        <f t="shared" si="2"/>
        <v/>
      </c>
      <c r="N19" s="20"/>
    </row>
    <row r="20" spans="1:14">
      <c r="A20" s="20"/>
      <c r="B20" s="20"/>
      <c r="C20" s="20"/>
      <c r="D20" s="20"/>
      <c r="E20" s="20"/>
      <c r="F20" s="20"/>
      <c r="G20" s="20"/>
      <c r="H20" s="22" t="str">
        <f t="shared" si="0"/>
        <v/>
      </c>
      <c r="I20" s="20" t="str">
        <f t="shared" ca="1" si="3"/>
        <v/>
      </c>
      <c r="J20" s="20" t="str">
        <f t="shared" ca="1" si="3"/>
        <v/>
      </c>
      <c r="K20" s="20" t="str">
        <f t="shared" ca="1" si="3"/>
        <v/>
      </c>
      <c r="L20" s="21" t="str">
        <f t="shared" si="1"/>
        <v/>
      </c>
      <c r="M20" s="21" t="str">
        <f t="shared" si="2"/>
        <v/>
      </c>
      <c r="N20" s="20"/>
    </row>
    <row r="21" spans="1:14">
      <c r="A21" s="20"/>
      <c r="B21" s="20"/>
      <c r="C21" s="20"/>
      <c r="D21" s="20"/>
      <c r="E21" s="20"/>
      <c r="F21" s="20"/>
      <c r="G21" s="20"/>
      <c r="H21" s="22"/>
      <c r="I21" s="20"/>
      <c r="J21" s="20"/>
      <c r="K21" s="20"/>
      <c r="L21" s="21"/>
      <c r="M21" s="21"/>
      <c r="N21" s="20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21"/>
  <sheetViews>
    <sheetView workbookViewId="0"/>
  </sheetViews>
  <sheetFormatPr defaultRowHeight="13.8"/>
  <cols>
    <col min="1" max="1" width="14" customWidth="1"/>
    <col min="2" max="2" width="32" customWidth="1"/>
    <col min="3" max="6" width="16" customWidth="1"/>
    <col min="7" max="13" width="18" customWidth="1"/>
    <col min="14" max="14" width="24" customWidth="1"/>
  </cols>
  <sheetData>
    <row r="1" spans="1:14">
      <c r="A1" s="65" t="s">
        <v>295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296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19" t="s">
        <v>297</v>
      </c>
      <c r="B4" s="19" t="s">
        <v>69</v>
      </c>
      <c r="C4" s="19" t="s">
        <v>11</v>
      </c>
      <c r="D4" s="19" t="s">
        <v>298</v>
      </c>
      <c r="E4" s="19" t="s">
        <v>299</v>
      </c>
      <c r="F4" s="19" t="s">
        <v>300</v>
      </c>
      <c r="G4" s="19" t="s">
        <v>301</v>
      </c>
      <c r="H4" s="19" t="s">
        <v>302</v>
      </c>
      <c r="I4" s="19" t="s">
        <v>303</v>
      </c>
      <c r="J4" s="19" t="s">
        <v>304</v>
      </c>
      <c r="K4" s="19" t="s">
        <v>305</v>
      </c>
      <c r="L4" s="19" t="s">
        <v>306</v>
      </c>
      <c r="M4" s="19" t="s">
        <v>2</v>
      </c>
      <c r="N4" s="19" t="s">
        <v>5</v>
      </c>
    </row>
    <row r="5" spans="1:14">
      <c r="A5" s="20" t="s">
        <v>76</v>
      </c>
      <c r="B5" s="20" t="s">
        <v>77</v>
      </c>
      <c r="C5" s="20">
        <v>3.9</v>
      </c>
      <c r="D5" s="24">
        <v>46147.25</v>
      </c>
      <c r="E5" s="20">
        <v>15</v>
      </c>
      <c r="F5" s="20">
        <v>0</v>
      </c>
      <c r="G5" s="20">
        <v>0</v>
      </c>
      <c r="H5" s="20">
        <v>0</v>
      </c>
      <c r="I5" s="21">
        <f t="shared" ref="I5:I20" si="0">IF(A5="","",SUM(E5:H5))</f>
        <v>15</v>
      </c>
      <c r="J5" s="25">
        <f t="shared" ref="J5:J20" si="1">IF(A5="","",D5+C5/24)</f>
        <v>46147.412499999999</v>
      </c>
      <c r="K5" s="25">
        <f t="shared" ref="K5:K20" si="2">IF(A5="","",J5+I5/1440)</f>
        <v>46147.422916666663</v>
      </c>
      <c r="L5" s="21" t="str">
        <f t="shared" ref="L5:L20" si="3">IF(A5="","",IF(I5&gt;=60,"Korkea",IF(I5&gt;=30,"Keskitaso","Matala")))</f>
        <v>Matala</v>
      </c>
      <c r="M5" s="21" t="str">
        <f t="shared" ref="M5:M20" si="4">IF(A5="","",IF(L5="Korkea","Etsi vaihtoehtoinen reitti","Seuraa"))</f>
        <v>Seuraa</v>
      </c>
      <c r="N5" s="20"/>
    </row>
    <row r="6" spans="1:14" ht="27.6">
      <c r="A6" s="20" t="s">
        <v>83</v>
      </c>
      <c r="B6" s="20" t="s">
        <v>84</v>
      </c>
      <c r="C6" s="20">
        <v>8.1</v>
      </c>
      <c r="D6" s="24">
        <v>46147.25</v>
      </c>
      <c r="E6" s="20">
        <v>30</v>
      </c>
      <c r="F6" s="20">
        <v>20</v>
      </c>
      <c r="G6" s="20">
        <v>0</v>
      </c>
      <c r="H6" s="20">
        <v>15</v>
      </c>
      <c r="I6" s="21">
        <f t="shared" si="0"/>
        <v>65</v>
      </c>
      <c r="J6" s="25">
        <f t="shared" si="1"/>
        <v>46147.587500000001</v>
      </c>
      <c r="K6" s="25">
        <f t="shared" si="2"/>
        <v>46147.632638888892</v>
      </c>
      <c r="L6" s="21" t="str">
        <f t="shared" si="3"/>
        <v>Korkea</v>
      </c>
      <c r="M6" s="21" t="str">
        <f t="shared" si="4"/>
        <v>Etsi vaihtoehtoinen reitti</v>
      </c>
      <c r="N6" s="20"/>
    </row>
    <row r="7" spans="1:14" ht="27.6">
      <c r="A7" s="20" t="s">
        <v>90</v>
      </c>
      <c r="B7" s="20" t="s">
        <v>91</v>
      </c>
      <c r="C7" s="20">
        <v>6.1</v>
      </c>
      <c r="D7" s="24">
        <v>46147.25</v>
      </c>
      <c r="E7" s="20">
        <v>20</v>
      </c>
      <c r="F7" s="20">
        <v>0</v>
      </c>
      <c r="G7" s="20">
        <v>45</v>
      </c>
      <c r="H7" s="20">
        <v>0</v>
      </c>
      <c r="I7" s="21">
        <f t="shared" si="0"/>
        <v>65</v>
      </c>
      <c r="J7" s="25">
        <f t="shared" si="1"/>
        <v>46147.504166666666</v>
      </c>
      <c r="K7" s="25">
        <f t="shared" si="2"/>
        <v>46147.549305555556</v>
      </c>
      <c r="L7" s="21" t="str">
        <f t="shared" si="3"/>
        <v>Korkea</v>
      </c>
      <c r="M7" s="21" t="str">
        <f t="shared" si="4"/>
        <v>Etsi vaihtoehtoinen reitti</v>
      </c>
      <c r="N7" s="20"/>
    </row>
    <row r="8" spans="1:14">
      <c r="A8" s="20"/>
      <c r="B8" s="20"/>
      <c r="C8" s="20"/>
      <c r="D8" s="24"/>
      <c r="E8" s="20"/>
      <c r="F8" s="20"/>
      <c r="G8" s="20"/>
      <c r="H8" s="20"/>
      <c r="I8" s="21" t="str">
        <f t="shared" si="0"/>
        <v/>
      </c>
      <c r="J8" s="25" t="str">
        <f t="shared" si="1"/>
        <v/>
      </c>
      <c r="K8" s="25" t="str">
        <f t="shared" si="2"/>
        <v/>
      </c>
      <c r="L8" s="21" t="str">
        <f t="shared" si="3"/>
        <v/>
      </c>
      <c r="M8" s="21" t="str">
        <f t="shared" si="4"/>
        <v/>
      </c>
      <c r="N8" s="20"/>
    </row>
    <row r="9" spans="1:14">
      <c r="A9" s="20"/>
      <c r="B9" s="20"/>
      <c r="C9" s="20"/>
      <c r="D9" s="24"/>
      <c r="E9" s="20"/>
      <c r="F9" s="20"/>
      <c r="G9" s="20"/>
      <c r="H9" s="20"/>
      <c r="I9" s="21" t="str">
        <f t="shared" si="0"/>
        <v/>
      </c>
      <c r="J9" s="25" t="str">
        <f t="shared" si="1"/>
        <v/>
      </c>
      <c r="K9" s="25" t="str">
        <f t="shared" si="2"/>
        <v/>
      </c>
      <c r="L9" s="21" t="str">
        <f t="shared" si="3"/>
        <v/>
      </c>
      <c r="M9" s="21" t="str">
        <f t="shared" si="4"/>
        <v/>
      </c>
      <c r="N9" s="20"/>
    </row>
    <row r="10" spans="1:14">
      <c r="A10" s="20"/>
      <c r="B10" s="20"/>
      <c r="C10" s="20"/>
      <c r="D10" s="24"/>
      <c r="E10" s="20"/>
      <c r="F10" s="20"/>
      <c r="G10" s="20"/>
      <c r="H10" s="20"/>
      <c r="I10" s="21" t="str">
        <f t="shared" si="0"/>
        <v/>
      </c>
      <c r="J10" s="25" t="str">
        <f t="shared" si="1"/>
        <v/>
      </c>
      <c r="K10" s="25" t="str">
        <f t="shared" si="2"/>
        <v/>
      </c>
      <c r="L10" s="21" t="str">
        <f t="shared" si="3"/>
        <v/>
      </c>
      <c r="M10" s="21" t="str">
        <f t="shared" si="4"/>
        <v/>
      </c>
      <c r="N10" s="20"/>
    </row>
    <row r="11" spans="1:14">
      <c r="A11" s="20"/>
      <c r="B11" s="20"/>
      <c r="C11" s="20"/>
      <c r="D11" s="24"/>
      <c r="E11" s="20"/>
      <c r="F11" s="20"/>
      <c r="G11" s="20"/>
      <c r="H11" s="20"/>
      <c r="I11" s="21" t="str">
        <f t="shared" si="0"/>
        <v/>
      </c>
      <c r="J11" s="25" t="str">
        <f t="shared" si="1"/>
        <v/>
      </c>
      <c r="K11" s="25" t="str">
        <f t="shared" si="2"/>
        <v/>
      </c>
      <c r="L11" s="21" t="str">
        <f t="shared" si="3"/>
        <v/>
      </c>
      <c r="M11" s="21" t="str">
        <f t="shared" si="4"/>
        <v/>
      </c>
      <c r="N11" s="20"/>
    </row>
    <row r="12" spans="1:14">
      <c r="A12" s="20"/>
      <c r="B12" s="20"/>
      <c r="C12" s="20"/>
      <c r="D12" s="24"/>
      <c r="E12" s="20"/>
      <c r="F12" s="20"/>
      <c r="G12" s="20"/>
      <c r="H12" s="20"/>
      <c r="I12" s="21" t="str">
        <f t="shared" si="0"/>
        <v/>
      </c>
      <c r="J12" s="25" t="str">
        <f t="shared" si="1"/>
        <v/>
      </c>
      <c r="K12" s="25" t="str">
        <f t="shared" si="2"/>
        <v/>
      </c>
      <c r="L12" s="21" t="str">
        <f t="shared" si="3"/>
        <v/>
      </c>
      <c r="M12" s="21" t="str">
        <f t="shared" si="4"/>
        <v/>
      </c>
      <c r="N12" s="20"/>
    </row>
    <row r="13" spans="1:14">
      <c r="A13" s="20"/>
      <c r="B13" s="20"/>
      <c r="C13" s="20"/>
      <c r="D13" s="24"/>
      <c r="E13" s="20"/>
      <c r="F13" s="20"/>
      <c r="G13" s="20"/>
      <c r="H13" s="20"/>
      <c r="I13" s="21" t="str">
        <f t="shared" si="0"/>
        <v/>
      </c>
      <c r="J13" s="25" t="str">
        <f t="shared" si="1"/>
        <v/>
      </c>
      <c r="K13" s="25" t="str">
        <f t="shared" si="2"/>
        <v/>
      </c>
      <c r="L13" s="21" t="str">
        <f t="shared" si="3"/>
        <v/>
      </c>
      <c r="M13" s="21" t="str">
        <f t="shared" si="4"/>
        <v/>
      </c>
      <c r="N13" s="20"/>
    </row>
    <row r="14" spans="1:14">
      <c r="A14" s="20"/>
      <c r="B14" s="20"/>
      <c r="C14" s="20"/>
      <c r="D14" s="24"/>
      <c r="E14" s="20"/>
      <c r="F14" s="20"/>
      <c r="G14" s="20"/>
      <c r="H14" s="20"/>
      <c r="I14" s="21" t="str">
        <f t="shared" si="0"/>
        <v/>
      </c>
      <c r="J14" s="25" t="str">
        <f t="shared" si="1"/>
        <v/>
      </c>
      <c r="K14" s="25" t="str">
        <f t="shared" si="2"/>
        <v/>
      </c>
      <c r="L14" s="21" t="str">
        <f t="shared" si="3"/>
        <v/>
      </c>
      <c r="M14" s="21" t="str">
        <f t="shared" si="4"/>
        <v/>
      </c>
      <c r="N14" s="20"/>
    </row>
    <row r="15" spans="1:14">
      <c r="A15" s="20"/>
      <c r="B15" s="20"/>
      <c r="C15" s="20"/>
      <c r="D15" s="24"/>
      <c r="E15" s="20"/>
      <c r="F15" s="20"/>
      <c r="G15" s="20"/>
      <c r="H15" s="20"/>
      <c r="I15" s="21" t="str">
        <f t="shared" si="0"/>
        <v/>
      </c>
      <c r="J15" s="25" t="str">
        <f t="shared" si="1"/>
        <v/>
      </c>
      <c r="K15" s="25" t="str">
        <f t="shared" si="2"/>
        <v/>
      </c>
      <c r="L15" s="21" t="str">
        <f t="shared" si="3"/>
        <v/>
      </c>
      <c r="M15" s="21" t="str">
        <f t="shared" si="4"/>
        <v/>
      </c>
      <c r="N15" s="20"/>
    </row>
    <row r="16" spans="1:14">
      <c r="A16" s="20"/>
      <c r="B16" s="20"/>
      <c r="C16" s="20"/>
      <c r="D16" s="24"/>
      <c r="E16" s="20"/>
      <c r="F16" s="20"/>
      <c r="G16" s="20"/>
      <c r="H16" s="20"/>
      <c r="I16" s="21" t="str">
        <f t="shared" si="0"/>
        <v/>
      </c>
      <c r="J16" s="25" t="str">
        <f t="shared" si="1"/>
        <v/>
      </c>
      <c r="K16" s="25" t="str">
        <f t="shared" si="2"/>
        <v/>
      </c>
      <c r="L16" s="21" t="str">
        <f t="shared" si="3"/>
        <v/>
      </c>
      <c r="M16" s="21" t="str">
        <f t="shared" si="4"/>
        <v/>
      </c>
      <c r="N16" s="20"/>
    </row>
    <row r="17" spans="1:14">
      <c r="A17" s="20"/>
      <c r="B17" s="20"/>
      <c r="C17" s="20"/>
      <c r="D17" s="24"/>
      <c r="E17" s="20"/>
      <c r="F17" s="20"/>
      <c r="G17" s="20"/>
      <c r="H17" s="20"/>
      <c r="I17" s="21" t="str">
        <f t="shared" si="0"/>
        <v/>
      </c>
      <c r="J17" s="25" t="str">
        <f t="shared" si="1"/>
        <v/>
      </c>
      <c r="K17" s="25" t="str">
        <f t="shared" si="2"/>
        <v/>
      </c>
      <c r="L17" s="21" t="str">
        <f t="shared" si="3"/>
        <v/>
      </c>
      <c r="M17" s="21" t="str">
        <f t="shared" si="4"/>
        <v/>
      </c>
      <c r="N17" s="20"/>
    </row>
    <row r="18" spans="1:14">
      <c r="A18" s="20"/>
      <c r="B18" s="20"/>
      <c r="C18" s="20"/>
      <c r="D18" s="24"/>
      <c r="E18" s="20"/>
      <c r="F18" s="20"/>
      <c r="G18" s="20"/>
      <c r="H18" s="20"/>
      <c r="I18" s="21" t="str">
        <f t="shared" si="0"/>
        <v/>
      </c>
      <c r="J18" s="25" t="str">
        <f t="shared" si="1"/>
        <v/>
      </c>
      <c r="K18" s="25" t="str">
        <f t="shared" si="2"/>
        <v/>
      </c>
      <c r="L18" s="21" t="str">
        <f t="shared" si="3"/>
        <v/>
      </c>
      <c r="M18" s="21" t="str">
        <f t="shared" si="4"/>
        <v/>
      </c>
      <c r="N18" s="20"/>
    </row>
    <row r="19" spans="1:14">
      <c r="A19" s="20"/>
      <c r="B19" s="20"/>
      <c r="C19" s="20"/>
      <c r="D19" s="24"/>
      <c r="E19" s="20"/>
      <c r="F19" s="20"/>
      <c r="G19" s="20"/>
      <c r="H19" s="20"/>
      <c r="I19" s="21" t="str">
        <f t="shared" si="0"/>
        <v/>
      </c>
      <c r="J19" s="25" t="str">
        <f t="shared" si="1"/>
        <v/>
      </c>
      <c r="K19" s="25" t="str">
        <f t="shared" si="2"/>
        <v/>
      </c>
      <c r="L19" s="21" t="str">
        <f t="shared" si="3"/>
        <v/>
      </c>
      <c r="M19" s="21" t="str">
        <f t="shared" si="4"/>
        <v/>
      </c>
      <c r="N19" s="20"/>
    </row>
    <row r="20" spans="1:14">
      <c r="A20" s="20"/>
      <c r="B20" s="20"/>
      <c r="C20" s="20"/>
      <c r="D20" s="24"/>
      <c r="E20" s="20"/>
      <c r="F20" s="20"/>
      <c r="G20" s="20"/>
      <c r="H20" s="20"/>
      <c r="I20" s="21" t="str">
        <f t="shared" si="0"/>
        <v/>
      </c>
      <c r="J20" s="25" t="str">
        <f t="shared" si="1"/>
        <v/>
      </c>
      <c r="K20" s="25" t="str">
        <f t="shared" si="2"/>
        <v/>
      </c>
      <c r="L20" s="21" t="str">
        <f t="shared" si="3"/>
        <v/>
      </c>
      <c r="M20" s="21" t="str">
        <f t="shared" si="4"/>
        <v/>
      </c>
      <c r="N20" s="20"/>
    </row>
    <row r="21" spans="1:14">
      <c r="A21" s="20"/>
      <c r="B21" s="20"/>
      <c r="C21" s="20"/>
      <c r="D21" s="24"/>
      <c r="E21" s="20"/>
      <c r="F21" s="20"/>
      <c r="G21" s="20"/>
      <c r="H21" s="20"/>
      <c r="I21" s="21"/>
      <c r="J21" s="25"/>
      <c r="K21" s="25"/>
      <c r="L21" s="21"/>
      <c r="M21" s="21"/>
      <c r="N21" s="20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21"/>
  <sheetViews>
    <sheetView workbookViewId="0"/>
  </sheetViews>
  <sheetFormatPr defaultRowHeight="13.8"/>
  <cols>
    <col min="1" max="2" width="18" customWidth="1"/>
    <col min="3" max="6" width="16" customWidth="1"/>
    <col min="7" max="12" width="18" customWidth="1"/>
    <col min="13" max="14" width="22" customWidth="1"/>
  </cols>
  <sheetData>
    <row r="1" spans="1:14">
      <c r="A1" s="65" t="s">
        <v>307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308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19" t="s">
        <v>260</v>
      </c>
      <c r="B4" s="19" t="s">
        <v>69</v>
      </c>
      <c r="C4" s="19" t="s">
        <v>309</v>
      </c>
      <c r="D4" s="19" t="s">
        <v>310</v>
      </c>
      <c r="E4" s="19" t="s">
        <v>311</v>
      </c>
      <c r="F4" s="19" t="s">
        <v>312</v>
      </c>
      <c r="G4" s="19" t="s">
        <v>313</v>
      </c>
      <c r="H4" s="19" t="s">
        <v>120</v>
      </c>
      <c r="I4" s="19" t="s">
        <v>314</v>
      </c>
      <c r="J4" s="19" t="s">
        <v>315</v>
      </c>
      <c r="K4" s="19" t="s">
        <v>316</v>
      </c>
      <c r="L4" s="19" t="s">
        <v>317</v>
      </c>
      <c r="M4" s="19" t="s">
        <v>16</v>
      </c>
      <c r="N4" s="19" t="s">
        <v>5</v>
      </c>
    </row>
    <row r="5" spans="1:14">
      <c r="A5" s="20" t="s">
        <v>318</v>
      </c>
      <c r="B5" s="20" t="s">
        <v>76</v>
      </c>
      <c r="C5" s="26">
        <v>850</v>
      </c>
      <c r="D5" s="20" t="s">
        <v>53</v>
      </c>
      <c r="E5" s="27">
        <v>0.96</v>
      </c>
      <c r="F5" s="20">
        <v>90</v>
      </c>
      <c r="G5" s="20">
        <v>80</v>
      </c>
      <c r="H5" s="20" t="s">
        <v>319</v>
      </c>
      <c r="I5" s="21">
        <f t="shared" ref="I5:I20" si="0">IF(A5="","",MAX(0,100*(1-(C5-MIN($C$5:$C$20))/(MAX($C$5:$C$20)-MIN($C$5:$C$20)+0.0001))))</f>
        <v>94.642858099489629</v>
      </c>
      <c r="J5" s="21">
        <f t="shared" ref="J5:J20" si="1">IF(A5="","",IF(D5="Kyllä",100,0))</f>
        <v>100</v>
      </c>
      <c r="K5" s="21">
        <f t="shared" ref="K5:K20" si="2">IF(A5="","",I5*0.35+J5*0.25+E5*100*0.2+F5*0.1+G5*0.1)</f>
        <v>94.325000334821368</v>
      </c>
      <c r="L5" s="21" t="str">
        <f t="shared" ref="L5:L20" si="3">IF(A5="","",IF(K5=MAX($K$5:$K$20),"VALITSE",""))</f>
        <v>VALITSE</v>
      </c>
      <c r="M5" s="21" t="str">
        <f t="shared" ref="M5:M20" si="4">IF(L5="VALITSE","Paras kokonaispiste","")</f>
        <v>Paras kokonaispiste</v>
      </c>
      <c r="N5" s="20"/>
    </row>
    <row r="6" spans="1:14">
      <c r="A6" s="20" t="s">
        <v>320</v>
      </c>
      <c r="B6" s="20" t="s">
        <v>76</v>
      </c>
      <c r="C6" s="26">
        <v>820</v>
      </c>
      <c r="D6" s="20" t="s">
        <v>53</v>
      </c>
      <c r="E6" s="27">
        <v>0.91</v>
      </c>
      <c r="F6" s="20">
        <v>78</v>
      </c>
      <c r="G6" s="20">
        <v>75</v>
      </c>
      <c r="H6" s="20" t="s">
        <v>321</v>
      </c>
      <c r="I6" s="21">
        <f t="shared" si="0"/>
        <v>100</v>
      </c>
      <c r="J6" s="21">
        <f t="shared" si="1"/>
        <v>100</v>
      </c>
      <c r="K6" s="21">
        <f t="shared" si="2"/>
        <v>93.5</v>
      </c>
      <c r="L6" s="21" t="str">
        <f t="shared" si="3"/>
        <v/>
      </c>
      <c r="M6" s="21" t="str">
        <f t="shared" si="4"/>
        <v/>
      </c>
      <c r="N6" s="20"/>
    </row>
    <row r="7" spans="1:14">
      <c r="A7" s="20" t="s">
        <v>322</v>
      </c>
      <c r="B7" s="20" t="s">
        <v>76</v>
      </c>
      <c r="C7" s="26">
        <v>900</v>
      </c>
      <c r="D7" s="20" t="s">
        <v>51</v>
      </c>
      <c r="E7" s="27">
        <v>0.98</v>
      </c>
      <c r="F7" s="20">
        <v>95</v>
      </c>
      <c r="G7" s="20">
        <v>85</v>
      </c>
      <c r="H7" s="20" t="s">
        <v>319</v>
      </c>
      <c r="I7" s="21">
        <f t="shared" si="0"/>
        <v>85.714288265305669</v>
      </c>
      <c r="J7" s="21">
        <f t="shared" si="1"/>
        <v>0</v>
      </c>
      <c r="K7" s="21">
        <f t="shared" si="2"/>
        <v>67.600000892856983</v>
      </c>
      <c r="L7" s="21" t="str">
        <f t="shared" si="3"/>
        <v/>
      </c>
      <c r="M7" s="21" t="str">
        <f t="shared" si="4"/>
        <v/>
      </c>
      <c r="N7" s="20"/>
    </row>
    <row r="8" spans="1:14">
      <c r="A8" s="20" t="s">
        <v>323</v>
      </c>
      <c r="B8" s="20" t="s">
        <v>83</v>
      </c>
      <c r="C8" s="26">
        <v>1380</v>
      </c>
      <c r="D8" s="20" t="s">
        <v>53</v>
      </c>
      <c r="E8" s="27">
        <v>0.93</v>
      </c>
      <c r="F8" s="20">
        <v>82</v>
      </c>
      <c r="G8" s="20">
        <v>70</v>
      </c>
      <c r="H8" s="20" t="s">
        <v>324</v>
      </c>
      <c r="I8" s="21">
        <f t="shared" si="0"/>
        <v>1.785713966695468E-5</v>
      </c>
      <c r="J8" s="21">
        <f t="shared" si="1"/>
        <v>100</v>
      </c>
      <c r="K8" s="21">
        <f t="shared" si="2"/>
        <v>58.800006249998887</v>
      </c>
      <c r="L8" s="21" t="str">
        <f t="shared" si="3"/>
        <v/>
      </c>
      <c r="M8" s="21" t="str">
        <f t="shared" si="4"/>
        <v/>
      </c>
      <c r="N8" s="20"/>
    </row>
    <row r="9" spans="1:14">
      <c r="A9" s="20"/>
      <c r="B9" s="20"/>
      <c r="C9" s="26"/>
      <c r="D9" s="20"/>
      <c r="E9" s="27"/>
      <c r="F9" s="20"/>
      <c r="G9" s="20"/>
      <c r="H9" s="20"/>
      <c r="I9" s="21" t="str">
        <f t="shared" si="0"/>
        <v/>
      </c>
      <c r="J9" s="21" t="str">
        <f t="shared" si="1"/>
        <v/>
      </c>
      <c r="K9" s="21" t="str">
        <f t="shared" si="2"/>
        <v/>
      </c>
      <c r="L9" s="21" t="str">
        <f t="shared" si="3"/>
        <v/>
      </c>
      <c r="M9" s="21" t="str">
        <f t="shared" si="4"/>
        <v/>
      </c>
      <c r="N9" s="20"/>
    </row>
    <row r="10" spans="1:14">
      <c r="A10" s="20"/>
      <c r="B10" s="20"/>
      <c r="C10" s="26"/>
      <c r="D10" s="20"/>
      <c r="E10" s="27"/>
      <c r="F10" s="20"/>
      <c r="G10" s="20"/>
      <c r="H10" s="20"/>
      <c r="I10" s="21" t="str">
        <f t="shared" si="0"/>
        <v/>
      </c>
      <c r="J10" s="21" t="str">
        <f t="shared" si="1"/>
        <v/>
      </c>
      <c r="K10" s="21" t="str">
        <f t="shared" si="2"/>
        <v/>
      </c>
      <c r="L10" s="21" t="str">
        <f t="shared" si="3"/>
        <v/>
      </c>
      <c r="M10" s="21" t="str">
        <f t="shared" si="4"/>
        <v/>
      </c>
      <c r="N10" s="20"/>
    </row>
    <row r="11" spans="1:14">
      <c r="A11" s="20"/>
      <c r="B11" s="20"/>
      <c r="C11" s="26"/>
      <c r="D11" s="20"/>
      <c r="E11" s="27"/>
      <c r="F11" s="20"/>
      <c r="G11" s="20"/>
      <c r="H11" s="20"/>
      <c r="I11" s="21" t="str">
        <f t="shared" si="0"/>
        <v/>
      </c>
      <c r="J11" s="21" t="str">
        <f t="shared" si="1"/>
        <v/>
      </c>
      <c r="K11" s="21" t="str">
        <f t="shared" si="2"/>
        <v/>
      </c>
      <c r="L11" s="21" t="str">
        <f t="shared" si="3"/>
        <v/>
      </c>
      <c r="M11" s="21" t="str">
        <f t="shared" si="4"/>
        <v/>
      </c>
      <c r="N11" s="20"/>
    </row>
    <row r="12" spans="1:14">
      <c r="A12" s="20"/>
      <c r="B12" s="20"/>
      <c r="C12" s="26"/>
      <c r="D12" s="20"/>
      <c r="E12" s="27"/>
      <c r="F12" s="20"/>
      <c r="G12" s="20"/>
      <c r="H12" s="20"/>
      <c r="I12" s="21" t="str">
        <f t="shared" si="0"/>
        <v/>
      </c>
      <c r="J12" s="21" t="str">
        <f t="shared" si="1"/>
        <v/>
      </c>
      <c r="K12" s="21" t="str">
        <f t="shared" si="2"/>
        <v/>
      </c>
      <c r="L12" s="21" t="str">
        <f t="shared" si="3"/>
        <v/>
      </c>
      <c r="M12" s="21" t="str">
        <f t="shared" si="4"/>
        <v/>
      </c>
      <c r="N12" s="20"/>
    </row>
    <row r="13" spans="1:14">
      <c r="A13" s="20"/>
      <c r="B13" s="20"/>
      <c r="C13" s="26"/>
      <c r="D13" s="20"/>
      <c r="E13" s="27"/>
      <c r="F13" s="20"/>
      <c r="G13" s="20"/>
      <c r="H13" s="20"/>
      <c r="I13" s="21" t="str">
        <f t="shared" si="0"/>
        <v/>
      </c>
      <c r="J13" s="21" t="str">
        <f t="shared" si="1"/>
        <v/>
      </c>
      <c r="K13" s="21" t="str">
        <f t="shared" si="2"/>
        <v/>
      </c>
      <c r="L13" s="21" t="str">
        <f t="shared" si="3"/>
        <v/>
      </c>
      <c r="M13" s="21" t="str">
        <f t="shared" si="4"/>
        <v/>
      </c>
      <c r="N13" s="20"/>
    </row>
    <row r="14" spans="1:14">
      <c r="A14" s="20"/>
      <c r="B14" s="20"/>
      <c r="C14" s="26"/>
      <c r="D14" s="20"/>
      <c r="E14" s="27"/>
      <c r="F14" s="20"/>
      <c r="G14" s="20"/>
      <c r="H14" s="20"/>
      <c r="I14" s="21" t="str">
        <f t="shared" si="0"/>
        <v/>
      </c>
      <c r="J14" s="21" t="str">
        <f t="shared" si="1"/>
        <v/>
      </c>
      <c r="K14" s="21" t="str">
        <f t="shared" si="2"/>
        <v/>
      </c>
      <c r="L14" s="21" t="str">
        <f t="shared" si="3"/>
        <v/>
      </c>
      <c r="M14" s="21" t="str">
        <f t="shared" si="4"/>
        <v/>
      </c>
      <c r="N14" s="20"/>
    </row>
    <row r="15" spans="1:14">
      <c r="A15" s="20"/>
      <c r="B15" s="20"/>
      <c r="C15" s="26"/>
      <c r="D15" s="20"/>
      <c r="E15" s="27"/>
      <c r="F15" s="20"/>
      <c r="G15" s="20"/>
      <c r="H15" s="20"/>
      <c r="I15" s="21" t="str">
        <f t="shared" si="0"/>
        <v/>
      </c>
      <c r="J15" s="21" t="str">
        <f t="shared" si="1"/>
        <v/>
      </c>
      <c r="K15" s="21" t="str">
        <f t="shared" si="2"/>
        <v/>
      </c>
      <c r="L15" s="21" t="str">
        <f t="shared" si="3"/>
        <v/>
      </c>
      <c r="M15" s="21" t="str">
        <f t="shared" si="4"/>
        <v/>
      </c>
      <c r="N15" s="20"/>
    </row>
    <row r="16" spans="1:14">
      <c r="A16" s="20"/>
      <c r="B16" s="20"/>
      <c r="C16" s="26"/>
      <c r="D16" s="20"/>
      <c r="E16" s="27"/>
      <c r="F16" s="20"/>
      <c r="G16" s="20"/>
      <c r="H16" s="20"/>
      <c r="I16" s="21" t="str">
        <f t="shared" si="0"/>
        <v/>
      </c>
      <c r="J16" s="21" t="str">
        <f t="shared" si="1"/>
        <v/>
      </c>
      <c r="K16" s="21" t="str">
        <f t="shared" si="2"/>
        <v/>
      </c>
      <c r="L16" s="21" t="str">
        <f t="shared" si="3"/>
        <v/>
      </c>
      <c r="M16" s="21" t="str">
        <f t="shared" si="4"/>
        <v/>
      </c>
      <c r="N16" s="20"/>
    </row>
    <row r="17" spans="1:14">
      <c r="A17" s="20"/>
      <c r="B17" s="20"/>
      <c r="C17" s="26"/>
      <c r="D17" s="20"/>
      <c r="E17" s="27"/>
      <c r="F17" s="20"/>
      <c r="G17" s="20"/>
      <c r="H17" s="20"/>
      <c r="I17" s="21" t="str">
        <f t="shared" si="0"/>
        <v/>
      </c>
      <c r="J17" s="21" t="str">
        <f t="shared" si="1"/>
        <v/>
      </c>
      <c r="K17" s="21" t="str">
        <f t="shared" si="2"/>
        <v/>
      </c>
      <c r="L17" s="21" t="str">
        <f t="shared" si="3"/>
        <v/>
      </c>
      <c r="M17" s="21" t="str">
        <f t="shared" si="4"/>
        <v/>
      </c>
      <c r="N17" s="20"/>
    </row>
    <row r="18" spans="1:14">
      <c r="A18" s="20"/>
      <c r="B18" s="20"/>
      <c r="C18" s="26"/>
      <c r="D18" s="20"/>
      <c r="E18" s="27"/>
      <c r="F18" s="20"/>
      <c r="G18" s="20"/>
      <c r="H18" s="20"/>
      <c r="I18" s="21" t="str">
        <f t="shared" si="0"/>
        <v/>
      </c>
      <c r="J18" s="21" t="str">
        <f t="shared" si="1"/>
        <v/>
      </c>
      <c r="K18" s="21" t="str">
        <f t="shared" si="2"/>
        <v/>
      </c>
      <c r="L18" s="21" t="str">
        <f t="shared" si="3"/>
        <v/>
      </c>
      <c r="M18" s="21" t="str">
        <f t="shared" si="4"/>
        <v/>
      </c>
      <c r="N18" s="20"/>
    </row>
    <row r="19" spans="1:14">
      <c r="A19" s="20"/>
      <c r="B19" s="20"/>
      <c r="C19" s="26"/>
      <c r="D19" s="20"/>
      <c r="E19" s="27"/>
      <c r="F19" s="20"/>
      <c r="G19" s="20"/>
      <c r="H19" s="20"/>
      <c r="I19" s="21" t="str">
        <f t="shared" si="0"/>
        <v/>
      </c>
      <c r="J19" s="21" t="str">
        <f t="shared" si="1"/>
        <v/>
      </c>
      <c r="K19" s="21" t="str">
        <f t="shared" si="2"/>
        <v/>
      </c>
      <c r="L19" s="21" t="str">
        <f t="shared" si="3"/>
        <v/>
      </c>
      <c r="M19" s="21" t="str">
        <f t="shared" si="4"/>
        <v/>
      </c>
      <c r="N19" s="20"/>
    </row>
    <row r="20" spans="1:14">
      <c r="A20" s="20"/>
      <c r="B20" s="20"/>
      <c r="C20" s="26"/>
      <c r="D20" s="20"/>
      <c r="E20" s="27"/>
      <c r="F20" s="20"/>
      <c r="G20" s="20"/>
      <c r="H20" s="20"/>
      <c r="I20" s="21" t="str">
        <f t="shared" si="0"/>
        <v/>
      </c>
      <c r="J20" s="21" t="str">
        <f t="shared" si="1"/>
        <v/>
      </c>
      <c r="K20" s="21" t="str">
        <f t="shared" si="2"/>
        <v/>
      </c>
      <c r="L20" s="21" t="str">
        <f t="shared" si="3"/>
        <v/>
      </c>
      <c r="M20" s="21" t="str">
        <f t="shared" si="4"/>
        <v/>
      </c>
      <c r="N20" s="20"/>
    </row>
    <row r="21" spans="1:14">
      <c r="A21" s="20"/>
      <c r="B21" s="20"/>
      <c r="C21" s="26"/>
      <c r="D21" s="20"/>
      <c r="E21" s="27"/>
      <c r="F21" s="20"/>
      <c r="G21" s="20"/>
      <c r="H21" s="20"/>
      <c r="I21" s="21"/>
      <c r="J21" s="21"/>
      <c r="K21" s="21"/>
      <c r="L21" s="21"/>
      <c r="M21" s="21"/>
      <c r="N21" s="20"/>
    </row>
  </sheetData>
  <mergeCells count="2">
    <mergeCell ref="A1:N1"/>
    <mergeCell ref="A2:N2"/>
  </mergeCells>
  <dataValidations count="1">
    <dataValidation type="list" sqref="D5:D21" xr:uid="{00000000-0002-0000-0C00-000000000000}">
      <formula1>"Kyllä,Ei"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41"/>
  <sheetViews>
    <sheetView workbookViewId="0"/>
  </sheetViews>
  <sheetFormatPr defaultRowHeight="13.8"/>
  <cols>
    <col min="1" max="1" width="14" customWidth="1"/>
    <col min="2" max="4" width="18" customWidth="1"/>
    <col min="5" max="6" width="14" customWidth="1"/>
    <col min="7" max="8" width="16" customWidth="1"/>
    <col min="9" max="13" width="18" customWidth="1"/>
    <col min="14" max="14" width="24" customWidth="1"/>
  </cols>
  <sheetData>
    <row r="1" spans="1:14">
      <c r="A1" s="65" t="s">
        <v>325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326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 ht="27.6">
      <c r="A4" s="19" t="s">
        <v>256</v>
      </c>
      <c r="B4" s="19" t="s">
        <v>259</v>
      </c>
      <c r="C4" s="19" t="s">
        <v>258</v>
      </c>
      <c r="D4" s="19" t="s">
        <v>41</v>
      </c>
      <c r="E4" s="19" t="s">
        <v>70</v>
      </c>
      <c r="F4" s="19" t="s">
        <v>327</v>
      </c>
      <c r="G4" s="19" t="s">
        <v>328</v>
      </c>
      <c r="H4" s="19" t="s">
        <v>329</v>
      </c>
      <c r="I4" s="19" t="s">
        <v>330</v>
      </c>
      <c r="J4" s="19" t="s">
        <v>331</v>
      </c>
      <c r="K4" s="19" t="s">
        <v>13</v>
      </c>
      <c r="L4" s="19" t="s">
        <v>332</v>
      </c>
      <c r="M4" s="19" t="s">
        <v>123</v>
      </c>
      <c r="N4" s="19" t="s">
        <v>5</v>
      </c>
    </row>
    <row r="5" spans="1:14">
      <c r="A5" s="20" t="s">
        <v>264</v>
      </c>
      <c r="B5" s="20" t="s">
        <v>76</v>
      </c>
      <c r="C5" s="20" t="s">
        <v>265</v>
      </c>
      <c r="D5" s="20">
        <v>8</v>
      </c>
      <c r="E5" s="20">
        <v>145</v>
      </c>
      <c r="F5" s="26">
        <v>450</v>
      </c>
      <c r="G5" s="26">
        <v>700</v>
      </c>
      <c r="H5" s="28">
        <f t="shared" ref="H5:H40" si="0">IF(A5="","",D5/SUMIF($B$5:$B$40,B5,$D$5:$D$40))</f>
        <v>0.44444444444444442</v>
      </c>
      <c r="I5" s="28">
        <f t="shared" ref="I5:I40" si="1">IF(A5="","",G5*H5)</f>
        <v>311.11111111111109</v>
      </c>
      <c r="J5" s="28">
        <f t="shared" ref="J5:J40" si="2">IF(A5="","",F5-I5)</f>
        <v>138.88888888888891</v>
      </c>
      <c r="K5" s="22">
        <f t="shared" ref="K5:K40" si="3">IF(F5=0,"",J5/F5)</f>
        <v>0.30864197530864201</v>
      </c>
      <c r="L5" s="29">
        <f t="shared" ref="L5:L40" si="4">IF(E5=0,"",F5/E5)</f>
        <v>3.103448275862069</v>
      </c>
      <c r="M5" s="21" t="str">
        <f t="shared" ref="M5:M40" si="5">IF(A5="","",IF(K5&lt;0.12,"Punainen",IF(K5&lt;0.15,"Keltainen","OK")))</f>
        <v>OK</v>
      </c>
      <c r="N5" s="20"/>
    </row>
    <row r="6" spans="1:14">
      <c r="A6" s="20" t="s">
        <v>267</v>
      </c>
      <c r="B6" s="20" t="s">
        <v>76</v>
      </c>
      <c r="C6" s="20" t="s">
        <v>265</v>
      </c>
      <c r="D6" s="20">
        <v>10</v>
      </c>
      <c r="E6" s="20">
        <v>145</v>
      </c>
      <c r="F6" s="26">
        <v>520</v>
      </c>
      <c r="G6" s="26">
        <v>700</v>
      </c>
      <c r="H6" s="28">
        <f t="shared" si="0"/>
        <v>0.55555555555555558</v>
      </c>
      <c r="I6" s="28">
        <f t="shared" si="1"/>
        <v>388.88888888888891</v>
      </c>
      <c r="J6" s="28">
        <f t="shared" si="2"/>
        <v>131.11111111111109</v>
      </c>
      <c r="K6" s="22">
        <f t="shared" si="3"/>
        <v>0.25213675213675207</v>
      </c>
      <c r="L6" s="29">
        <f t="shared" si="4"/>
        <v>3.5862068965517242</v>
      </c>
      <c r="M6" s="21" t="str">
        <f t="shared" si="5"/>
        <v>OK</v>
      </c>
      <c r="N6" s="20"/>
    </row>
    <row r="7" spans="1:14">
      <c r="A7" s="20" t="s">
        <v>268</v>
      </c>
      <c r="B7" s="20" t="s">
        <v>83</v>
      </c>
      <c r="C7" s="20" t="s">
        <v>269</v>
      </c>
      <c r="D7" s="20">
        <v>12</v>
      </c>
      <c r="E7" s="20">
        <v>610</v>
      </c>
      <c r="F7" s="26">
        <v>900</v>
      </c>
      <c r="G7" s="26">
        <v>1200</v>
      </c>
      <c r="H7" s="28">
        <f t="shared" si="0"/>
        <v>1</v>
      </c>
      <c r="I7" s="28">
        <f t="shared" si="1"/>
        <v>1200</v>
      </c>
      <c r="J7" s="28">
        <f t="shared" si="2"/>
        <v>-300</v>
      </c>
      <c r="K7" s="22">
        <f t="shared" si="3"/>
        <v>-0.33333333333333331</v>
      </c>
      <c r="L7" s="29">
        <f t="shared" si="4"/>
        <v>1.4754098360655739</v>
      </c>
      <c r="M7" s="21" t="str">
        <f t="shared" si="5"/>
        <v>Punainen</v>
      </c>
      <c r="N7" s="20"/>
    </row>
    <row r="8" spans="1:14">
      <c r="A8" s="20" t="s">
        <v>271</v>
      </c>
      <c r="B8" s="20" t="s">
        <v>90</v>
      </c>
      <c r="C8" s="20" t="s">
        <v>272</v>
      </c>
      <c r="D8" s="20">
        <v>6</v>
      </c>
      <c r="E8" s="20">
        <v>455</v>
      </c>
      <c r="F8" s="26">
        <v>650</v>
      </c>
      <c r="G8" s="26">
        <v>950</v>
      </c>
      <c r="H8" s="28">
        <f t="shared" si="0"/>
        <v>1</v>
      </c>
      <c r="I8" s="28">
        <f t="shared" si="1"/>
        <v>950</v>
      </c>
      <c r="J8" s="28">
        <f t="shared" si="2"/>
        <v>-300</v>
      </c>
      <c r="K8" s="22">
        <f t="shared" si="3"/>
        <v>-0.46153846153846156</v>
      </c>
      <c r="L8" s="29">
        <f t="shared" si="4"/>
        <v>1.4285714285714286</v>
      </c>
      <c r="M8" s="21" t="str">
        <f t="shared" si="5"/>
        <v>Punainen</v>
      </c>
      <c r="N8" s="20"/>
    </row>
    <row r="9" spans="1:14">
      <c r="A9" s="20"/>
      <c r="B9" s="20"/>
      <c r="C9" s="20"/>
      <c r="D9" s="20"/>
      <c r="E9" s="20"/>
      <c r="F9" s="26"/>
      <c r="G9" s="26"/>
      <c r="H9" s="28" t="str">
        <f t="shared" si="0"/>
        <v/>
      </c>
      <c r="I9" s="28" t="str">
        <f t="shared" si="1"/>
        <v/>
      </c>
      <c r="J9" s="28" t="str">
        <f t="shared" si="2"/>
        <v/>
      </c>
      <c r="K9" s="22" t="str">
        <f t="shared" si="3"/>
        <v/>
      </c>
      <c r="L9" s="29" t="str">
        <f t="shared" si="4"/>
        <v/>
      </c>
      <c r="M9" s="21" t="str">
        <f t="shared" si="5"/>
        <v/>
      </c>
      <c r="N9" s="20"/>
    </row>
    <row r="10" spans="1:14">
      <c r="A10" s="20"/>
      <c r="B10" s="20"/>
      <c r="C10" s="20"/>
      <c r="D10" s="20"/>
      <c r="E10" s="20"/>
      <c r="F10" s="26"/>
      <c r="G10" s="26"/>
      <c r="H10" s="28" t="str">
        <f t="shared" si="0"/>
        <v/>
      </c>
      <c r="I10" s="28" t="str">
        <f t="shared" si="1"/>
        <v/>
      </c>
      <c r="J10" s="28" t="str">
        <f t="shared" si="2"/>
        <v/>
      </c>
      <c r="K10" s="22" t="str">
        <f t="shared" si="3"/>
        <v/>
      </c>
      <c r="L10" s="29" t="str">
        <f t="shared" si="4"/>
        <v/>
      </c>
      <c r="M10" s="21" t="str">
        <f t="shared" si="5"/>
        <v/>
      </c>
      <c r="N10" s="20"/>
    </row>
    <row r="11" spans="1:14">
      <c r="A11" s="20"/>
      <c r="B11" s="20"/>
      <c r="C11" s="20"/>
      <c r="D11" s="20"/>
      <c r="E11" s="20"/>
      <c r="F11" s="26"/>
      <c r="G11" s="26"/>
      <c r="H11" s="28" t="str">
        <f t="shared" si="0"/>
        <v/>
      </c>
      <c r="I11" s="28" t="str">
        <f t="shared" si="1"/>
        <v/>
      </c>
      <c r="J11" s="28" t="str">
        <f t="shared" si="2"/>
        <v/>
      </c>
      <c r="K11" s="22" t="str">
        <f t="shared" si="3"/>
        <v/>
      </c>
      <c r="L11" s="29" t="str">
        <f t="shared" si="4"/>
        <v/>
      </c>
      <c r="M11" s="21" t="str">
        <f t="shared" si="5"/>
        <v/>
      </c>
      <c r="N11" s="20"/>
    </row>
    <row r="12" spans="1:14">
      <c r="A12" s="20"/>
      <c r="B12" s="20"/>
      <c r="C12" s="20"/>
      <c r="D12" s="20"/>
      <c r="E12" s="20"/>
      <c r="F12" s="26"/>
      <c r="G12" s="26"/>
      <c r="H12" s="28" t="str">
        <f t="shared" si="0"/>
        <v/>
      </c>
      <c r="I12" s="28" t="str">
        <f t="shared" si="1"/>
        <v/>
      </c>
      <c r="J12" s="28" t="str">
        <f t="shared" si="2"/>
        <v/>
      </c>
      <c r="K12" s="22" t="str">
        <f t="shared" si="3"/>
        <v/>
      </c>
      <c r="L12" s="29" t="str">
        <f t="shared" si="4"/>
        <v/>
      </c>
      <c r="M12" s="21" t="str">
        <f t="shared" si="5"/>
        <v/>
      </c>
      <c r="N12" s="20"/>
    </row>
    <row r="13" spans="1:14">
      <c r="A13" s="20"/>
      <c r="B13" s="20"/>
      <c r="C13" s="20"/>
      <c r="D13" s="20"/>
      <c r="E13" s="20"/>
      <c r="F13" s="26"/>
      <c r="G13" s="26"/>
      <c r="H13" s="28" t="str">
        <f t="shared" si="0"/>
        <v/>
      </c>
      <c r="I13" s="28" t="str">
        <f t="shared" si="1"/>
        <v/>
      </c>
      <c r="J13" s="28" t="str">
        <f t="shared" si="2"/>
        <v/>
      </c>
      <c r="K13" s="22" t="str">
        <f t="shared" si="3"/>
        <v/>
      </c>
      <c r="L13" s="29" t="str">
        <f t="shared" si="4"/>
        <v/>
      </c>
      <c r="M13" s="21" t="str">
        <f t="shared" si="5"/>
        <v/>
      </c>
      <c r="N13" s="20"/>
    </row>
    <row r="14" spans="1:14">
      <c r="A14" s="20"/>
      <c r="B14" s="20"/>
      <c r="C14" s="20"/>
      <c r="D14" s="20"/>
      <c r="E14" s="20"/>
      <c r="F14" s="26"/>
      <c r="G14" s="26"/>
      <c r="H14" s="28" t="str">
        <f t="shared" si="0"/>
        <v/>
      </c>
      <c r="I14" s="28" t="str">
        <f t="shared" si="1"/>
        <v/>
      </c>
      <c r="J14" s="28" t="str">
        <f t="shared" si="2"/>
        <v/>
      </c>
      <c r="K14" s="22" t="str">
        <f t="shared" si="3"/>
        <v/>
      </c>
      <c r="L14" s="29" t="str">
        <f t="shared" si="4"/>
        <v/>
      </c>
      <c r="M14" s="21" t="str">
        <f t="shared" si="5"/>
        <v/>
      </c>
      <c r="N14" s="20"/>
    </row>
    <row r="15" spans="1:14">
      <c r="A15" s="20"/>
      <c r="B15" s="20"/>
      <c r="C15" s="20"/>
      <c r="D15" s="20"/>
      <c r="E15" s="20"/>
      <c r="F15" s="26"/>
      <c r="G15" s="26"/>
      <c r="H15" s="28" t="str">
        <f t="shared" si="0"/>
        <v/>
      </c>
      <c r="I15" s="28" t="str">
        <f t="shared" si="1"/>
        <v/>
      </c>
      <c r="J15" s="28" t="str">
        <f t="shared" si="2"/>
        <v/>
      </c>
      <c r="K15" s="22" t="str">
        <f t="shared" si="3"/>
        <v/>
      </c>
      <c r="L15" s="29" t="str">
        <f t="shared" si="4"/>
        <v/>
      </c>
      <c r="M15" s="21" t="str">
        <f t="shared" si="5"/>
        <v/>
      </c>
      <c r="N15" s="20"/>
    </row>
    <row r="16" spans="1:14">
      <c r="A16" s="20"/>
      <c r="B16" s="20"/>
      <c r="C16" s="20"/>
      <c r="D16" s="20"/>
      <c r="E16" s="20"/>
      <c r="F16" s="26"/>
      <c r="G16" s="26"/>
      <c r="H16" s="28" t="str">
        <f t="shared" si="0"/>
        <v/>
      </c>
      <c r="I16" s="28" t="str">
        <f t="shared" si="1"/>
        <v/>
      </c>
      <c r="J16" s="28" t="str">
        <f t="shared" si="2"/>
        <v/>
      </c>
      <c r="K16" s="22" t="str">
        <f t="shared" si="3"/>
        <v/>
      </c>
      <c r="L16" s="29" t="str">
        <f t="shared" si="4"/>
        <v/>
      </c>
      <c r="M16" s="21" t="str">
        <f t="shared" si="5"/>
        <v/>
      </c>
      <c r="N16" s="20"/>
    </row>
    <row r="17" spans="1:14">
      <c r="A17" s="20"/>
      <c r="B17" s="20"/>
      <c r="C17" s="20"/>
      <c r="D17" s="20"/>
      <c r="E17" s="20"/>
      <c r="F17" s="26"/>
      <c r="G17" s="26"/>
      <c r="H17" s="28" t="str">
        <f t="shared" si="0"/>
        <v/>
      </c>
      <c r="I17" s="28" t="str">
        <f t="shared" si="1"/>
        <v/>
      </c>
      <c r="J17" s="28" t="str">
        <f t="shared" si="2"/>
        <v/>
      </c>
      <c r="K17" s="22" t="str">
        <f t="shared" si="3"/>
        <v/>
      </c>
      <c r="L17" s="29" t="str">
        <f t="shared" si="4"/>
        <v/>
      </c>
      <c r="M17" s="21" t="str">
        <f t="shared" si="5"/>
        <v/>
      </c>
      <c r="N17" s="20"/>
    </row>
    <row r="18" spans="1:14">
      <c r="A18" s="20"/>
      <c r="B18" s="20"/>
      <c r="C18" s="20"/>
      <c r="D18" s="20"/>
      <c r="E18" s="20"/>
      <c r="F18" s="26"/>
      <c r="G18" s="26"/>
      <c r="H18" s="28" t="str">
        <f t="shared" si="0"/>
        <v/>
      </c>
      <c r="I18" s="28" t="str">
        <f t="shared" si="1"/>
        <v/>
      </c>
      <c r="J18" s="28" t="str">
        <f t="shared" si="2"/>
        <v/>
      </c>
      <c r="K18" s="22" t="str">
        <f t="shared" si="3"/>
        <v/>
      </c>
      <c r="L18" s="29" t="str">
        <f t="shared" si="4"/>
        <v/>
      </c>
      <c r="M18" s="21" t="str">
        <f t="shared" si="5"/>
        <v/>
      </c>
      <c r="N18" s="20"/>
    </row>
    <row r="19" spans="1:14">
      <c r="A19" s="20"/>
      <c r="B19" s="20"/>
      <c r="C19" s="20"/>
      <c r="D19" s="20"/>
      <c r="E19" s="20"/>
      <c r="F19" s="26"/>
      <c r="G19" s="26"/>
      <c r="H19" s="28" t="str">
        <f t="shared" si="0"/>
        <v/>
      </c>
      <c r="I19" s="28" t="str">
        <f t="shared" si="1"/>
        <v/>
      </c>
      <c r="J19" s="28" t="str">
        <f t="shared" si="2"/>
        <v/>
      </c>
      <c r="K19" s="22" t="str">
        <f t="shared" si="3"/>
        <v/>
      </c>
      <c r="L19" s="29" t="str">
        <f t="shared" si="4"/>
        <v/>
      </c>
      <c r="M19" s="21" t="str">
        <f t="shared" si="5"/>
        <v/>
      </c>
      <c r="N19" s="20"/>
    </row>
    <row r="20" spans="1:14">
      <c r="A20" s="20"/>
      <c r="B20" s="20"/>
      <c r="C20" s="20"/>
      <c r="D20" s="20"/>
      <c r="E20" s="20"/>
      <c r="F20" s="26"/>
      <c r="G20" s="26"/>
      <c r="H20" s="28" t="str">
        <f t="shared" si="0"/>
        <v/>
      </c>
      <c r="I20" s="28" t="str">
        <f t="shared" si="1"/>
        <v/>
      </c>
      <c r="J20" s="28" t="str">
        <f t="shared" si="2"/>
        <v/>
      </c>
      <c r="K20" s="22" t="str">
        <f t="shared" si="3"/>
        <v/>
      </c>
      <c r="L20" s="29" t="str">
        <f t="shared" si="4"/>
        <v/>
      </c>
      <c r="M20" s="21" t="str">
        <f t="shared" si="5"/>
        <v/>
      </c>
      <c r="N20" s="20"/>
    </row>
    <row r="21" spans="1:14">
      <c r="A21" s="20"/>
      <c r="B21" s="20"/>
      <c r="C21" s="20"/>
      <c r="D21" s="20"/>
      <c r="E21" s="20"/>
      <c r="F21" s="26"/>
      <c r="G21" s="26"/>
      <c r="H21" s="28" t="str">
        <f t="shared" si="0"/>
        <v/>
      </c>
      <c r="I21" s="28" t="str">
        <f t="shared" si="1"/>
        <v/>
      </c>
      <c r="J21" s="28" t="str">
        <f t="shared" si="2"/>
        <v/>
      </c>
      <c r="K21" s="22" t="str">
        <f t="shared" si="3"/>
        <v/>
      </c>
      <c r="L21" s="29" t="str">
        <f t="shared" si="4"/>
        <v/>
      </c>
      <c r="M21" s="21" t="str">
        <f t="shared" si="5"/>
        <v/>
      </c>
      <c r="N21" s="20"/>
    </row>
    <row r="22" spans="1:14">
      <c r="A22" s="20"/>
      <c r="B22" s="20"/>
      <c r="C22" s="20"/>
      <c r="D22" s="20"/>
      <c r="E22" s="20"/>
      <c r="F22" s="26"/>
      <c r="G22" s="26"/>
      <c r="H22" s="28" t="str">
        <f t="shared" si="0"/>
        <v/>
      </c>
      <c r="I22" s="28" t="str">
        <f t="shared" si="1"/>
        <v/>
      </c>
      <c r="J22" s="28" t="str">
        <f t="shared" si="2"/>
        <v/>
      </c>
      <c r="K22" s="22" t="str">
        <f t="shared" si="3"/>
        <v/>
      </c>
      <c r="L22" s="29" t="str">
        <f t="shared" si="4"/>
        <v/>
      </c>
      <c r="M22" s="21" t="str">
        <f t="shared" si="5"/>
        <v/>
      </c>
      <c r="N22" s="20"/>
    </row>
    <row r="23" spans="1:14">
      <c r="A23" s="20"/>
      <c r="B23" s="20"/>
      <c r="C23" s="20"/>
      <c r="D23" s="20"/>
      <c r="E23" s="20"/>
      <c r="F23" s="26"/>
      <c r="G23" s="26"/>
      <c r="H23" s="28" t="str">
        <f t="shared" si="0"/>
        <v/>
      </c>
      <c r="I23" s="28" t="str">
        <f t="shared" si="1"/>
        <v/>
      </c>
      <c r="J23" s="28" t="str">
        <f t="shared" si="2"/>
        <v/>
      </c>
      <c r="K23" s="22" t="str">
        <f t="shared" si="3"/>
        <v/>
      </c>
      <c r="L23" s="29" t="str">
        <f t="shared" si="4"/>
        <v/>
      </c>
      <c r="M23" s="21" t="str">
        <f t="shared" si="5"/>
        <v/>
      </c>
      <c r="N23" s="20"/>
    </row>
    <row r="24" spans="1:14">
      <c r="A24" s="20"/>
      <c r="B24" s="20"/>
      <c r="C24" s="20"/>
      <c r="D24" s="20"/>
      <c r="E24" s="20"/>
      <c r="F24" s="26"/>
      <c r="G24" s="26"/>
      <c r="H24" s="28" t="str">
        <f t="shared" si="0"/>
        <v/>
      </c>
      <c r="I24" s="28" t="str">
        <f t="shared" si="1"/>
        <v/>
      </c>
      <c r="J24" s="28" t="str">
        <f t="shared" si="2"/>
        <v/>
      </c>
      <c r="K24" s="22" t="str">
        <f t="shared" si="3"/>
        <v/>
      </c>
      <c r="L24" s="29" t="str">
        <f t="shared" si="4"/>
        <v/>
      </c>
      <c r="M24" s="21" t="str">
        <f t="shared" si="5"/>
        <v/>
      </c>
      <c r="N24" s="20"/>
    </row>
    <row r="25" spans="1:14">
      <c r="A25" s="20"/>
      <c r="B25" s="20"/>
      <c r="C25" s="20"/>
      <c r="D25" s="20"/>
      <c r="E25" s="20"/>
      <c r="F25" s="26"/>
      <c r="G25" s="26"/>
      <c r="H25" s="28" t="str">
        <f t="shared" si="0"/>
        <v/>
      </c>
      <c r="I25" s="28" t="str">
        <f t="shared" si="1"/>
        <v/>
      </c>
      <c r="J25" s="28" t="str">
        <f t="shared" si="2"/>
        <v/>
      </c>
      <c r="K25" s="22" t="str">
        <f t="shared" si="3"/>
        <v/>
      </c>
      <c r="L25" s="29" t="str">
        <f t="shared" si="4"/>
        <v/>
      </c>
      <c r="M25" s="21" t="str">
        <f t="shared" si="5"/>
        <v/>
      </c>
      <c r="N25" s="20"/>
    </row>
    <row r="26" spans="1:14">
      <c r="A26" s="20"/>
      <c r="B26" s="20"/>
      <c r="C26" s="20"/>
      <c r="D26" s="20"/>
      <c r="E26" s="20"/>
      <c r="F26" s="26"/>
      <c r="G26" s="26"/>
      <c r="H26" s="28" t="str">
        <f t="shared" si="0"/>
        <v/>
      </c>
      <c r="I26" s="28" t="str">
        <f t="shared" si="1"/>
        <v/>
      </c>
      <c r="J26" s="28" t="str">
        <f t="shared" si="2"/>
        <v/>
      </c>
      <c r="K26" s="22" t="str">
        <f t="shared" si="3"/>
        <v/>
      </c>
      <c r="L26" s="29" t="str">
        <f t="shared" si="4"/>
        <v/>
      </c>
      <c r="M26" s="21" t="str">
        <f t="shared" si="5"/>
        <v/>
      </c>
      <c r="N26" s="20"/>
    </row>
    <row r="27" spans="1:14">
      <c r="A27" s="20"/>
      <c r="B27" s="20"/>
      <c r="C27" s="20"/>
      <c r="D27" s="20"/>
      <c r="E27" s="20"/>
      <c r="F27" s="26"/>
      <c r="G27" s="26"/>
      <c r="H27" s="28" t="str">
        <f t="shared" si="0"/>
        <v/>
      </c>
      <c r="I27" s="28" t="str">
        <f t="shared" si="1"/>
        <v/>
      </c>
      <c r="J27" s="28" t="str">
        <f t="shared" si="2"/>
        <v/>
      </c>
      <c r="K27" s="22" t="str">
        <f t="shared" si="3"/>
        <v/>
      </c>
      <c r="L27" s="29" t="str">
        <f t="shared" si="4"/>
        <v/>
      </c>
      <c r="M27" s="21" t="str">
        <f t="shared" si="5"/>
        <v/>
      </c>
      <c r="N27" s="20"/>
    </row>
    <row r="28" spans="1:14">
      <c r="A28" s="20"/>
      <c r="B28" s="20"/>
      <c r="C28" s="20"/>
      <c r="D28" s="20"/>
      <c r="E28" s="20"/>
      <c r="F28" s="26"/>
      <c r="G28" s="26"/>
      <c r="H28" s="28" t="str">
        <f t="shared" si="0"/>
        <v/>
      </c>
      <c r="I28" s="28" t="str">
        <f t="shared" si="1"/>
        <v/>
      </c>
      <c r="J28" s="28" t="str">
        <f t="shared" si="2"/>
        <v/>
      </c>
      <c r="K28" s="22" t="str">
        <f t="shared" si="3"/>
        <v/>
      </c>
      <c r="L28" s="29" t="str">
        <f t="shared" si="4"/>
        <v/>
      </c>
      <c r="M28" s="21" t="str">
        <f t="shared" si="5"/>
        <v/>
      </c>
      <c r="N28" s="20"/>
    </row>
    <row r="29" spans="1:14">
      <c r="A29" s="20"/>
      <c r="B29" s="20"/>
      <c r="C29" s="20"/>
      <c r="D29" s="20"/>
      <c r="E29" s="20"/>
      <c r="F29" s="26"/>
      <c r="G29" s="26"/>
      <c r="H29" s="28" t="str">
        <f t="shared" si="0"/>
        <v/>
      </c>
      <c r="I29" s="28" t="str">
        <f t="shared" si="1"/>
        <v/>
      </c>
      <c r="J29" s="28" t="str">
        <f t="shared" si="2"/>
        <v/>
      </c>
      <c r="K29" s="22" t="str">
        <f t="shared" si="3"/>
        <v/>
      </c>
      <c r="L29" s="29" t="str">
        <f t="shared" si="4"/>
        <v/>
      </c>
      <c r="M29" s="21" t="str">
        <f t="shared" si="5"/>
        <v/>
      </c>
      <c r="N29" s="20"/>
    </row>
    <row r="30" spans="1:14">
      <c r="A30" s="20"/>
      <c r="B30" s="20"/>
      <c r="C30" s="20"/>
      <c r="D30" s="20"/>
      <c r="E30" s="20"/>
      <c r="F30" s="26"/>
      <c r="G30" s="26"/>
      <c r="H30" s="28" t="str">
        <f t="shared" si="0"/>
        <v/>
      </c>
      <c r="I30" s="28" t="str">
        <f t="shared" si="1"/>
        <v/>
      </c>
      <c r="J30" s="28" t="str">
        <f t="shared" si="2"/>
        <v/>
      </c>
      <c r="K30" s="22" t="str">
        <f t="shared" si="3"/>
        <v/>
      </c>
      <c r="L30" s="29" t="str">
        <f t="shared" si="4"/>
        <v/>
      </c>
      <c r="M30" s="21" t="str">
        <f t="shared" si="5"/>
        <v/>
      </c>
      <c r="N30" s="20"/>
    </row>
    <row r="31" spans="1:14">
      <c r="A31" s="20"/>
      <c r="B31" s="20"/>
      <c r="C31" s="20"/>
      <c r="D31" s="20"/>
      <c r="E31" s="20"/>
      <c r="F31" s="26"/>
      <c r="G31" s="26"/>
      <c r="H31" s="28" t="str">
        <f t="shared" si="0"/>
        <v/>
      </c>
      <c r="I31" s="28" t="str">
        <f t="shared" si="1"/>
        <v/>
      </c>
      <c r="J31" s="28" t="str">
        <f t="shared" si="2"/>
        <v/>
      </c>
      <c r="K31" s="22" t="str">
        <f t="shared" si="3"/>
        <v/>
      </c>
      <c r="L31" s="29" t="str">
        <f t="shared" si="4"/>
        <v/>
      </c>
      <c r="M31" s="21" t="str">
        <f t="shared" si="5"/>
        <v/>
      </c>
      <c r="N31" s="20"/>
    </row>
    <row r="32" spans="1:14">
      <c r="A32" s="20"/>
      <c r="B32" s="20"/>
      <c r="C32" s="20"/>
      <c r="D32" s="20"/>
      <c r="E32" s="20"/>
      <c r="F32" s="26"/>
      <c r="G32" s="26"/>
      <c r="H32" s="28" t="str">
        <f t="shared" si="0"/>
        <v/>
      </c>
      <c r="I32" s="28" t="str">
        <f t="shared" si="1"/>
        <v/>
      </c>
      <c r="J32" s="28" t="str">
        <f t="shared" si="2"/>
        <v/>
      </c>
      <c r="K32" s="22" t="str">
        <f t="shared" si="3"/>
        <v/>
      </c>
      <c r="L32" s="29" t="str">
        <f t="shared" si="4"/>
        <v/>
      </c>
      <c r="M32" s="21" t="str">
        <f t="shared" si="5"/>
        <v/>
      </c>
      <c r="N32" s="20"/>
    </row>
    <row r="33" spans="1:14">
      <c r="A33" s="20"/>
      <c r="B33" s="20"/>
      <c r="C33" s="20"/>
      <c r="D33" s="20"/>
      <c r="E33" s="20"/>
      <c r="F33" s="26"/>
      <c r="G33" s="26"/>
      <c r="H33" s="28" t="str">
        <f t="shared" si="0"/>
        <v/>
      </c>
      <c r="I33" s="28" t="str">
        <f t="shared" si="1"/>
        <v/>
      </c>
      <c r="J33" s="28" t="str">
        <f t="shared" si="2"/>
        <v/>
      </c>
      <c r="K33" s="22" t="str">
        <f t="shared" si="3"/>
        <v/>
      </c>
      <c r="L33" s="29" t="str">
        <f t="shared" si="4"/>
        <v/>
      </c>
      <c r="M33" s="21" t="str">
        <f t="shared" si="5"/>
        <v/>
      </c>
      <c r="N33" s="20"/>
    </row>
    <row r="34" spans="1:14">
      <c r="A34" s="20"/>
      <c r="B34" s="20"/>
      <c r="C34" s="20"/>
      <c r="D34" s="20"/>
      <c r="E34" s="20"/>
      <c r="F34" s="26"/>
      <c r="G34" s="26"/>
      <c r="H34" s="28" t="str">
        <f t="shared" si="0"/>
        <v/>
      </c>
      <c r="I34" s="28" t="str">
        <f t="shared" si="1"/>
        <v/>
      </c>
      <c r="J34" s="28" t="str">
        <f t="shared" si="2"/>
        <v/>
      </c>
      <c r="K34" s="22" t="str">
        <f t="shared" si="3"/>
        <v/>
      </c>
      <c r="L34" s="29" t="str">
        <f t="shared" si="4"/>
        <v/>
      </c>
      <c r="M34" s="21" t="str">
        <f t="shared" si="5"/>
        <v/>
      </c>
      <c r="N34" s="20"/>
    </row>
    <row r="35" spans="1:14">
      <c r="A35" s="20"/>
      <c r="B35" s="20"/>
      <c r="C35" s="20"/>
      <c r="D35" s="20"/>
      <c r="E35" s="20"/>
      <c r="F35" s="26"/>
      <c r="G35" s="26"/>
      <c r="H35" s="28" t="str">
        <f t="shared" si="0"/>
        <v/>
      </c>
      <c r="I35" s="28" t="str">
        <f t="shared" si="1"/>
        <v/>
      </c>
      <c r="J35" s="28" t="str">
        <f t="shared" si="2"/>
        <v/>
      </c>
      <c r="K35" s="22" t="str">
        <f t="shared" si="3"/>
        <v/>
      </c>
      <c r="L35" s="29" t="str">
        <f t="shared" si="4"/>
        <v/>
      </c>
      <c r="M35" s="21" t="str">
        <f t="shared" si="5"/>
        <v/>
      </c>
      <c r="N35" s="20"/>
    </row>
    <row r="36" spans="1:14">
      <c r="A36" s="20"/>
      <c r="B36" s="20"/>
      <c r="C36" s="20"/>
      <c r="D36" s="20"/>
      <c r="E36" s="20"/>
      <c r="F36" s="26"/>
      <c r="G36" s="26"/>
      <c r="H36" s="28" t="str">
        <f t="shared" si="0"/>
        <v/>
      </c>
      <c r="I36" s="28" t="str">
        <f t="shared" si="1"/>
        <v/>
      </c>
      <c r="J36" s="28" t="str">
        <f t="shared" si="2"/>
        <v/>
      </c>
      <c r="K36" s="22" t="str">
        <f t="shared" si="3"/>
        <v/>
      </c>
      <c r="L36" s="29" t="str">
        <f t="shared" si="4"/>
        <v/>
      </c>
      <c r="M36" s="21" t="str">
        <f t="shared" si="5"/>
        <v/>
      </c>
      <c r="N36" s="20"/>
    </row>
    <row r="37" spans="1:14">
      <c r="A37" s="20"/>
      <c r="B37" s="20"/>
      <c r="C37" s="20"/>
      <c r="D37" s="20"/>
      <c r="E37" s="20"/>
      <c r="F37" s="26"/>
      <c r="G37" s="26"/>
      <c r="H37" s="28" t="str">
        <f t="shared" si="0"/>
        <v/>
      </c>
      <c r="I37" s="28" t="str">
        <f t="shared" si="1"/>
        <v/>
      </c>
      <c r="J37" s="28" t="str">
        <f t="shared" si="2"/>
        <v/>
      </c>
      <c r="K37" s="22" t="str">
        <f t="shared" si="3"/>
        <v/>
      </c>
      <c r="L37" s="29" t="str">
        <f t="shared" si="4"/>
        <v/>
      </c>
      <c r="M37" s="21" t="str">
        <f t="shared" si="5"/>
        <v/>
      </c>
      <c r="N37" s="20"/>
    </row>
    <row r="38" spans="1:14">
      <c r="A38" s="20"/>
      <c r="B38" s="20"/>
      <c r="C38" s="20"/>
      <c r="D38" s="20"/>
      <c r="E38" s="20"/>
      <c r="F38" s="26"/>
      <c r="G38" s="26"/>
      <c r="H38" s="28" t="str">
        <f t="shared" si="0"/>
        <v/>
      </c>
      <c r="I38" s="28" t="str">
        <f t="shared" si="1"/>
        <v/>
      </c>
      <c r="J38" s="28" t="str">
        <f t="shared" si="2"/>
        <v/>
      </c>
      <c r="K38" s="22" t="str">
        <f t="shared" si="3"/>
        <v/>
      </c>
      <c r="L38" s="29" t="str">
        <f t="shared" si="4"/>
        <v/>
      </c>
      <c r="M38" s="21" t="str">
        <f t="shared" si="5"/>
        <v/>
      </c>
      <c r="N38" s="20"/>
    </row>
    <row r="39" spans="1:14">
      <c r="A39" s="20"/>
      <c r="B39" s="20"/>
      <c r="C39" s="20"/>
      <c r="D39" s="20"/>
      <c r="E39" s="20"/>
      <c r="F39" s="26"/>
      <c r="G39" s="26"/>
      <c r="H39" s="28" t="str">
        <f t="shared" si="0"/>
        <v/>
      </c>
      <c r="I39" s="28" t="str">
        <f t="shared" si="1"/>
        <v/>
      </c>
      <c r="J39" s="28" t="str">
        <f t="shared" si="2"/>
        <v/>
      </c>
      <c r="K39" s="22" t="str">
        <f t="shared" si="3"/>
        <v/>
      </c>
      <c r="L39" s="29" t="str">
        <f t="shared" si="4"/>
        <v/>
      </c>
      <c r="M39" s="21" t="str">
        <f t="shared" si="5"/>
        <v/>
      </c>
      <c r="N39" s="20"/>
    </row>
    <row r="40" spans="1:14">
      <c r="A40" s="20"/>
      <c r="B40" s="20"/>
      <c r="C40" s="20"/>
      <c r="D40" s="20"/>
      <c r="E40" s="20"/>
      <c r="F40" s="26"/>
      <c r="G40" s="26"/>
      <c r="H40" s="28" t="str">
        <f t="shared" si="0"/>
        <v/>
      </c>
      <c r="I40" s="28" t="str">
        <f t="shared" si="1"/>
        <v/>
      </c>
      <c r="J40" s="28" t="str">
        <f t="shared" si="2"/>
        <v/>
      </c>
      <c r="K40" s="22" t="str">
        <f t="shared" si="3"/>
        <v/>
      </c>
      <c r="L40" s="29" t="str">
        <f t="shared" si="4"/>
        <v/>
      </c>
      <c r="M40" s="21" t="str">
        <f t="shared" si="5"/>
        <v/>
      </c>
      <c r="N40" s="20"/>
    </row>
    <row r="41" spans="1:14">
      <c r="A41" s="20"/>
      <c r="B41" s="20"/>
      <c r="C41" s="20"/>
      <c r="D41" s="20"/>
      <c r="E41" s="20"/>
      <c r="F41" s="26"/>
      <c r="G41" s="26"/>
      <c r="H41" s="28"/>
      <c r="I41" s="28"/>
      <c r="J41" s="28"/>
      <c r="K41" s="22"/>
      <c r="L41" s="29"/>
      <c r="M41" s="21"/>
      <c r="N41" s="20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1"/>
  <sheetViews>
    <sheetView workbookViewId="0"/>
  </sheetViews>
  <sheetFormatPr defaultRowHeight="13.8"/>
  <cols>
    <col min="1" max="1" width="14" customWidth="1"/>
    <col min="2" max="2" width="26" customWidth="1"/>
    <col min="3" max="13" width="18" customWidth="1"/>
    <col min="14" max="14" width="24" customWidth="1"/>
  </cols>
  <sheetData>
    <row r="1" spans="1:14">
      <c r="A1" s="65" t="s">
        <v>333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334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19" t="s">
        <v>335</v>
      </c>
      <c r="B4" s="19" t="s">
        <v>69</v>
      </c>
      <c r="C4" s="19" t="s">
        <v>123</v>
      </c>
      <c r="D4" s="19" t="s">
        <v>278</v>
      </c>
      <c r="E4" s="19" t="s">
        <v>336</v>
      </c>
      <c r="F4" s="19" t="s">
        <v>337</v>
      </c>
      <c r="G4" s="19" t="s">
        <v>46</v>
      </c>
      <c r="H4" s="19" t="s">
        <v>338</v>
      </c>
      <c r="I4" s="19" t="s">
        <v>339</v>
      </c>
      <c r="J4" s="19" t="s">
        <v>340</v>
      </c>
      <c r="K4" s="19" t="s">
        <v>341</v>
      </c>
      <c r="L4" s="19" t="s">
        <v>342</v>
      </c>
      <c r="M4" s="19" t="s">
        <v>343</v>
      </c>
      <c r="N4" s="19" t="s">
        <v>5</v>
      </c>
    </row>
    <row r="5" spans="1:14">
      <c r="A5" s="20" t="s">
        <v>344</v>
      </c>
      <c r="B5" s="20" t="s">
        <v>76</v>
      </c>
      <c r="C5" s="20" t="s">
        <v>345</v>
      </c>
      <c r="D5" s="24">
        <v>46147.25</v>
      </c>
      <c r="E5" s="24">
        <v>46147.416666666664</v>
      </c>
      <c r="F5" s="24">
        <v>46147.427083333336</v>
      </c>
      <c r="G5" s="24">
        <v>46147.458333333336</v>
      </c>
      <c r="H5" s="21">
        <f t="shared" ref="H5:H40" si="0">IF(A5="","",(F5-E5)*1440)</f>
        <v>15.000000006984919</v>
      </c>
      <c r="I5" s="21" t="str">
        <f t="shared" ref="I5:I40" si="1">IF(A5="","",IF(F5&lt;=G5,"Kyllä","Ei"))</f>
        <v>Kyllä</v>
      </c>
      <c r="J5" s="20" t="s">
        <v>50</v>
      </c>
      <c r="K5" s="20" t="s">
        <v>56</v>
      </c>
      <c r="L5" s="21" t="str">
        <f t="shared" ref="L5:L40" si="2">IF(A5="","",IF(I5="Ei","Myöhästymisriski",""))</f>
        <v/>
      </c>
      <c r="M5" s="21" t="str">
        <f t="shared" ref="M5:M40" si="3">IF(A5="","",IF(L5&lt;&gt;"","Ilmoita asiakkaalle","Seuraa"))</f>
        <v>Seuraa</v>
      </c>
      <c r="N5" s="20"/>
    </row>
    <row r="6" spans="1:14">
      <c r="A6" s="20" t="s">
        <v>346</v>
      </c>
      <c r="B6" s="20" t="s">
        <v>83</v>
      </c>
      <c r="C6" s="20" t="s">
        <v>347</v>
      </c>
      <c r="D6" s="24">
        <v>46147.25</v>
      </c>
      <c r="E6" s="24">
        <v>46147.75</v>
      </c>
      <c r="F6" s="24">
        <v>46147.78125</v>
      </c>
      <c r="G6" s="24">
        <v>46147.770833333336</v>
      </c>
      <c r="H6" s="21">
        <f t="shared" si="0"/>
        <v>45</v>
      </c>
      <c r="I6" s="21" t="str">
        <f t="shared" si="1"/>
        <v>Ei</v>
      </c>
      <c r="J6" s="20" t="s">
        <v>348</v>
      </c>
      <c r="K6" s="20" t="s">
        <v>59</v>
      </c>
      <c r="L6" s="21" t="str">
        <f t="shared" si="2"/>
        <v>Myöhästymisriski</v>
      </c>
      <c r="M6" s="21" t="str">
        <f t="shared" si="3"/>
        <v>Ilmoita asiakkaalle</v>
      </c>
      <c r="N6" s="20"/>
    </row>
    <row r="7" spans="1:14">
      <c r="A7" s="20"/>
      <c r="B7" s="20"/>
      <c r="C7" s="20"/>
      <c r="D7" s="24"/>
      <c r="E7" s="24"/>
      <c r="F7" s="24"/>
      <c r="G7" s="24"/>
      <c r="H7" s="21" t="str">
        <f t="shared" si="0"/>
        <v/>
      </c>
      <c r="I7" s="21" t="str">
        <f t="shared" si="1"/>
        <v/>
      </c>
      <c r="J7" s="20" t="str">
        <f t="shared" ref="J7:K26" ca="1" si="4">J7</f>
        <v/>
      </c>
      <c r="K7" s="20" t="str">
        <f t="shared" ca="1" si="4"/>
        <v/>
      </c>
      <c r="L7" s="21" t="str">
        <f t="shared" si="2"/>
        <v/>
      </c>
      <c r="M7" s="21" t="str">
        <f t="shared" si="3"/>
        <v/>
      </c>
      <c r="N7" s="20"/>
    </row>
    <row r="8" spans="1:14">
      <c r="A8" s="20"/>
      <c r="B8" s="20"/>
      <c r="C8" s="20"/>
      <c r="D8" s="24"/>
      <c r="E8" s="24"/>
      <c r="F8" s="24"/>
      <c r="G8" s="24"/>
      <c r="H8" s="21" t="str">
        <f t="shared" si="0"/>
        <v/>
      </c>
      <c r="I8" s="21" t="str">
        <f t="shared" si="1"/>
        <v/>
      </c>
      <c r="J8" s="20" t="str">
        <f t="shared" ca="1" si="4"/>
        <v/>
      </c>
      <c r="K8" s="20" t="str">
        <f t="shared" ca="1" si="4"/>
        <v/>
      </c>
      <c r="L8" s="21" t="str">
        <f t="shared" si="2"/>
        <v/>
      </c>
      <c r="M8" s="21" t="str">
        <f t="shared" si="3"/>
        <v/>
      </c>
      <c r="N8" s="20"/>
    </row>
    <row r="9" spans="1:14">
      <c r="A9" s="20"/>
      <c r="B9" s="20"/>
      <c r="C9" s="20"/>
      <c r="D9" s="24"/>
      <c r="E9" s="24"/>
      <c r="F9" s="24"/>
      <c r="G9" s="24"/>
      <c r="H9" s="21" t="str">
        <f t="shared" si="0"/>
        <v/>
      </c>
      <c r="I9" s="21" t="str">
        <f t="shared" si="1"/>
        <v/>
      </c>
      <c r="J9" s="20" t="str">
        <f t="shared" ca="1" si="4"/>
        <v/>
      </c>
      <c r="K9" s="20" t="str">
        <f t="shared" ca="1" si="4"/>
        <v/>
      </c>
      <c r="L9" s="21" t="str">
        <f t="shared" si="2"/>
        <v/>
      </c>
      <c r="M9" s="21" t="str">
        <f t="shared" si="3"/>
        <v/>
      </c>
      <c r="N9" s="20"/>
    </row>
    <row r="10" spans="1:14">
      <c r="A10" s="20"/>
      <c r="B10" s="20"/>
      <c r="C10" s="20"/>
      <c r="D10" s="24"/>
      <c r="E10" s="24"/>
      <c r="F10" s="24"/>
      <c r="G10" s="24"/>
      <c r="H10" s="21" t="str">
        <f t="shared" si="0"/>
        <v/>
      </c>
      <c r="I10" s="21" t="str">
        <f t="shared" si="1"/>
        <v/>
      </c>
      <c r="J10" s="20" t="str">
        <f t="shared" ca="1" si="4"/>
        <v/>
      </c>
      <c r="K10" s="20" t="str">
        <f t="shared" ca="1" si="4"/>
        <v/>
      </c>
      <c r="L10" s="21" t="str">
        <f t="shared" si="2"/>
        <v/>
      </c>
      <c r="M10" s="21" t="str">
        <f t="shared" si="3"/>
        <v/>
      </c>
      <c r="N10" s="20"/>
    </row>
    <row r="11" spans="1:14">
      <c r="A11" s="20"/>
      <c r="B11" s="20"/>
      <c r="C11" s="20"/>
      <c r="D11" s="24"/>
      <c r="E11" s="24"/>
      <c r="F11" s="24"/>
      <c r="G11" s="24"/>
      <c r="H11" s="21" t="str">
        <f t="shared" si="0"/>
        <v/>
      </c>
      <c r="I11" s="21" t="str">
        <f t="shared" si="1"/>
        <v/>
      </c>
      <c r="J11" s="20" t="str">
        <f t="shared" ca="1" si="4"/>
        <v/>
      </c>
      <c r="K11" s="20" t="str">
        <f t="shared" ca="1" si="4"/>
        <v/>
      </c>
      <c r="L11" s="21" t="str">
        <f t="shared" si="2"/>
        <v/>
      </c>
      <c r="M11" s="21" t="str">
        <f t="shared" si="3"/>
        <v/>
      </c>
      <c r="N11" s="20"/>
    </row>
    <row r="12" spans="1:14">
      <c r="A12" s="20"/>
      <c r="B12" s="20"/>
      <c r="C12" s="20"/>
      <c r="D12" s="24"/>
      <c r="E12" s="24"/>
      <c r="F12" s="24"/>
      <c r="G12" s="24"/>
      <c r="H12" s="21" t="str">
        <f t="shared" si="0"/>
        <v/>
      </c>
      <c r="I12" s="21" t="str">
        <f t="shared" si="1"/>
        <v/>
      </c>
      <c r="J12" s="20" t="str">
        <f t="shared" ca="1" si="4"/>
        <v/>
      </c>
      <c r="K12" s="20" t="str">
        <f t="shared" ca="1" si="4"/>
        <v/>
      </c>
      <c r="L12" s="21" t="str">
        <f t="shared" si="2"/>
        <v/>
      </c>
      <c r="M12" s="21" t="str">
        <f t="shared" si="3"/>
        <v/>
      </c>
      <c r="N12" s="20"/>
    </row>
    <row r="13" spans="1:14">
      <c r="A13" s="20"/>
      <c r="B13" s="20"/>
      <c r="C13" s="20"/>
      <c r="D13" s="24"/>
      <c r="E13" s="24"/>
      <c r="F13" s="24"/>
      <c r="G13" s="24"/>
      <c r="H13" s="21" t="str">
        <f t="shared" si="0"/>
        <v/>
      </c>
      <c r="I13" s="21" t="str">
        <f t="shared" si="1"/>
        <v/>
      </c>
      <c r="J13" s="20" t="str">
        <f t="shared" ca="1" si="4"/>
        <v/>
      </c>
      <c r="K13" s="20" t="str">
        <f t="shared" ca="1" si="4"/>
        <v/>
      </c>
      <c r="L13" s="21" t="str">
        <f t="shared" si="2"/>
        <v/>
      </c>
      <c r="M13" s="21" t="str">
        <f t="shared" si="3"/>
        <v/>
      </c>
      <c r="N13" s="20"/>
    </row>
    <row r="14" spans="1:14">
      <c r="A14" s="20"/>
      <c r="B14" s="20"/>
      <c r="C14" s="20"/>
      <c r="D14" s="24"/>
      <c r="E14" s="24"/>
      <c r="F14" s="24"/>
      <c r="G14" s="24"/>
      <c r="H14" s="21" t="str">
        <f t="shared" si="0"/>
        <v/>
      </c>
      <c r="I14" s="21" t="str">
        <f t="shared" si="1"/>
        <v/>
      </c>
      <c r="J14" s="20" t="str">
        <f t="shared" ca="1" si="4"/>
        <v/>
      </c>
      <c r="K14" s="20" t="str">
        <f t="shared" ca="1" si="4"/>
        <v/>
      </c>
      <c r="L14" s="21" t="str">
        <f t="shared" si="2"/>
        <v/>
      </c>
      <c r="M14" s="21" t="str">
        <f t="shared" si="3"/>
        <v/>
      </c>
      <c r="N14" s="20"/>
    </row>
    <row r="15" spans="1:14">
      <c r="A15" s="20"/>
      <c r="B15" s="20"/>
      <c r="C15" s="20"/>
      <c r="D15" s="24"/>
      <c r="E15" s="24"/>
      <c r="F15" s="24"/>
      <c r="G15" s="24"/>
      <c r="H15" s="21" t="str">
        <f t="shared" si="0"/>
        <v/>
      </c>
      <c r="I15" s="21" t="str">
        <f t="shared" si="1"/>
        <v/>
      </c>
      <c r="J15" s="20" t="str">
        <f t="shared" ca="1" si="4"/>
        <v/>
      </c>
      <c r="K15" s="20" t="str">
        <f t="shared" ca="1" si="4"/>
        <v/>
      </c>
      <c r="L15" s="21" t="str">
        <f t="shared" si="2"/>
        <v/>
      </c>
      <c r="M15" s="21" t="str">
        <f t="shared" si="3"/>
        <v/>
      </c>
      <c r="N15" s="20"/>
    </row>
    <row r="16" spans="1:14">
      <c r="A16" s="20"/>
      <c r="B16" s="20"/>
      <c r="C16" s="20"/>
      <c r="D16" s="24"/>
      <c r="E16" s="24"/>
      <c r="F16" s="24"/>
      <c r="G16" s="24"/>
      <c r="H16" s="21" t="str">
        <f t="shared" si="0"/>
        <v/>
      </c>
      <c r="I16" s="21" t="str">
        <f t="shared" si="1"/>
        <v/>
      </c>
      <c r="J16" s="20" t="str">
        <f t="shared" ca="1" si="4"/>
        <v/>
      </c>
      <c r="K16" s="20" t="str">
        <f t="shared" ca="1" si="4"/>
        <v/>
      </c>
      <c r="L16" s="21" t="str">
        <f t="shared" si="2"/>
        <v/>
      </c>
      <c r="M16" s="21" t="str">
        <f t="shared" si="3"/>
        <v/>
      </c>
      <c r="N16" s="20"/>
    </row>
    <row r="17" spans="1:14">
      <c r="A17" s="20"/>
      <c r="B17" s="20"/>
      <c r="C17" s="20"/>
      <c r="D17" s="24"/>
      <c r="E17" s="24"/>
      <c r="F17" s="24"/>
      <c r="G17" s="24"/>
      <c r="H17" s="21" t="str">
        <f t="shared" si="0"/>
        <v/>
      </c>
      <c r="I17" s="21" t="str">
        <f t="shared" si="1"/>
        <v/>
      </c>
      <c r="J17" s="20" t="str">
        <f t="shared" ca="1" si="4"/>
        <v/>
      </c>
      <c r="K17" s="20" t="str">
        <f t="shared" ca="1" si="4"/>
        <v/>
      </c>
      <c r="L17" s="21" t="str">
        <f t="shared" si="2"/>
        <v/>
      </c>
      <c r="M17" s="21" t="str">
        <f t="shared" si="3"/>
        <v/>
      </c>
      <c r="N17" s="20"/>
    </row>
    <row r="18" spans="1:14">
      <c r="A18" s="20"/>
      <c r="B18" s="20"/>
      <c r="C18" s="20"/>
      <c r="D18" s="24"/>
      <c r="E18" s="24"/>
      <c r="F18" s="24"/>
      <c r="G18" s="24"/>
      <c r="H18" s="21" t="str">
        <f t="shared" si="0"/>
        <v/>
      </c>
      <c r="I18" s="21" t="str">
        <f t="shared" si="1"/>
        <v/>
      </c>
      <c r="J18" s="20" t="str">
        <f t="shared" ca="1" si="4"/>
        <v/>
      </c>
      <c r="K18" s="20" t="str">
        <f t="shared" ca="1" si="4"/>
        <v/>
      </c>
      <c r="L18" s="21" t="str">
        <f t="shared" si="2"/>
        <v/>
      </c>
      <c r="M18" s="21" t="str">
        <f t="shared" si="3"/>
        <v/>
      </c>
      <c r="N18" s="20"/>
    </row>
    <row r="19" spans="1:14">
      <c r="A19" s="20"/>
      <c r="B19" s="20"/>
      <c r="C19" s="20"/>
      <c r="D19" s="24"/>
      <c r="E19" s="24"/>
      <c r="F19" s="24"/>
      <c r="G19" s="24"/>
      <c r="H19" s="21" t="str">
        <f t="shared" si="0"/>
        <v/>
      </c>
      <c r="I19" s="21" t="str">
        <f t="shared" si="1"/>
        <v/>
      </c>
      <c r="J19" s="20" t="str">
        <f t="shared" ca="1" si="4"/>
        <v/>
      </c>
      <c r="K19" s="20" t="str">
        <f t="shared" ca="1" si="4"/>
        <v/>
      </c>
      <c r="L19" s="21" t="str">
        <f t="shared" si="2"/>
        <v/>
      </c>
      <c r="M19" s="21" t="str">
        <f t="shared" si="3"/>
        <v/>
      </c>
      <c r="N19" s="20"/>
    </row>
    <row r="20" spans="1:14">
      <c r="A20" s="20"/>
      <c r="B20" s="20"/>
      <c r="C20" s="20"/>
      <c r="D20" s="24"/>
      <c r="E20" s="24"/>
      <c r="F20" s="24"/>
      <c r="G20" s="24"/>
      <c r="H20" s="21" t="str">
        <f t="shared" si="0"/>
        <v/>
      </c>
      <c r="I20" s="21" t="str">
        <f t="shared" si="1"/>
        <v/>
      </c>
      <c r="J20" s="20" t="str">
        <f t="shared" ca="1" si="4"/>
        <v/>
      </c>
      <c r="K20" s="20" t="str">
        <f t="shared" ca="1" si="4"/>
        <v/>
      </c>
      <c r="L20" s="21" t="str">
        <f t="shared" si="2"/>
        <v/>
      </c>
      <c r="M20" s="21" t="str">
        <f t="shared" si="3"/>
        <v/>
      </c>
      <c r="N20" s="20"/>
    </row>
    <row r="21" spans="1:14">
      <c r="A21" s="20"/>
      <c r="B21" s="20"/>
      <c r="C21" s="20"/>
      <c r="D21" s="24"/>
      <c r="E21" s="24"/>
      <c r="F21" s="24"/>
      <c r="G21" s="24"/>
      <c r="H21" s="21" t="str">
        <f t="shared" si="0"/>
        <v/>
      </c>
      <c r="I21" s="21" t="str">
        <f t="shared" si="1"/>
        <v/>
      </c>
      <c r="J21" s="20" t="str">
        <f t="shared" ca="1" si="4"/>
        <v/>
      </c>
      <c r="K21" s="20" t="str">
        <f t="shared" ca="1" si="4"/>
        <v/>
      </c>
      <c r="L21" s="21" t="str">
        <f t="shared" si="2"/>
        <v/>
      </c>
      <c r="M21" s="21" t="str">
        <f t="shared" si="3"/>
        <v/>
      </c>
      <c r="N21" s="20"/>
    </row>
    <row r="22" spans="1:14">
      <c r="A22" s="20"/>
      <c r="B22" s="20"/>
      <c r="C22" s="20"/>
      <c r="D22" s="24"/>
      <c r="E22" s="24"/>
      <c r="F22" s="24"/>
      <c r="G22" s="24"/>
      <c r="H22" s="21" t="str">
        <f t="shared" si="0"/>
        <v/>
      </c>
      <c r="I22" s="21" t="str">
        <f t="shared" si="1"/>
        <v/>
      </c>
      <c r="J22" s="20" t="str">
        <f t="shared" ca="1" si="4"/>
        <v/>
      </c>
      <c r="K22" s="20" t="str">
        <f t="shared" ca="1" si="4"/>
        <v/>
      </c>
      <c r="L22" s="21" t="str">
        <f t="shared" si="2"/>
        <v/>
      </c>
      <c r="M22" s="21" t="str">
        <f t="shared" si="3"/>
        <v/>
      </c>
      <c r="N22" s="20"/>
    </row>
    <row r="23" spans="1:14">
      <c r="A23" s="20"/>
      <c r="B23" s="20"/>
      <c r="C23" s="20"/>
      <c r="D23" s="24"/>
      <c r="E23" s="24"/>
      <c r="F23" s="24"/>
      <c r="G23" s="24"/>
      <c r="H23" s="21" t="str">
        <f t="shared" si="0"/>
        <v/>
      </c>
      <c r="I23" s="21" t="str">
        <f t="shared" si="1"/>
        <v/>
      </c>
      <c r="J23" s="20" t="str">
        <f t="shared" ca="1" si="4"/>
        <v/>
      </c>
      <c r="K23" s="20" t="str">
        <f t="shared" ca="1" si="4"/>
        <v/>
      </c>
      <c r="L23" s="21" t="str">
        <f t="shared" si="2"/>
        <v/>
      </c>
      <c r="M23" s="21" t="str">
        <f t="shared" si="3"/>
        <v/>
      </c>
      <c r="N23" s="20"/>
    </row>
    <row r="24" spans="1:14">
      <c r="A24" s="20"/>
      <c r="B24" s="20"/>
      <c r="C24" s="20"/>
      <c r="D24" s="24"/>
      <c r="E24" s="24"/>
      <c r="F24" s="24"/>
      <c r="G24" s="24"/>
      <c r="H24" s="21" t="str">
        <f t="shared" si="0"/>
        <v/>
      </c>
      <c r="I24" s="21" t="str">
        <f t="shared" si="1"/>
        <v/>
      </c>
      <c r="J24" s="20" t="str">
        <f t="shared" ca="1" si="4"/>
        <v/>
      </c>
      <c r="K24" s="20" t="str">
        <f t="shared" ca="1" si="4"/>
        <v/>
      </c>
      <c r="L24" s="21" t="str">
        <f t="shared" si="2"/>
        <v/>
      </c>
      <c r="M24" s="21" t="str">
        <f t="shared" si="3"/>
        <v/>
      </c>
      <c r="N24" s="20"/>
    </row>
    <row r="25" spans="1:14">
      <c r="A25" s="20"/>
      <c r="B25" s="20"/>
      <c r="C25" s="20"/>
      <c r="D25" s="24"/>
      <c r="E25" s="24"/>
      <c r="F25" s="24"/>
      <c r="G25" s="24"/>
      <c r="H25" s="21" t="str">
        <f t="shared" si="0"/>
        <v/>
      </c>
      <c r="I25" s="21" t="str">
        <f t="shared" si="1"/>
        <v/>
      </c>
      <c r="J25" s="20" t="str">
        <f t="shared" ca="1" si="4"/>
        <v/>
      </c>
      <c r="K25" s="20" t="str">
        <f t="shared" ca="1" si="4"/>
        <v/>
      </c>
      <c r="L25" s="21" t="str">
        <f t="shared" si="2"/>
        <v/>
      </c>
      <c r="M25" s="21" t="str">
        <f t="shared" si="3"/>
        <v/>
      </c>
      <c r="N25" s="20"/>
    </row>
    <row r="26" spans="1:14">
      <c r="A26" s="20"/>
      <c r="B26" s="20"/>
      <c r="C26" s="20"/>
      <c r="D26" s="24"/>
      <c r="E26" s="24"/>
      <c r="F26" s="24"/>
      <c r="G26" s="24"/>
      <c r="H26" s="21" t="str">
        <f t="shared" si="0"/>
        <v/>
      </c>
      <c r="I26" s="21" t="str">
        <f t="shared" si="1"/>
        <v/>
      </c>
      <c r="J26" s="20" t="str">
        <f t="shared" ca="1" si="4"/>
        <v/>
      </c>
      <c r="K26" s="20" t="str">
        <f t="shared" ca="1" si="4"/>
        <v/>
      </c>
      <c r="L26" s="21" t="str">
        <f t="shared" si="2"/>
        <v/>
      </c>
      <c r="M26" s="21" t="str">
        <f t="shared" si="3"/>
        <v/>
      </c>
      <c r="N26" s="20"/>
    </row>
    <row r="27" spans="1:14">
      <c r="A27" s="20"/>
      <c r="B27" s="20"/>
      <c r="C27" s="20"/>
      <c r="D27" s="24"/>
      <c r="E27" s="24"/>
      <c r="F27" s="24"/>
      <c r="G27" s="24"/>
      <c r="H27" s="21" t="str">
        <f t="shared" si="0"/>
        <v/>
      </c>
      <c r="I27" s="21" t="str">
        <f t="shared" si="1"/>
        <v/>
      </c>
      <c r="J27" s="20" t="str">
        <f t="shared" ref="J27:K40" ca="1" si="5">J27</f>
        <v/>
      </c>
      <c r="K27" s="20" t="str">
        <f t="shared" ca="1" si="5"/>
        <v/>
      </c>
      <c r="L27" s="21" t="str">
        <f t="shared" si="2"/>
        <v/>
      </c>
      <c r="M27" s="21" t="str">
        <f t="shared" si="3"/>
        <v/>
      </c>
      <c r="N27" s="20"/>
    </row>
    <row r="28" spans="1:14">
      <c r="A28" s="20"/>
      <c r="B28" s="20"/>
      <c r="C28" s="20"/>
      <c r="D28" s="24"/>
      <c r="E28" s="24"/>
      <c r="F28" s="24"/>
      <c r="G28" s="24"/>
      <c r="H28" s="21" t="str">
        <f t="shared" si="0"/>
        <v/>
      </c>
      <c r="I28" s="21" t="str">
        <f t="shared" si="1"/>
        <v/>
      </c>
      <c r="J28" s="20" t="str">
        <f t="shared" ca="1" si="5"/>
        <v/>
      </c>
      <c r="K28" s="20" t="str">
        <f t="shared" ca="1" si="5"/>
        <v/>
      </c>
      <c r="L28" s="21" t="str">
        <f t="shared" si="2"/>
        <v/>
      </c>
      <c r="M28" s="21" t="str">
        <f t="shared" si="3"/>
        <v/>
      </c>
      <c r="N28" s="20"/>
    </row>
    <row r="29" spans="1:14">
      <c r="A29" s="20"/>
      <c r="B29" s="20"/>
      <c r="C29" s="20"/>
      <c r="D29" s="24"/>
      <c r="E29" s="24"/>
      <c r="F29" s="24"/>
      <c r="G29" s="24"/>
      <c r="H29" s="21" t="str">
        <f t="shared" si="0"/>
        <v/>
      </c>
      <c r="I29" s="21" t="str">
        <f t="shared" si="1"/>
        <v/>
      </c>
      <c r="J29" s="20" t="str">
        <f t="shared" ca="1" si="5"/>
        <v/>
      </c>
      <c r="K29" s="20" t="str">
        <f t="shared" ca="1" si="5"/>
        <v/>
      </c>
      <c r="L29" s="21" t="str">
        <f t="shared" si="2"/>
        <v/>
      </c>
      <c r="M29" s="21" t="str">
        <f t="shared" si="3"/>
        <v/>
      </c>
      <c r="N29" s="20"/>
    </row>
    <row r="30" spans="1:14">
      <c r="A30" s="20"/>
      <c r="B30" s="20"/>
      <c r="C30" s="20"/>
      <c r="D30" s="24"/>
      <c r="E30" s="24"/>
      <c r="F30" s="24"/>
      <c r="G30" s="24"/>
      <c r="H30" s="21" t="str">
        <f t="shared" si="0"/>
        <v/>
      </c>
      <c r="I30" s="21" t="str">
        <f t="shared" si="1"/>
        <v/>
      </c>
      <c r="J30" s="20" t="str">
        <f t="shared" ca="1" si="5"/>
        <v/>
      </c>
      <c r="K30" s="20" t="str">
        <f t="shared" ca="1" si="5"/>
        <v/>
      </c>
      <c r="L30" s="21" t="str">
        <f t="shared" si="2"/>
        <v/>
      </c>
      <c r="M30" s="21" t="str">
        <f t="shared" si="3"/>
        <v/>
      </c>
      <c r="N30" s="20"/>
    </row>
    <row r="31" spans="1:14">
      <c r="A31" s="20"/>
      <c r="B31" s="20"/>
      <c r="C31" s="20"/>
      <c r="D31" s="24"/>
      <c r="E31" s="24"/>
      <c r="F31" s="24"/>
      <c r="G31" s="24"/>
      <c r="H31" s="21" t="str">
        <f t="shared" si="0"/>
        <v/>
      </c>
      <c r="I31" s="21" t="str">
        <f t="shared" si="1"/>
        <v/>
      </c>
      <c r="J31" s="20" t="str">
        <f t="shared" ca="1" si="5"/>
        <v/>
      </c>
      <c r="K31" s="20" t="str">
        <f t="shared" ca="1" si="5"/>
        <v/>
      </c>
      <c r="L31" s="21" t="str">
        <f t="shared" si="2"/>
        <v/>
      </c>
      <c r="M31" s="21" t="str">
        <f t="shared" si="3"/>
        <v/>
      </c>
      <c r="N31" s="20"/>
    </row>
    <row r="32" spans="1:14">
      <c r="A32" s="20"/>
      <c r="B32" s="20"/>
      <c r="C32" s="20"/>
      <c r="D32" s="24"/>
      <c r="E32" s="24"/>
      <c r="F32" s="24"/>
      <c r="G32" s="24"/>
      <c r="H32" s="21" t="str">
        <f t="shared" si="0"/>
        <v/>
      </c>
      <c r="I32" s="21" t="str">
        <f t="shared" si="1"/>
        <v/>
      </c>
      <c r="J32" s="20" t="str">
        <f t="shared" ca="1" si="5"/>
        <v/>
      </c>
      <c r="K32" s="20" t="str">
        <f t="shared" ca="1" si="5"/>
        <v/>
      </c>
      <c r="L32" s="21" t="str">
        <f t="shared" si="2"/>
        <v/>
      </c>
      <c r="M32" s="21" t="str">
        <f t="shared" si="3"/>
        <v/>
      </c>
      <c r="N32" s="20"/>
    </row>
    <row r="33" spans="1:14">
      <c r="A33" s="20"/>
      <c r="B33" s="20"/>
      <c r="C33" s="20"/>
      <c r="D33" s="24"/>
      <c r="E33" s="24"/>
      <c r="F33" s="24"/>
      <c r="G33" s="24"/>
      <c r="H33" s="21" t="str">
        <f t="shared" si="0"/>
        <v/>
      </c>
      <c r="I33" s="21" t="str">
        <f t="shared" si="1"/>
        <v/>
      </c>
      <c r="J33" s="20" t="str">
        <f t="shared" ca="1" si="5"/>
        <v/>
      </c>
      <c r="K33" s="20" t="str">
        <f t="shared" ca="1" si="5"/>
        <v/>
      </c>
      <c r="L33" s="21" t="str">
        <f t="shared" si="2"/>
        <v/>
      </c>
      <c r="M33" s="21" t="str">
        <f t="shared" si="3"/>
        <v/>
      </c>
      <c r="N33" s="20"/>
    </row>
    <row r="34" spans="1:14">
      <c r="A34" s="20"/>
      <c r="B34" s="20"/>
      <c r="C34" s="20"/>
      <c r="D34" s="24"/>
      <c r="E34" s="24"/>
      <c r="F34" s="24"/>
      <c r="G34" s="24"/>
      <c r="H34" s="21" t="str">
        <f t="shared" si="0"/>
        <v/>
      </c>
      <c r="I34" s="21" t="str">
        <f t="shared" si="1"/>
        <v/>
      </c>
      <c r="J34" s="20" t="str">
        <f t="shared" ca="1" si="5"/>
        <v/>
      </c>
      <c r="K34" s="20" t="str">
        <f t="shared" ca="1" si="5"/>
        <v/>
      </c>
      <c r="L34" s="21" t="str">
        <f t="shared" si="2"/>
        <v/>
      </c>
      <c r="M34" s="21" t="str">
        <f t="shared" si="3"/>
        <v/>
      </c>
      <c r="N34" s="20"/>
    </row>
    <row r="35" spans="1:14">
      <c r="A35" s="20"/>
      <c r="B35" s="20"/>
      <c r="C35" s="20"/>
      <c r="D35" s="24"/>
      <c r="E35" s="24"/>
      <c r="F35" s="24"/>
      <c r="G35" s="24"/>
      <c r="H35" s="21" t="str">
        <f t="shared" si="0"/>
        <v/>
      </c>
      <c r="I35" s="21" t="str">
        <f t="shared" si="1"/>
        <v/>
      </c>
      <c r="J35" s="20" t="str">
        <f t="shared" ca="1" si="5"/>
        <v/>
      </c>
      <c r="K35" s="20" t="str">
        <f t="shared" ca="1" si="5"/>
        <v/>
      </c>
      <c r="L35" s="21" t="str">
        <f t="shared" si="2"/>
        <v/>
      </c>
      <c r="M35" s="21" t="str">
        <f t="shared" si="3"/>
        <v/>
      </c>
      <c r="N35" s="20"/>
    </row>
    <row r="36" spans="1:14">
      <c r="A36" s="20"/>
      <c r="B36" s="20"/>
      <c r="C36" s="20"/>
      <c r="D36" s="24"/>
      <c r="E36" s="24"/>
      <c r="F36" s="24"/>
      <c r="G36" s="24"/>
      <c r="H36" s="21" t="str">
        <f t="shared" si="0"/>
        <v/>
      </c>
      <c r="I36" s="21" t="str">
        <f t="shared" si="1"/>
        <v/>
      </c>
      <c r="J36" s="20" t="str">
        <f t="shared" ca="1" si="5"/>
        <v/>
      </c>
      <c r="K36" s="20" t="str">
        <f t="shared" ca="1" si="5"/>
        <v/>
      </c>
      <c r="L36" s="21" t="str">
        <f t="shared" si="2"/>
        <v/>
      </c>
      <c r="M36" s="21" t="str">
        <f t="shared" si="3"/>
        <v/>
      </c>
      <c r="N36" s="20"/>
    </row>
    <row r="37" spans="1:14">
      <c r="A37" s="20"/>
      <c r="B37" s="20"/>
      <c r="C37" s="20"/>
      <c r="D37" s="24"/>
      <c r="E37" s="24"/>
      <c r="F37" s="24"/>
      <c r="G37" s="24"/>
      <c r="H37" s="21" t="str">
        <f t="shared" si="0"/>
        <v/>
      </c>
      <c r="I37" s="21" t="str">
        <f t="shared" si="1"/>
        <v/>
      </c>
      <c r="J37" s="20" t="str">
        <f t="shared" ca="1" si="5"/>
        <v/>
      </c>
      <c r="K37" s="20" t="str">
        <f t="shared" ca="1" si="5"/>
        <v/>
      </c>
      <c r="L37" s="21" t="str">
        <f t="shared" si="2"/>
        <v/>
      </c>
      <c r="M37" s="21" t="str">
        <f t="shared" si="3"/>
        <v/>
      </c>
      <c r="N37" s="20"/>
    </row>
    <row r="38" spans="1:14">
      <c r="A38" s="20"/>
      <c r="B38" s="20"/>
      <c r="C38" s="20"/>
      <c r="D38" s="24"/>
      <c r="E38" s="24"/>
      <c r="F38" s="24"/>
      <c r="G38" s="24"/>
      <c r="H38" s="21" t="str">
        <f t="shared" si="0"/>
        <v/>
      </c>
      <c r="I38" s="21" t="str">
        <f t="shared" si="1"/>
        <v/>
      </c>
      <c r="J38" s="20" t="str">
        <f t="shared" ca="1" si="5"/>
        <v/>
      </c>
      <c r="K38" s="20" t="str">
        <f t="shared" ca="1" si="5"/>
        <v/>
      </c>
      <c r="L38" s="21" t="str">
        <f t="shared" si="2"/>
        <v/>
      </c>
      <c r="M38" s="21" t="str">
        <f t="shared" si="3"/>
        <v/>
      </c>
      <c r="N38" s="20"/>
    </row>
    <row r="39" spans="1:14">
      <c r="A39" s="20"/>
      <c r="B39" s="20"/>
      <c r="C39" s="20"/>
      <c r="D39" s="24"/>
      <c r="E39" s="24"/>
      <c r="F39" s="24"/>
      <c r="G39" s="24"/>
      <c r="H39" s="21" t="str">
        <f t="shared" si="0"/>
        <v/>
      </c>
      <c r="I39" s="21" t="str">
        <f t="shared" si="1"/>
        <v/>
      </c>
      <c r="J39" s="20" t="str">
        <f t="shared" ca="1" si="5"/>
        <v/>
      </c>
      <c r="K39" s="20" t="str">
        <f t="shared" ca="1" si="5"/>
        <v/>
      </c>
      <c r="L39" s="21" t="str">
        <f t="shared" si="2"/>
        <v/>
      </c>
      <c r="M39" s="21" t="str">
        <f t="shared" si="3"/>
        <v/>
      </c>
      <c r="N39" s="20"/>
    </row>
    <row r="40" spans="1:14">
      <c r="A40" s="20"/>
      <c r="B40" s="20"/>
      <c r="C40" s="20"/>
      <c r="D40" s="24"/>
      <c r="E40" s="24"/>
      <c r="F40" s="24"/>
      <c r="G40" s="24"/>
      <c r="H40" s="21" t="str">
        <f t="shared" si="0"/>
        <v/>
      </c>
      <c r="I40" s="21" t="str">
        <f t="shared" si="1"/>
        <v/>
      </c>
      <c r="J40" s="20" t="str">
        <f t="shared" ca="1" si="5"/>
        <v/>
      </c>
      <c r="K40" s="20" t="str">
        <f t="shared" ca="1" si="5"/>
        <v/>
      </c>
      <c r="L40" s="21" t="str">
        <f t="shared" si="2"/>
        <v/>
      </c>
      <c r="M40" s="21" t="str">
        <f t="shared" si="3"/>
        <v/>
      </c>
      <c r="N40" s="20"/>
    </row>
    <row r="41" spans="1:14">
      <c r="A41" s="20"/>
      <c r="B41" s="20"/>
      <c r="C41" s="20"/>
      <c r="D41" s="24"/>
      <c r="E41" s="24"/>
      <c r="F41" s="24"/>
      <c r="G41" s="24"/>
      <c r="H41" s="21"/>
      <c r="I41" s="21"/>
      <c r="J41" s="20"/>
      <c r="K41" s="20"/>
      <c r="L41" s="21"/>
      <c r="M41" s="21"/>
      <c r="N41" s="20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1"/>
  <sheetViews>
    <sheetView workbookViewId="0"/>
  </sheetViews>
  <sheetFormatPr defaultRowHeight="13.8"/>
  <cols>
    <col min="1" max="2" width="14" customWidth="1"/>
    <col min="3" max="3" width="18" customWidth="1"/>
    <col min="4" max="4" width="20" customWidth="1"/>
    <col min="5" max="6" width="18" customWidth="1"/>
    <col min="7" max="7" width="16" customWidth="1"/>
    <col min="8" max="8" width="18" customWidth="1"/>
    <col min="9" max="10" width="22" customWidth="1"/>
    <col min="11" max="13" width="18" customWidth="1"/>
    <col min="14" max="14" width="24" customWidth="1"/>
  </cols>
  <sheetData>
    <row r="1" spans="1:14">
      <c r="A1" s="65" t="s">
        <v>349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350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19" t="s">
        <v>351</v>
      </c>
      <c r="B4" s="19" t="s">
        <v>335</v>
      </c>
      <c r="C4" s="19" t="s">
        <v>352</v>
      </c>
      <c r="D4" s="19" t="s">
        <v>353</v>
      </c>
      <c r="E4" s="19" t="s">
        <v>354</v>
      </c>
      <c r="F4" s="19" t="s">
        <v>355</v>
      </c>
      <c r="G4" s="19" t="s">
        <v>338</v>
      </c>
      <c r="H4" s="19" t="s">
        <v>356</v>
      </c>
      <c r="I4" s="19" t="s">
        <v>357</v>
      </c>
      <c r="J4" s="19" t="s">
        <v>343</v>
      </c>
      <c r="K4" s="19" t="s">
        <v>358</v>
      </c>
      <c r="L4" s="19" t="s">
        <v>123</v>
      </c>
      <c r="M4" s="19" t="s">
        <v>359</v>
      </c>
      <c r="N4" s="19" t="s">
        <v>5</v>
      </c>
    </row>
    <row r="5" spans="1:14">
      <c r="A5" s="20" t="s">
        <v>360</v>
      </c>
      <c r="B5" s="20" t="s">
        <v>346</v>
      </c>
      <c r="C5" s="24">
        <v>46147.5</v>
      </c>
      <c r="D5" s="20" t="s">
        <v>361</v>
      </c>
      <c r="E5" s="20" t="s">
        <v>362</v>
      </c>
      <c r="F5" s="20" t="s">
        <v>321</v>
      </c>
      <c r="G5" s="20">
        <v>45</v>
      </c>
      <c r="H5" s="20">
        <v>0</v>
      </c>
      <c r="I5" s="20" t="s">
        <v>363</v>
      </c>
      <c r="J5" s="20" t="s">
        <v>364</v>
      </c>
      <c r="K5" s="20" t="s">
        <v>365</v>
      </c>
      <c r="L5" s="20" t="s">
        <v>366</v>
      </c>
      <c r="M5" s="21" t="str">
        <f t="shared" ref="M5:M40" si="0">IF(A5="","",IF(OR(F5="Korkea",G5&gt;60),"Korkea","Normaali"))</f>
        <v>Normaali</v>
      </c>
      <c r="N5" s="20"/>
    </row>
    <row r="6" spans="1:14">
      <c r="A6" s="20" t="s">
        <v>367</v>
      </c>
      <c r="B6" s="20" t="s">
        <v>368</v>
      </c>
      <c r="C6" s="24">
        <v>46147.541666666664</v>
      </c>
      <c r="D6" s="20" t="s">
        <v>369</v>
      </c>
      <c r="E6" s="20" t="s">
        <v>370</v>
      </c>
      <c r="F6" s="20" t="s">
        <v>324</v>
      </c>
      <c r="G6" s="20">
        <v>0</v>
      </c>
      <c r="H6" s="20">
        <v>120</v>
      </c>
      <c r="I6" s="20" t="s">
        <v>324</v>
      </c>
      <c r="J6" s="20" t="s">
        <v>371</v>
      </c>
      <c r="K6" s="20" t="s">
        <v>365</v>
      </c>
      <c r="L6" s="20" t="s">
        <v>366</v>
      </c>
      <c r="M6" s="21" t="str">
        <f t="shared" si="0"/>
        <v>Korkea</v>
      </c>
      <c r="N6" s="20"/>
    </row>
    <row r="7" spans="1:14">
      <c r="A7" s="20"/>
      <c r="B7" s="20"/>
      <c r="C7" s="24"/>
      <c r="D7" s="20"/>
      <c r="E7" s="20"/>
      <c r="F7" s="20"/>
      <c r="G7" s="20"/>
      <c r="H7" s="20"/>
      <c r="I7" s="20"/>
      <c r="J7" s="20"/>
      <c r="K7" s="20"/>
      <c r="L7" s="20"/>
      <c r="M7" s="21" t="str">
        <f t="shared" si="0"/>
        <v/>
      </c>
      <c r="N7" s="20"/>
    </row>
    <row r="8" spans="1:14">
      <c r="A8" s="20"/>
      <c r="B8" s="20"/>
      <c r="C8" s="24"/>
      <c r="D8" s="20"/>
      <c r="E8" s="20"/>
      <c r="F8" s="20"/>
      <c r="G8" s="20"/>
      <c r="H8" s="20"/>
      <c r="I8" s="20"/>
      <c r="J8" s="20"/>
      <c r="K8" s="20"/>
      <c r="L8" s="20"/>
      <c r="M8" s="21" t="str">
        <f t="shared" si="0"/>
        <v/>
      </c>
      <c r="N8" s="20"/>
    </row>
    <row r="9" spans="1:14">
      <c r="A9" s="20"/>
      <c r="B9" s="20"/>
      <c r="C9" s="24"/>
      <c r="D9" s="20"/>
      <c r="E9" s="20"/>
      <c r="F9" s="20"/>
      <c r="G9" s="20"/>
      <c r="H9" s="20"/>
      <c r="I9" s="20"/>
      <c r="J9" s="20"/>
      <c r="K9" s="20"/>
      <c r="L9" s="20"/>
      <c r="M9" s="21" t="str">
        <f t="shared" si="0"/>
        <v/>
      </c>
      <c r="N9" s="20"/>
    </row>
    <row r="10" spans="1:14">
      <c r="A10" s="20"/>
      <c r="B10" s="20"/>
      <c r="C10" s="24"/>
      <c r="D10" s="20"/>
      <c r="E10" s="20"/>
      <c r="F10" s="20"/>
      <c r="G10" s="20"/>
      <c r="H10" s="20"/>
      <c r="I10" s="20"/>
      <c r="J10" s="20"/>
      <c r="K10" s="20"/>
      <c r="L10" s="20"/>
      <c r="M10" s="21" t="str">
        <f t="shared" si="0"/>
        <v/>
      </c>
      <c r="N10" s="20"/>
    </row>
    <row r="11" spans="1:14">
      <c r="A11" s="20"/>
      <c r="B11" s="20"/>
      <c r="C11" s="24"/>
      <c r="D11" s="20"/>
      <c r="E11" s="20"/>
      <c r="F11" s="20"/>
      <c r="G11" s="20"/>
      <c r="H11" s="20"/>
      <c r="I11" s="20"/>
      <c r="J11" s="20"/>
      <c r="K11" s="20"/>
      <c r="L11" s="20"/>
      <c r="M11" s="21" t="str">
        <f t="shared" si="0"/>
        <v/>
      </c>
      <c r="N11" s="20"/>
    </row>
    <row r="12" spans="1:14">
      <c r="A12" s="20"/>
      <c r="B12" s="20"/>
      <c r="C12" s="24"/>
      <c r="D12" s="20"/>
      <c r="E12" s="20"/>
      <c r="F12" s="20"/>
      <c r="G12" s="20"/>
      <c r="H12" s="20"/>
      <c r="I12" s="20"/>
      <c r="J12" s="20"/>
      <c r="K12" s="20"/>
      <c r="L12" s="20"/>
      <c r="M12" s="21" t="str">
        <f t="shared" si="0"/>
        <v/>
      </c>
      <c r="N12" s="20"/>
    </row>
    <row r="13" spans="1:14">
      <c r="A13" s="20"/>
      <c r="B13" s="20"/>
      <c r="C13" s="24"/>
      <c r="D13" s="20"/>
      <c r="E13" s="20"/>
      <c r="F13" s="20"/>
      <c r="G13" s="20"/>
      <c r="H13" s="20"/>
      <c r="I13" s="20"/>
      <c r="J13" s="20"/>
      <c r="K13" s="20"/>
      <c r="L13" s="20"/>
      <c r="M13" s="21" t="str">
        <f t="shared" si="0"/>
        <v/>
      </c>
      <c r="N13" s="20"/>
    </row>
    <row r="14" spans="1:14">
      <c r="A14" s="20"/>
      <c r="B14" s="20"/>
      <c r="C14" s="24"/>
      <c r="D14" s="20"/>
      <c r="E14" s="20"/>
      <c r="F14" s="20"/>
      <c r="G14" s="20"/>
      <c r="H14" s="20"/>
      <c r="I14" s="20"/>
      <c r="J14" s="20"/>
      <c r="K14" s="20"/>
      <c r="L14" s="20"/>
      <c r="M14" s="21" t="str">
        <f t="shared" si="0"/>
        <v/>
      </c>
      <c r="N14" s="20"/>
    </row>
    <row r="15" spans="1:14">
      <c r="A15" s="20"/>
      <c r="B15" s="20"/>
      <c r="C15" s="24"/>
      <c r="D15" s="20"/>
      <c r="E15" s="20"/>
      <c r="F15" s="20"/>
      <c r="G15" s="20"/>
      <c r="H15" s="20"/>
      <c r="I15" s="20"/>
      <c r="J15" s="20"/>
      <c r="K15" s="20"/>
      <c r="L15" s="20"/>
      <c r="M15" s="21" t="str">
        <f t="shared" si="0"/>
        <v/>
      </c>
      <c r="N15" s="20"/>
    </row>
    <row r="16" spans="1:14">
      <c r="A16" s="20"/>
      <c r="B16" s="20"/>
      <c r="C16" s="24"/>
      <c r="D16" s="20"/>
      <c r="E16" s="20"/>
      <c r="F16" s="20"/>
      <c r="G16" s="20"/>
      <c r="H16" s="20"/>
      <c r="I16" s="20"/>
      <c r="J16" s="20"/>
      <c r="K16" s="20"/>
      <c r="L16" s="20"/>
      <c r="M16" s="21" t="str">
        <f t="shared" si="0"/>
        <v/>
      </c>
      <c r="N16" s="20"/>
    </row>
    <row r="17" spans="1:14">
      <c r="A17" s="20"/>
      <c r="B17" s="20"/>
      <c r="C17" s="24"/>
      <c r="D17" s="20"/>
      <c r="E17" s="20"/>
      <c r="F17" s="20"/>
      <c r="G17" s="20"/>
      <c r="H17" s="20"/>
      <c r="I17" s="20"/>
      <c r="J17" s="20"/>
      <c r="K17" s="20"/>
      <c r="L17" s="20"/>
      <c r="M17" s="21" t="str">
        <f t="shared" si="0"/>
        <v/>
      </c>
      <c r="N17" s="20"/>
    </row>
    <row r="18" spans="1:14">
      <c r="A18" s="20"/>
      <c r="B18" s="20"/>
      <c r="C18" s="24"/>
      <c r="D18" s="20"/>
      <c r="E18" s="20"/>
      <c r="F18" s="20"/>
      <c r="G18" s="20"/>
      <c r="H18" s="20"/>
      <c r="I18" s="20"/>
      <c r="J18" s="20"/>
      <c r="K18" s="20"/>
      <c r="L18" s="20"/>
      <c r="M18" s="21" t="str">
        <f t="shared" si="0"/>
        <v/>
      </c>
      <c r="N18" s="20"/>
    </row>
    <row r="19" spans="1:14">
      <c r="A19" s="20"/>
      <c r="B19" s="20"/>
      <c r="C19" s="24"/>
      <c r="D19" s="20"/>
      <c r="E19" s="20"/>
      <c r="F19" s="20"/>
      <c r="G19" s="20"/>
      <c r="H19" s="20"/>
      <c r="I19" s="20"/>
      <c r="J19" s="20"/>
      <c r="K19" s="20"/>
      <c r="L19" s="20"/>
      <c r="M19" s="21" t="str">
        <f t="shared" si="0"/>
        <v/>
      </c>
      <c r="N19" s="20"/>
    </row>
    <row r="20" spans="1:14">
      <c r="A20" s="20"/>
      <c r="B20" s="20"/>
      <c r="C20" s="24"/>
      <c r="D20" s="20"/>
      <c r="E20" s="20"/>
      <c r="F20" s="20"/>
      <c r="G20" s="20"/>
      <c r="H20" s="20"/>
      <c r="I20" s="20"/>
      <c r="J20" s="20"/>
      <c r="K20" s="20"/>
      <c r="L20" s="20"/>
      <c r="M20" s="21" t="str">
        <f t="shared" si="0"/>
        <v/>
      </c>
      <c r="N20" s="20"/>
    </row>
    <row r="21" spans="1:14">
      <c r="A21" s="20"/>
      <c r="B21" s="20"/>
      <c r="C21" s="24"/>
      <c r="D21" s="20"/>
      <c r="E21" s="20"/>
      <c r="F21" s="20"/>
      <c r="G21" s="20"/>
      <c r="H21" s="20"/>
      <c r="I21" s="20"/>
      <c r="J21" s="20"/>
      <c r="K21" s="20"/>
      <c r="L21" s="20"/>
      <c r="M21" s="21" t="str">
        <f t="shared" si="0"/>
        <v/>
      </c>
      <c r="N21" s="20"/>
    </row>
    <row r="22" spans="1:14">
      <c r="A22" s="20"/>
      <c r="B22" s="20"/>
      <c r="C22" s="24"/>
      <c r="D22" s="20"/>
      <c r="E22" s="20"/>
      <c r="F22" s="20"/>
      <c r="G22" s="20"/>
      <c r="H22" s="20"/>
      <c r="I22" s="20"/>
      <c r="J22" s="20"/>
      <c r="K22" s="20"/>
      <c r="L22" s="20"/>
      <c r="M22" s="21" t="str">
        <f t="shared" si="0"/>
        <v/>
      </c>
      <c r="N22" s="20"/>
    </row>
    <row r="23" spans="1:14">
      <c r="A23" s="20"/>
      <c r="B23" s="20"/>
      <c r="C23" s="24"/>
      <c r="D23" s="20"/>
      <c r="E23" s="20"/>
      <c r="F23" s="20"/>
      <c r="G23" s="20"/>
      <c r="H23" s="20"/>
      <c r="I23" s="20"/>
      <c r="J23" s="20"/>
      <c r="K23" s="20"/>
      <c r="L23" s="20"/>
      <c r="M23" s="21" t="str">
        <f t="shared" si="0"/>
        <v/>
      </c>
      <c r="N23" s="20"/>
    </row>
    <row r="24" spans="1:14">
      <c r="A24" s="20"/>
      <c r="B24" s="20"/>
      <c r="C24" s="24"/>
      <c r="D24" s="20"/>
      <c r="E24" s="20"/>
      <c r="F24" s="20"/>
      <c r="G24" s="20"/>
      <c r="H24" s="20"/>
      <c r="I24" s="20"/>
      <c r="J24" s="20"/>
      <c r="K24" s="20"/>
      <c r="L24" s="20"/>
      <c r="M24" s="21" t="str">
        <f t="shared" si="0"/>
        <v/>
      </c>
      <c r="N24" s="20"/>
    </row>
    <row r="25" spans="1:14">
      <c r="A25" s="20"/>
      <c r="B25" s="20"/>
      <c r="C25" s="24"/>
      <c r="D25" s="20"/>
      <c r="E25" s="20"/>
      <c r="F25" s="20"/>
      <c r="G25" s="20"/>
      <c r="H25" s="20"/>
      <c r="I25" s="20"/>
      <c r="J25" s="20"/>
      <c r="K25" s="20"/>
      <c r="L25" s="20"/>
      <c r="M25" s="21" t="str">
        <f t="shared" si="0"/>
        <v/>
      </c>
      <c r="N25" s="20"/>
    </row>
    <row r="26" spans="1:14">
      <c r="A26" s="20"/>
      <c r="B26" s="20"/>
      <c r="C26" s="24"/>
      <c r="D26" s="20"/>
      <c r="E26" s="20"/>
      <c r="F26" s="20"/>
      <c r="G26" s="20"/>
      <c r="H26" s="20"/>
      <c r="I26" s="20"/>
      <c r="J26" s="20"/>
      <c r="K26" s="20"/>
      <c r="L26" s="20"/>
      <c r="M26" s="21" t="str">
        <f t="shared" si="0"/>
        <v/>
      </c>
      <c r="N26" s="20"/>
    </row>
    <row r="27" spans="1:14">
      <c r="A27" s="20"/>
      <c r="B27" s="20"/>
      <c r="C27" s="24"/>
      <c r="D27" s="20"/>
      <c r="E27" s="20"/>
      <c r="F27" s="20"/>
      <c r="G27" s="20"/>
      <c r="H27" s="20"/>
      <c r="I27" s="20"/>
      <c r="J27" s="20"/>
      <c r="K27" s="20"/>
      <c r="L27" s="20"/>
      <c r="M27" s="21" t="str">
        <f t="shared" si="0"/>
        <v/>
      </c>
      <c r="N27" s="20"/>
    </row>
    <row r="28" spans="1:14">
      <c r="A28" s="20"/>
      <c r="B28" s="20"/>
      <c r="C28" s="24"/>
      <c r="D28" s="20"/>
      <c r="E28" s="20"/>
      <c r="F28" s="20"/>
      <c r="G28" s="20"/>
      <c r="H28" s="20"/>
      <c r="I28" s="20"/>
      <c r="J28" s="20"/>
      <c r="K28" s="20"/>
      <c r="L28" s="20"/>
      <c r="M28" s="21" t="str">
        <f t="shared" si="0"/>
        <v/>
      </c>
      <c r="N28" s="20"/>
    </row>
    <row r="29" spans="1:14">
      <c r="A29" s="20"/>
      <c r="B29" s="20"/>
      <c r="C29" s="24"/>
      <c r="D29" s="20"/>
      <c r="E29" s="20"/>
      <c r="F29" s="20"/>
      <c r="G29" s="20"/>
      <c r="H29" s="20"/>
      <c r="I29" s="20"/>
      <c r="J29" s="20"/>
      <c r="K29" s="20"/>
      <c r="L29" s="20"/>
      <c r="M29" s="21" t="str">
        <f t="shared" si="0"/>
        <v/>
      </c>
      <c r="N29" s="20"/>
    </row>
    <row r="30" spans="1:14">
      <c r="A30" s="20"/>
      <c r="B30" s="20"/>
      <c r="C30" s="24"/>
      <c r="D30" s="20"/>
      <c r="E30" s="20"/>
      <c r="F30" s="20"/>
      <c r="G30" s="20"/>
      <c r="H30" s="20"/>
      <c r="I30" s="20"/>
      <c r="J30" s="20"/>
      <c r="K30" s="20"/>
      <c r="L30" s="20"/>
      <c r="M30" s="21" t="str">
        <f t="shared" si="0"/>
        <v/>
      </c>
      <c r="N30" s="20"/>
    </row>
    <row r="31" spans="1:14">
      <c r="A31" s="20"/>
      <c r="B31" s="20"/>
      <c r="C31" s="24"/>
      <c r="D31" s="20"/>
      <c r="E31" s="20"/>
      <c r="F31" s="20"/>
      <c r="G31" s="20"/>
      <c r="H31" s="20"/>
      <c r="I31" s="20"/>
      <c r="J31" s="20"/>
      <c r="K31" s="20"/>
      <c r="L31" s="20"/>
      <c r="M31" s="21" t="str">
        <f t="shared" si="0"/>
        <v/>
      </c>
      <c r="N31" s="20"/>
    </row>
    <row r="32" spans="1:14">
      <c r="A32" s="20"/>
      <c r="B32" s="20"/>
      <c r="C32" s="24"/>
      <c r="D32" s="20"/>
      <c r="E32" s="20"/>
      <c r="F32" s="20"/>
      <c r="G32" s="20"/>
      <c r="H32" s="20"/>
      <c r="I32" s="20"/>
      <c r="J32" s="20"/>
      <c r="K32" s="20"/>
      <c r="L32" s="20"/>
      <c r="M32" s="21" t="str">
        <f t="shared" si="0"/>
        <v/>
      </c>
      <c r="N32" s="20"/>
    </row>
    <row r="33" spans="1:14">
      <c r="A33" s="20"/>
      <c r="B33" s="20"/>
      <c r="C33" s="24"/>
      <c r="D33" s="20"/>
      <c r="E33" s="20"/>
      <c r="F33" s="20"/>
      <c r="G33" s="20"/>
      <c r="H33" s="20"/>
      <c r="I33" s="20"/>
      <c r="J33" s="20"/>
      <c r="K33" s="20"/>
      <c r="L33" s="20"/>
      <c r="M33" s="21" t="str">
        <f t="shared" si="0"/>
        <v/>
      </c>
      <c r="N33" s="20"/>
    </row>
    <row r="34" spans="1:14">
      <c r="A34" s="20"/>
      <c r="B34" s="20"/>
      <c r="C34" s="24"/>
      <c r="D34" s="20"/>
      <c r="E34" s="20"/>
      <c r="F34" s="20"/>
      <c r="G34" s="20"/>
      <c r="H34" s="20"/>
      <c r="I34" s="20"/>
      <c r="J34" s="20"/>
      <c r="K34" s="20"/>
      <c r="L34" s="20"/>
      <c r="M34" s="21" t="str">
        <f t="shared" si="0"/>
        <v/>
      </c>
      <c r="N34" s="20"/>
    </row>
    <row r="35" spans="1:14">
      <c r="A35" s="20"/>
      <c r="B35" s="20"/>
      <c r="C35" s="24"/>
      <c r="D35" s="20"/>
      <c r="E35" s="20"/>
      <c r="F35" s="20"/>
      <c r="G35" s="20"/>
      <c r="H35" s="20"/>
      <c r="I35" s="20"/>
      <c r="J35" s="20"/>
      <c r="K35" s="20"/>
      <c r="L35" s="20"/>
      <c r="M35" s="21" t="str">
        <f t="shared" si="0"/>
        <v/>
      </c>
      <c r="N35" s="20"/>
    </row>
    <row r="36" spans="1:14">
      <c r="A36" s="20"/>
      <c r="B36" s="20"/>
      <c r="C36" s="24"/>
      <c r="D36" s="20"/>
      <c r="E36" s="20"/>
      <c r="F36" s="20"/>
      <c r="G36" s="20"/>
      <c r="H36" s="20"/>
      <c r="I36" s="20"/>
      <c r="J36" s="20"/>
      <c r="K36" s="20"/>
      <c r="L36" s="20"/>
      <c r="M36" s="21" t="str">
        <f t="shared" si="0"/>
        <v/>
      </c>
      <c r="N36" s="20"/>
    </row>
    <row r="37" spans="1:14">
      <c r="A37" s="20"/>
      <c r="B37" s="20"/>
      <c r="C37" s="24"/>
      <c r="D37" s="20"/>
      <c r="E37" s="20"/>
      <c r="F37" s="20"/>
      <c r="G37" s="20"/>
      <c r="H37" s="20"/>
      <c r="I37" s="20"/>
      <c r="J37" s="20"/>
      <c r="K37" s="20"/>
      <c r="L37" s="20"/>
      <c r="M37" s="21" t="str">
        <f t="shared" si="0"/>
        <v/>
      </c>
      <c r="N37" s="20"/>
    </row>
    <row r="38" spans="1:14">
      <c r="A38" s="20"/>
      <c r="B38" s="20"/>
      <c r="C38" s="24"/>
      <c r="D38" s="20"/>
      <c r="E38" s="20"/>
      <c r="F38" s="20"/>
      <c r="G38" s="20"/>
      <c r="H38" s="20"/>
      <c r="I38" s="20"/>
      <c r="J38" s="20"/>
      <c r="K38" s="20"/>
      <c r="L38" s="20"/>
      <c r="M38" s="21" t="str">
        <f t="shared" si="0"/>
        <v/>
      </c>
      <c r="N38" s="20"/>
    </row>
    <row r="39" spans="1:14">
      <c r="A39" s="20"/>
      <c r="B39" s="20"/>
      <c r="C39" s="24"/>
      <c r="D39" s="20"/>
      <c r="E39" s="20"/>
      <c r="F39" s="20"/>
      <c r="G39" s="20"/>
      <c r="H39" s="20"/>
      <c r="I39" s="20"/>
      <c r="J39" s="20"/>
      <c r="K39" s="20"/>
      <c r="L39" s="20"/>
      <c r="M39" s="21" t="str">
        <f t="shared" si="0"/>
        <v/>
      </c>
      <c r="N39" s="20"/>
    </row>
    <row r="40" spans="1:14">
      <c r="A40" s="20"/>
      <c r="B40" s="20"/>
      <c r="C40" s="24"/>
      <c r="D40" s="20"/>
      <c r="E40" s="20"/>
      <c r="F40" s="20"/>
      <c r="G40" s="20"/>
      <c r="H40" s="20"/>
      <c r="I40" s="20"/>
      <c r="J40" s="20"/>
      <c r="K40" s="20"/>
      <c r="L40" s="20"/>
      <c r="M40" s="21" t="str">
        <f t="shared" si="0"/>
        <v/>
      </c>
      <c r="N40" s="20"/>
    </row>
    <row r="41" spans="1:14">
      <c r="A41" s="20"/>
      <c r="B41" s="20"/>
      <c r="C41" s="24"/>
      <c r="D41" s="20"/>
      <c r="E41" s="20"/>
      <c r="F41" s="20"/>
      <c r="G41" s="20"/>
      <c r="H41" s="20"/>
      <c r="I41" s="20"/>
      <c r="J41" s="20"/>
      <c r="K41" s="20"/>
      <c r="L41" s="20"/>
      <c r="M41" s="21"/>
      <c r="N41" s="20"/>
    </row>
  </sheetData>
  <mergeCells count="2">
    <mergeCell ref="A1:N1"/>
    <mergeCell ref="A2:N2"/>
  </mergeCells>
  <dataValidations count="2">
    <dataValidation type="list" sqref="F5:F41" xr:uid="{00000000-0002-0000-0F00-000000000000}">
      <formula1>"Matala,Keskitaso,Korkea"</formula1>
    </dataValidation>
    <dataValidation type="list" sqref="L5:L41" xr:uid="{00000000-0002-0000-0F00-000001000000}">
      <formula1>"Avoin,Työn alla,Suljettu"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41"/>
  <sheetViews>
    <sheetView workbookViewId="0"/>
  </sheetViews>
  <sheetFormatPr defaultRowHeight="13.8"/>
  <cols>
    <col min="1" max="1" width="14" customWidth="1"/>
    <col min="2" max="3" width="18" customWidth="1"/>
    <col min="4" max="5" width="16" customWidth="1"/>
    <col min="6" max="6" width="18" customWidth="1"/>
    <col min="7" max="7" width="16" customWidth="1"/>
    <col min="8" max="13" width="18" customWidth="1"/>
    <col min="14" max="14" width="24" customWidth="1"/>
  </cols>
  <sheetData>
    <row r="1" spans="1:14">
      <c r="A1" s="65" t="s">
        <v>372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373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19" t="s">
        <v>374</v>
      </c>
      <c r="B4" s="19" t="s">
        <v>69</v>
      </c>
      <c r="C4" s="19" t="s">
        <v>260</v>
      </c>
      <c r="D4" s="19" t="s">
        <v>375</v>
      </c>
      <c r="E4" s="19" t="s">
        <v>376</v>
      </c>
      <c r="F4" s="19" t="s">
        <v>310</v>
      </c>
      <c r="G4" s="19" t="s">
        <v>311</v>
      </c>
      <c r="H4" s="19" t="s">
        <v>377</v>
      </c>
      <c r="I4" s="19" t="s">
        <v>313</v>
      </c>
      <c r="J4" s="19" t="s">
        <v>314</v>
      </c>
      <c r="K4" s="19" t="s">
        <v>316</v>
      </c>
      <c r="L4" s="19" t="s">
        <v>378</v>
      </c>
      <c r="M4" s="19" t="s">
        <v>16</v>
      </c>
      <c r="N4" s="19" t="s">
        <v>5</v>
      </c>
    </row>
    <row r="5" spans="1:14">
      <c r="A5" s="20" t="s">
        <v>379</v>
      </c>
      <c r="B5" s="20" t="s">
        <v>76</v>
      </c>
      <c r="C5" s="20" t="s">
        <v>318</v>
      </c>
      <c r="D5" s="26">
        <v>850</v>
      </c>
      <c r="E5" s="20" t="s">
        <v>380</v>
      </c>
      <c r="F5" s="20" t="s">
        <v>53</v>
      </c>
      <c r="G5" s="27">
        <v>0.96</v>
      </c>
      <c r="H5" s="20">
        <v>90</v>
      </c>
      <c r="I5" s="20">
        <v>80</v>
      </c>
      <c r="J5" s="21">
        <f t="shared" ref="J5:J40" si="0">IF(A5="","",MAX(0,100*(1-(D5-MIN($D$5:$D$40))/(MAX($D$5:$D$40)-MIN($D$5:$D$40)+0.0001))))</f>
        <v>62.500046874941404</v>
      </c>
      <c r="K5" s="21">
        <f t="shared" ref="K5:K40" si="1">IF(A5="","",J5*0.45+G5*100*0.25+H5*0.2+I5*0.1)</f>
        <v>78.125021093723632</v>
      </c>
      <c r="L5" s="21" t="e">
        <f ca="1">IF(A5="","",IF(K5=_xludf.MAXIFS($K$5:$K$40,$A$5:$A$40,A5),"VOITTAJA",""))</f>
        <v>#NAME?</v>
      </c>
      <c r="M5" s="21" t="e">
        <f t="shared" ref="M5:M40" ca="1" si="2">IF(L5="VOITTAJA","Paras tarjous / laatu","")</f>
        <v>#NAME?</v>
      </c>
      <c r="N5" s="20"/>
    </row>
    <row r="6" spans="1:14">
      <c r="A6" s="20" t="s">
        <v>379</v>
      </c>
      <c r="B6" s="20" t="s">
        <v>76</v>
      </c>
      <c r="C6" s="20" t="s">
        <v>320</v>
      </c>
      <c r="D6" s="26">
        <v>820</v>
      </c>
      <c r="E6" s="20" t="s">
        <v>380</v>
      </c>
      <c r="F6" s="20" t="s">
        <v>53</v>
      </c>
      <c r="G6" s="27">
        <v>0.91</v>
      </c>
      <c r="H6" s="20">
        <v>78</v>
      </c>
      <c r="I6" s="20">
        <v>75</v>
      </c>
      <c r="J6" s="21">
        <f t="shared" si="0"/>
        <v>100</v>
      </c>
      <c r="K6" s="21">
        <f t="shared" si="1"/>
        <v>90.85</v>
      </c>
      <c r="L6" s="21" t="e">
        <f ca="1">IF(A6="","",IF(K6=_xludf.MAXIFS($K$5:$K$40,$A$5:$A$40,A6),"VOITTAJA",""))</f>
        <v>#NAME?</v>
      </c>
      <c r="M6" s="21" t="e">
        <f t="shared" ca="1" si="2"/>
        <v>#NAME?</v>
      </c>
      <c r="N6" s="20"/>
    </row>
    <row r="7" spans="1:14">
      <c r="A7" s="20" t="s">
        <v>379</v>
      </c>
      <c r="B7" s="20" t="s">
        <v>76</v>
      </c>
      <c r="C7" s="20" t="s">
        <v>322</v>
      </c>
      <c r="D7" s="26">
        <v>900</v>
      </c>
      <c r="E7" s="20" t="s">
        <v>381</v>
      </c>
      <c r="F7" s="20" t="s">
        <v>51</v>
      </c>
      <c r="G7" s="27">
        <v>0.98</v>
      </c>
      <c r="H7" s="20">
        <v>95</v>
      </c>
      <c r="I7" s="20">
        <v>85</v>
      </c>
      <c r="J7" s="21">
        <f t="shared" si="0"/>
        <v>1.2499984375358153E-4</v>
      </c>
      <c r="K7" s="21">
        <f t="shared" si="1"/>
        <v>52.000056249929685</v>
      </c>
      <c r="L7" s="21" t="e">
        <f ca="1">IF(A7="","",IF(K7=_xludf.MAXIFS($K$5:$K$40,$A$5:$A$40,A7),"VOITTAJA",""))</f>
        <v>#NAME?</v>
      </c>
      <c r="M7" s="21" t="e">
        <f t="shared" ca="1" si="2"/>
        <v>#NAME?</v>
      </c>
      <c r="N7" s="20"/>
    </row>
    <row r="8" spans="1:14">
      <c r="A8" s="20"/>
      <c r="B8" s="20"/>
      <c r="C8" s="20"/>
      <c r="D8" s="26"/>
      <c r="E8" s="20"/>
      <c r="F8" s="20"/>
      <c r="G8" s="27"/>
      <c r="H8" s="20"/>
      <c r="I8" s="20"/>
      <c r="J8" s="21" t="str">
        <f t="shared" si="0"/>
        <v/>
      </c>
      <c r="K8" s="21" t="str">
        <f t="shared" si="1"/>
        <v/>
      </c>
      <c r="L8" s="21" t="str">
        <f>IF(A8="","",IF(K8=_xludf.MAXIFS($K$5:$K$40,$A$5:$A$40,A8),"VOITTAJA",""))</f>
        <v/>
      </c>
      <c r="M8" s="21" t="str">
        <f t="shared" si="2"/>
        <v/>
      </c>
      <c r="N8" s="20"/>
    </row>
    <row r="9" spans="1:14">
      <c r="A9" s="20"/>
      <c r="B9" s="20"/>
      <c r="C9" s="20"/>
      <c r="D9" s="26"/>
      <c r="E9" s="20"/>
      <c r="F9" s="20"/>
      <c r="G9" s="27"/>
      <c r="H9" s="20"/>
      <c r="I9" s="20"/>
      <c r="J9" s="21" t="str">
        <f t="shared" si="0"/>
        <v/>
      </c>
      <c r="K9" s="21" t="str">
        <f t="shared" si="1"/>
        <v/>
      </c>
      <c r="L9" s="21" t="str">
        <f>IF(A9="","",IF(K9=_xludf.MAXIFS($K$5:$K$40,$A$5:$A$40,A9),"VOITTAJA",""))</f>
        <v/>
      </c>
      <c r="M9" s="21" t="str">
        <f t="shared" si="2"/>
        <v/>
      </c>
      <c r="N9" s="20"/>
    </row>
    <row r="10" spans="1:14">
      <c r="A10" s="20"/>
      <c r="B10" s="20"/>
      <c r="C10" s="20"/>
      <c r="D10" s="26"/>
      <c r="E10" s="20"/>
      <c r="F10" s="20"/>
      <c r="G10" s="27"/>
      <c r="H10" s="20"/>
      <c r="I10" s="20"/>
      <c r="J10" s="21" t="str">
        <f t="shared" si="0"/>
        <v/>
      </c>
      <c r="K10" s="21" t="str">
        <f t="shared" si="1"/>
        <v/>
      </c>
      <c r="L10" s="21" t="str">
        <f>IF(A10="","",IF(K10=_xludf.MAXIFS($K$5:$K$40,$A$5:$A$40,A10),"VOITTAJA",""))</f>
        <v/>
      </c>
      <c r="M10" s="21" t="str">
        <f t="shared" si="2"/>
        <v/>
      </c>
      <c r="N10" s="20"/>
    </row>
    <row r="11" spans="1:14">
      <c r="A11" s="20"/>
      <c r="B11" s="20"/>
      <c r="C11" s="20"/>
      <c r="D11" s="26"/>
      <c r="E11" s="20"/>
      <c r="F11" s="20"/>
      <c r="G11" s="27"/>
      <c r="H11" s="20"/>
      <c r="I11" s="20"/>
      <c r="J11" s="21" t="str">
        <f t="shared" si="0"/>
        <v/>
      </c>
      <c r="K11" s="21" t="str">
        <f t="shared" si="1"/>
        <v/>
      </c>
      <c r="L11" s="21" t="str">
        <f>IF(A11="","",IF(K11=_xludf.MAXIFS($K$5:$K$40,$A$5:$A$40,A11),"VOITTAJA",""))</f>
        <v/>
      </c>
      <c r="M11" s="21" t="str">
        <f t="shared" si="2"/>
        <v/>
      </c>
      <c r="N11" s="20"/>
    </row>
    <row r="12" spans="1:14">
      <c r="A12" s="20"/>
      <c r="B12" s="20"/>
      <c r="C12" s="20"/>
      <c r="D12" s="26"/>
      <c r="E12" s="20"/>
      <c r="F12" s="20"/>
      <c r="G12" s="27"/>
      <c r="H12" s="20"/>
      <c r="I12" s="20"/>
      <c r="J12" s="21" t="str">
        <f t="shared" si="0"/>
        <v/>
      </c>
      <c r="K12" s="21" t="str">
        <f t="shared" si="1"/>
        <v/>
      </c>
      <c r="L12" s="21" t="str">
        <f>IF(A12="","",IF(K12=_xludf.MAXIFS($K$5:$K$40,$A$5:$A$40,A12),"VOITTAJA",""))</f>
        <v/>
      </c>
      <c r="M12" s="21" t="str">
        <f t="shared" si="2"/>
        <v/>
      </c>
      <c r="N12" s="20"/>
    </row>
    <row r="13" spans="1:14">
      <c r="A13" s="20"/>
      <c r="B13" s="20"/>
      <c r="C13" s="20"/>
      <c r="D13" s="26"/>
      <c r="E13" s="20"/>
      <c r="F13" s="20"/>
      <c r="G13" s="27"/>
      <c r="H13" s="20"/>
      <c r="I13" s="20"/>
      <c r="J13" s="21" t="str">
        <f t="shared" si="0"/>
        <v/>
      </c>
      <c r="K13" s="21" t="str">
        <f t="shared" si="1"/>
        <v/>
      </c>
      <c r="L13" s="21" t="str">
        <f>IF(A13="","",IF(K13=_xludf.MAXIFS($K$5:$K$40,$A$5:$A$40,A13),"VOITTAJA",""))</f>
        <v/>
      </c>
      <c r="M13" s="21" t="str">
        <f t="shared" si="2"/>
        <v/>
      </c>
      <c r="N13" s="20"/>
    </row>
    <row r="14" spans="1:14">
      <c r="A14" s="20"/>
      <c r="B14" s="20"/>
      <c r="C14" s="20"/>
      <c r="D14" s="26"/>
      <c r="E14" s="20"/>
      <c r="F14" s="20"/>
      <c r="G14" s="27"/>
      <c r="H14" s="20"/>
      <c r="I14" s="20"/>
      <c r="J14" s="21" t="str">
        <f t="shared" si="0"/>
        <v/>
      </c>
      <c r="K14" s="21" t="str">
        <f t="shared" si="1"/>
        <v/>
      </c>
      <c r="L14" s="21" t="str">
        <f>IF(A14="","",IF(K14=_xludf.MAXIFS($K$5:$K$40,$A$5:$A$40,A14),"VOITTAJA",""))</f>
        <v/>
      </c>
      <c r="M14" s="21" t="str">
        <f t="shared" si="2"/>
        <v/>
      </c>
      <c r="N14" s="20"/>
    </row>
    <row r="15" spans="1:14">
      <c r="A15" s="20"/>
      <c r="B15" s="20"/>
      <c r="C15" s="20"/>
      <c r="D15" s="26"/>
      <c r="E15" s="20"/>
      <c r="F15" s="20"/>
      <c r="G15" s="27"/>
      <c r="H15" s="20"/>
      <c r="I15" s="20"/>
      <c r="J15" s="21" t="str">
        <f t="shared" si="0"/>
        <v/>
      </c>
      <c r="K15" s="21" t="str">
        <f t="shared" si="1"/>
        <v/>
      </c>
      <c r="L15" s="21" t="str">
        <f>IF(A15="","",IF(K15=_xludf.MAXIFS($K$5:$K$40,$A$5:$A$40,A15),"VOITTAJA",""))</f>
        <v/>
      </c>
      <c r="M15" s="21" t="str">
        <f t="shared" si="2"/>
        <v/>
      </c>
      <c r="N15" s="20"/>
    </row>
    <row r="16" spans="1:14">
      <c r="A16" s="20"/>
      <c r="B16" s="20"/>
      <c r="C16" s="20"/>
      <c r="D16" s="26"/>
      <c r="E16" s="20"/>
      <c r="F16" s="20"/>
      <c r="G16" s="27"/>
      <c r="H16" s="20"/>
      <c r="I16" s="20"/>
      <c r="J16" s="21" t="str">
        <f t="shared" si="0"/>
        <v/>
      </c>
      <c r="K16" s="21" t="str">
        <f t="shared" si="1"/>
        <v/>
      </c>
      <c r="L16" s="21" t="str">
        <f>IF(A16="","",IF(K16=_xludf.MAXIFS($K$5:$K$40,$A$5:$A$40,A16),"VOITTAJA",""))</f>
        <v/>
      </c>
      <c r="M16" s="21" t="str">
        <f t="shared" si="2"/>
        <v/>
      </c>
      <c r="N16" s="20"/>
    </row>
    <row r="17" spans="1:14">
      <c r="A17" s="20"/>
      <c r="B17" s="20"/>
      <c r="C17" s="20"/>
      <c r="D17" s="26"/>
      <c r="E17" s="20"/>
      <c r="F17" s="20"/>
      <c r="G17" s="27"/>
      <c r="H17" s="20"/>
      <c r="I17" s="20"/>
      <c r="J17" s="21" t="str">
        <f t="shared" si="0"/>
        <v/>
      </c>
      <c r="K17" s="21" t="str">
        <f t="shared" si="1"/>
        <v/>
      </c>
      <c r="L17" s="21" t="str">
        <f>IF(A17="","",IF(K17=_xludf.MAXIFS($K$5:$K$40,$A$5:$A$40,A17),"VOITTAJA",""))</f>
        <v/>
      </c>
      <c r="M17" s="21" t="str">
        <f t="shared" si="2"/>
        <v/>
      </c>
      <c r="N17" s="20"/>
    </row>
    <row r="18" spans="1:14">
      <c r="A18" s="20"/>
      <c r="B18" s="20"/>
      <c r="C18" s="20"/>
      <c r="D18" s="26"/>
      <c r="E18" s="20"/>
      <c r="F18" s="20"/>
      <c r="G18" s="27"/>
      <c r="H18" s="20"/>
      <c r="I18" s="20"/>
      <c r="J18" s="21" t="str">
        <f t="shared" si="0"/>
        <v/>
      </c>
      <c r="K18" s="21" t="str">
        <f t="shared" si="1"/>
        <v/>
      </c>
      <c r="L18" s="21" t="str">
        <f>IF(A18="","",IF(K18=_xludf.MAXIFS($K$5:$K$40,$A$5:$A$40,A18),"VOITTAJA",""))</f>
        <v/>
      </c>
      <c r="M18" s="21" t="str">
        <f t="shared" si="2"/>
        <v/>
      </c>
      <c r="N18" s="20"/>
    </row>
    <row r="19" spans="1:14">
      <c r="A19" s="20"/>
      <c r="B19" s="20"/>
      <c r="C19" s="20"/>
      <c r="D19" s="26"/>
      <c r="E19" s="20"/>
      <c r="F19" s="20"/>
      <c r="G19" s="27"/>
      <c r="H19" s="20"/>
      <c r="I19" s="20"/>
      <c r="J19" s="21" t="str">
        <f t="shared" si="0"/>
        <v/>
      </c>
      <c r="K19" s="21" t="str">
        <f t="shared" si="1"/>
        <v/>
      </c>
      <c r="L19" s="21" t="str">
        <f>IF(A19="","",IF(K19=_xludf.MAXIFS($K$5:$K$40,$A$5:$A$40,A19),"VOITTAJA",""))</f>
        <v/>
      </c>
      <c r="M19" s="21" t="str">
        <f t="shared" si="2"/>
        <v/>
      </c>
      <c r="N19" s="20"/>
    </row>
    <row r="20" spans="1:14">
      <c r="A20" s="20"/>
      <c r="B20" s="20"/>
      <c r="C20" s="20"/>
      <c r="D20" s="26"/>
      <c r="E20" s="20"/>
      <c r="F20" s="20"/>
      <c r="G20" s="27"/>
      <c r="H20" s="20"/>
      <c r="I20" s="20"/>
      <c r="J20" s="21" t="str">
        <f t="shared" si="0"/>
        <v/>
      </c>
      <c r="K20" s="21" t="str">
        <f t="shared" si="1"/>
        <v/>
      </c>
      <c r="L20" s="21" t="str">
        <f>IF(A20="","",IF(K20=_xludf.MAXIFS($K$5:$K$40,$A$5:$A$40,A20),"VOITTAJA",""))</f>
        <v/>
      </c>
      <c r="M20" s="21" t="str">
        <f t="shared" si="2"/>
        <v/>
      </c>
      <c r="N20" s="20"/>
    </row>
    <row r="21" spans="1:14">
      <c r="A21" s="20"/>
      <c r="B21" s="20"/>
      <c r="C21" s="20"/>
      <c r="D21" s="26"/>
      <c r="E21" s="20"/>
      <c r="F21" s="20"/>
      <c r="G21" s="27"/>
      <c r="H21" s="20"/>
      <c r="I21" s="20"/>
      <c r="J21" s="21" t="str">
        <f t="shared" si="0"/>
        <v/>
      </c>
      <c r="K21" s="21" t="str">
        <f t="shared" si="1"/>
        <v/>
      </c>
      <c r="L21" s="21" t="str">
        <f>IF(A21="","",IF(K21=_xludf.MAXIFS($K$5:$K$40,$A$5:$A$40,A21),"VOITTAJA",""))</f>
        <v/>
      </c>
      <c r="M21" s="21" t="str">
        <f t="shared" si="2"/>
        <v/>
      </c>
      <c r="N21" s="20"/>
    </row>
    <row r="22" spans="1:14">
      <c r="A22" s="20"/>
      <c r="B22" s="20"/>
      <c r="C22" s="20"/>
      <c r="D22" s="26"/>
      <c r="E22" s="20"/>
      <c r="F22" s="20"/>
      <c r="G22" s="27"/>
      <c r="H22" s="20"/>
      <c r="I22" s="20"/>
      <c r="J22" s="21" t="str">
        <f t="shared" si="0"/>
        <v/>
      </c>
      <c r="K22" s="21" t="str">
        <f t="shared" si="1"/>
        <v/>
      </c>
      <c r="L22" s="21" t="str">
        <f>IF(A22="","",IF(K22=_xludf.MAXIFS($K$5:$K$40,$A$5:$A$40,A22),"VOITTAJA",""))</f>
        <v/>
      </c>
      <c r="M22" s="21" t="str">
        <f t="shared" si="2"/>
        <v/>
      </c>
      <c r="N22" s="20"/>
    </row>
    <row r="23" spans="1:14">
      <c r="A23" s="20"/>
      <c r="B23" s="20"/>
      <c r="C23" s="20"/>
      <c r="D23" s="26"/>
      <c r="E23" s="20"/>
      <c r="F23" s="20"/>
      <c r="G23" s="27"/>
      <c r="H23" s="20"/>
      <c r="I23" s="20"/>
      <c r="J23" s="21" t="str">
        <f t="shared" si="0"/>
        <v/>
      </c>
      <c r="K23" s="21" t="str">
        <f t="shared" si="1"/>
        <v/>
      </c>
      <c r="L23" s="21" t="str">
        <f>IF(A23="","",IF(K23=_xludf.MAXIFS($K$5:$K$40,$A$5:$A$40,A23),"VOITTAJA",""))</f>
        <v/>
      </c>
      <c r="M23" s="21" t="str">
        <f t="shared" si="2"/>
        <v/>
      </c>
      <c r="N23" s="20"/>
    </row>
    <row r="24" spans="1:14">
      <c r="A24" s="20"/>
      <c r="B24" s="20"/>
      <c r="C24" s="20"/>
      <c r="D24" s="26"/>
      <c r="E24" s="20"/>
      <c r="F24" s="20"/>
      <c r="G24" s="27"/>
      <c r="H24" s="20"/>
      <c r="I24" s="20"/>
      <c r="J24" s="21" t="str">
        <f t="shared" si="0"/>
        <v/>
      </c>
      <c r="K24" s="21" t="str">
        <f t="shared" si="1"/>
        <v/>
      </c>
      <c r="L24" s="21" t="str">
        <f>IF(A24="","",IF(K24=_xludf.MAXIFS($K$5:$K$40,$A$5:$A$40,A24),"VOITTAJA",""))</f>
        <v/>
      </c>
      <c r="M24" s="21" t="str">
        <f t="shared" si="2"/>
        <v/>
      </c>
      <c r="N24" s="20"/>
    </row>
    <row r="25" spans="1:14">
      <c r="A25" s="20"/>
      <c r="B25" s="20"/>
      <c r="C25" s="20"/>
      <c r="D25" s="26"/>
      <c r="E25" s="20"/>
      <c r="F25" s="20"/>
      <c r="G25" s="27"/>
      <c r="H25" s="20"/>
      <c r="I25" s="20"/>
      <c r="J25" s="21" t="str">
        <f t="shared" si="0"/>
        <v/>
      </c>
      <c r="K25" s="21" t="str">
        <f t="shared" si="1"/>
        <v/>
      </c>
      <c r="L25" s="21" t="str">
        <f>IF(A25="","",IF(K25=_xludf.MAXIFS($K$5:$K$40,$A$5:$A$40,A25),"VOITTAJA",""))</f>
        <v/>
      </c>
      <c r="M25" s="21" t="str">
        <f t="shared" si="2"/>
        <v/>
      </c>
      <c r="N25" s="20"/>
    </row>
    <row r="26" spans="1:14">
      <c r="A26" s="20"/>
      <c r="B26" s="20"/>
      <c r="C26" s="20"/>
      <c r="D26" s="26"/>
      <c r="E26" s="20"/>
      <c r="F26" s="20"/>
      <c r="G26" s="27"/>
      <c r="H26" s="20"/>
      <c r="I26" s="20"/>
      <c r="J26" s="21" t="str">
        <f t="shared" si="0"/>
        <v/>
      </c>
      <c r="K26" s="21" t="str">
        <f t="shared" si="1"/>
        <v/>
      </c>
      <c r="L26" s="21" t="str">
        <f>IF(A26="","",IF(K26=_xludf.MAXIFS($K$5:$K$40,$A$5:$A$40,A26),"VOITTAJA",""))</f>
        <v/>
      </c>
      <c r="M26" s="21" t="str">
        <f t="shared" si="2"/>
        <v/>
      </c>
      <c r="N26" s="20"/>
    </row>
    <row r="27" spans="1:14">
      <c r="A27" s="20"/>
      <c r="B27" s="20"/>
      <c r="C27" s="20"/>
      <c r="D27" s="26"/>
      <c r="E27" s="20"/>
      <c r="F27" s="20"/>
      <c r="G27" s="27"/>
      <c r="H27" s="20"/>
      <c r="I27" s="20"/>
      <c r="J27" s="21" t="str">
        <f t="shared" si="0"/>
        <v/>
      </c>
      <c r="K27" s="21" t="str">
        <f t="shared" si="1"/>
        <v/>
      </c>
      <c r="L27" s="21" t="str">
        <f>IF(A27="","",IF(K27=_xludf.MAXIFS($K$5:$K$40,$A$5:$A$40,A27),"VOITTAJA",""))</f>
        <v/>
      </c>
      <c r="M27" s="21" t="str">
        <f t="shared" si="2"/>
        <v/>
      </c>
      <c r="N27" s="20"/>
    </row>
    <row r="28" spans="1:14">
      <c r="A28" s="20"/>
      <c r="B28" s="20"/>
      <c r="C28" s="20"/>
      <c r="D28" s="26"/>
      <c r="E28" s="20"/>
      <c r="F28" s="20"/>
      <c r="G28" s="27"/>
      <c r="H28" s="20"/>
      <c r="I28" s="20"/>
      <c r="J28" s="21" t="str">
        <f t="shared" si="0"/>
        <v/>
      </c>
      <c r="K28" s="21" t="str">
        <f t="shared" si="1"/>
        <v/>
      </c>
      <c r="L28" s="21" t="str">
        <f>IF(A28="","",IF(K28=_xludf.MAXIFS($K$5:$K$40,$A$5:$A$40,A28),"VOITTAJA",""))</f>
        <v/>
      </c>
      <c r="M28" s="21" t="str">
        <f t="shared" si="2"/>
        <v/>
      </c>
      <c r="N28" s="20"/>
    </row>
    <row r="29" spans="1:14">
      <c r="A29" s="20"/>
      <c r="B29" s="20"/>
      <c r="C29" s="20"/>
      <c r="D29" s="26"/>
      <c r="E29" s="20"/>
      <c r="F29" s="20"/>
      <c r="G29" s="27"/>
      <c r="H29" s="20"/>
      <c r="I29" s="20"/>
      <c r="J29" s="21" t="str">
        <f t="shared" si="0"/>
        <v/>
      </c>
      <c r="K29" s="21" t="str">
        <f t="shared" si="1"/>
        <v/>
      </c>
      <c r="L29" s="21" t="str">
        <f>IF(A29="","",IF(K29=_xludf.MAXIFS($K$5:$K$40,$A$5:$A$40,A29),"VOITTAJA",""))</f>
        <v/>
      </c>
      <c r="M29" s="21" t="str">
        <f t="shared" si="2"/>
        <v/>
      </c>
      <c r="N29" s="20"/>
    </row>
    <row r="30" spans="1:14">
      <c r="A30" s="20"/>
      <c r="B30" s="20"/>
      <c r="C30" s="20"/>
      <c r="D30" s="26"/>
      <c r="E30" s="20"/>
      <c r="F30" s="20"/>
      <c r="G30" s="27"/>
      <c r="H30" s="20"/>
      <c r="I30" s="20"/>
      <c r="J30" s="21" t="str">
        <f t="shared" si="0"/>
        <v/>
      </c>
      <c r="K30" s="21" t="str">
        <f t="shared" si="1"/>
        <v/>
      </c>
      <c r="L30" s="21" t="str">
        <f>IF(A30="","",IF(K30=_xludf.MAXIFS($K$5:$K$40,$A$5:$A$40,A30),"VOITTAJA",""))</f>
        <v/>
      </c>
      <c r="M30" s="21" t="str">
        <f t="shared" si="2"/>
        <v/>
      </c>
      <c r="N30" s="20"/>
    </row>
    <row r="31" spans="1:14">
      <c r="A31" s="20"/>
      <c r="B31" s="20"/>
      <c r="C31" s="20"/>
      <c r="D31" s="26"/>
      <c r="E31" s="20"/>
      <c r="F31" s="20"/>
      <c r="G31" s="27"/>
      <c r="H31" s="20"/>
      <c r="I31" s="20"/>
      <c r="J31" s="21" t="str">
        <f t="shared" si="0"/>
        <v/>
      </c>
      <c r="K31" s="21" t="str">
        <f t="shared" si="1"/>
        <v/>
      </c>
      <c r="L31" s="21" t="str">
        <f>IF(A31="","",IF(K31=_xludf.MAXIFS($K$5:$K$40,$A$5:$A$40,A31),"VOITTAJA",""))</f>
        <v/>
      </c>
      <c r="M31" s="21" t="str">
        <f t="shared" si="2"/>
        <v/>
      </c>
      <c r="N31" s="20"/>
    </row>
    <row r="32" spans="1:14">
      <c r="A32" s="20"/>
      <c r="B32" s="20"/>
      <c r="C32" s="20"/>
      <c r="D32" s="26"/>
      <c r="E32" s="20"/>
      <c r="F32" s="20"/>
      <c r="G32" s="27"/>
      <c r="H32" s="20"/>
      <c r="I32" s="20"/>
      <c r="J32" s="21" t="str">
        <f t="shared" si="0"/>
        <v/>
      </c>
      <c r="K32" s="21" t="str">
        <f t="shared" si="1"/>
        <v/>
      </c>
      <c r="L32" s="21" t="str">
        <f>IF(A32="","",IF(K32=_xludf.MAXIFS($K$5:$K$40,$A$5:$A$40,A32),"VOITTAJA",""))</f>
        <v/>
      </c>
      <c r="M32" s="21" t="str">
        <f t="shared" si="2"/>
        <v/>
      </c>
      <c r="N32" s="20"/>
    </row>
    <row r="33" spans="1:14">
      <c r="A33" s="20"/>
      <c r="B33" s="20"/>
      <c r="C33" s="20"/>
      <c r="D33" s="26"/>
      <c r="E33" s="20"/>
      <c r="F33" s="20"/>
      <c r="G33" s="27"/>
      <c r="H33" s="20"/>
      <c r="I33" s="20"/>
      <c r="J33" s="21" t="str">
        <f t="shared" si="0"/>
        <v/>
      </c>
      <c r="K33" s="21" t="str">
        <f t="shared" si="1"/>
        <v/>
      </c>
      <c r="L33" s="21" t="str">
        <f>IF(A33="","",IF(K33=_xludf.MAXIFS($K$5:$K$40,$A$5:$A$40,A33),"VOITTAJA",""))</f>
        <v/>
      </c>
      <c r="M33" s="21" t="str">
        <f t="shared" si="2"/>
        <v/>
      </c>
      <c r="N33" s="20"/>
    </row>
    <row r="34" spans="1:14">
      <c r="A34" s="20"/>
      <c r="B34" s="20"/>
      <c r="C34" s="20"/>
      <c r="D34" s="26"/>
      <c r="E34" s="20"/>
      <c r="F34" s="20"/>
      <c r="G34" s="27"/>
      <c r="H34" s="20"/>
      <c r="I34" s="20"/>
      <c r="J34" s="21" t="str">
        <f t="shared" si="0"/>
        <v/>
      </c>
      <c r="K34" s="21" t="str">
        <f t="shared" si="1"/>
        <v/>
      </c>
      <c r="L34" s="21" t="str">
        <f>IF(A34="","",IF(K34=_xludf.MAXIFS($K$5:$K$40,$A$5:$A$40,A34),"VOITTAJA",""))</f>
        <v/>
      </c>
      <c r="M34" s="21" t="str">
        <f t="shared" si="2"/>
        <v/>
      </c>
      <c r="N34" s="20"/>
    </row>
    <row r="35" spans="1:14">
      <c r="A35" s="20"/>
      <c r="B35" s="20"/>
      <c r="C35" s="20"/>
      <c r="D35" s="26"/>
      <c r="E35" s="20"/>
      <c r="F35" s="20"/>
      <c r="G35" s="27"/>
      <c r="H35" s="20"/>
      <c r="I35" s="20"/>
      <c r="J35" s="21" t="str">
        <f t="shared" si="0"/>
        <v/>
      </c>
      <c r="K35" s="21" t="str">
        <f t="shared" si="1"/>
        <v/>
      </c>
      <c r="L35" s="21" t="str">
        <f>IF(A35="","",IF(K35=_xludf.MAXIFS($K$5:$K$40,$A$5:$A$40,A35),"VOITTAJA",""))</f>
        <v/>
      </c>
      <c r="M35" s="21" t="str">
        <f t="shared" si="2"/>
        <v/>
      </c>
      <c r="N35" s="20"/>
    </row>
    <row r="36" spans="1:14">
      <c r="A36" s="20"/>
      <c r="B36" s="20"/>
      <c r="C36" s="20"/>
      <c r="D36" s="26"/>
      <c r="E36" s="20"/>
      <c r="F36" s="20"/>
      <c r="G36" s="27"/>
      <c r="H36" s="20"/>
      <c r="I36" s="20"/>
      <c r="J36" s="21" t="str">
        <f t="shared" si="0"/>
        <v/>
      </c>
      <c r="K36" s="21" t="str">
        <f t="shared" si="1"/>
        <v/>
      </c>
      <c r="L36" s="21" t="str">
        <f>IF(A36="","",IF(K36=_xludf.MAXIFS($K$5:$K$40,$A$5:$A$40,A36),"VOITTAJA",""))</f>
        <v/>
      </c>
      <c r="M36" s="21" t="str">
        <f t="shared" si="2"/>
        <v/>
      </c>
      <c r="N36" s="20"/>
    </row>
    <row r="37" spans="1:14">
      <c r="A37" s="20"/>
      <c r="B37" s="20"/>
      <c r="C37" s="20"/>
      <c r="D37" s="26"/>
      <c r="E37" s="20"/>
      <c r="F37" s="20"/>
      <c r="G37" s="27"/>
      <c r="H37" s="20"/>
      <c r="I37" s="20"/>
      <c r="J37" s="21" t="str">
        <f t="shared" si="0"/>
        <v/>
      </c>
      <c r="K37" s="21" t="str">
        <f t="shared" si="1"/>
        <v/>
      </c>
      <c r="L37" s="21" t="str">
        <f>IF(A37="","",IF(K37=_xludf.MAXIFS($K$5:$K$40,$A$5:$A$40,A37),"VOITTAJA",""))</f>
        <v/>
      </c>
      <c r="M37" s="21" t="str">
        <f t="shared" si="2"/>
        <v/>
      </c>
      <c r="N37" s="20"/>
    </row>
    <row r="38" spans="1:14">
      <c r="A38" s="20"/>
      <c r="B38" s="20"/>
      <c r="C38" s="20"/>
      <c r="D38" s="26"/>
      <c r="E38" s="20"/>
      <c r="F38" s="20"/>
      <c r="G38" s="27"/>
      <c r="H38" s="20"/>
      <c r="I38" s="20"/>
      <c r="J38" s="21" t="str">
        <f t="shared" si="0"/>
        <v/>
      </c>
      <c r="K38" s="21" t="str">
        <f t="shared" si="1"/>
        <v/>
      </c>
      <c r="L38" s="21" t="str">
        <f>IF(A38="","",IF(K38=_xludf.MAXIFS($K$5:$K$40,$A$5:$A$40,A38),"VOITTAJA",""))</f>
        <v/>
      </c>
      <c r="M38" s="21" t="str">
        <f t="shared" si="2"/>
        <v/>
      </c>
      <c r="N38" s="20"/>
    </row>
    <row r="39" spans="1:14">
      <c r="A39" s="20"/>
      <c r="B39" s="20"/>
      <c r="C39" s="20"/>
      <c r="D39" s="26"/>
      <c r="E39" s="20"/>
      <c r="F39" s="20"/>
      <c r="G39" s="27"/>
      <c r="H39" s="20"/>
      <c r="I39" s="20"/>
      <c r="J39" s="21" t="str">
        <f t="shared" si="0"/>
        <v/>
      </c>
      <c r="K39" s="21" t="str">
        <f t="shared" si="1"/>
        <v/>
      </c>
      <c r="L39" s="21" t="str">
        <f>IF(A39="","",IF(K39=_xludf.MAXIFS($K$5:$K$40,$A$5:$A$40,A39),"VOITTAJA",""))</f>
        <v/>
      </c>
      <c r="M39" s="21" t="str">
        <f t="shared" si="2"/>
        <v/>
      </c>
      <c r="N39" s="20"/>
    </row>
    <row r="40" spans="1:14">
      <c r="A40" s="20"/>
      <c r="B40" s="20"/>
      <c r="C40" s="20"/>
      <c r="D40" s="26"/>
      <c r="E40" s="20"/>
      <c r="F40" s="20"/>
      <c r="G40" s="27"/>
      <c r="H40" s="20"/>
      <c r="I40" s="20"/>
      <c r="J40" s="21" t="str">
        <f t="shared" si="0"/>
        <v/>
      </c>
      <c r="K40" s="21" t="str">
        <f t="shared" si="1"/>
        <v/>
      </c>
      <c r="L40" s="21" t="str">
        <f>IF(A40="","",IF(K40=_xludf.MAXIFS($K$5:$K$40,$A$5:$A$40,A40),"VOITTAJA",""))</f>
        <v/>
      </c>
      <c r="M40" s="21" t="str">
        <f t="shared" si="2"/>
        <v/>
      </c>
      <c r="N40" s="20"/>
    </row>
    <row r="41" spans="1:14">
      <c r="A41" s="20"/>
      <c r="B41" s="20"/>
      <c r="C41" s="20"/>
      <c r="D41" s="26"/>
      <c r="E41" s="20"/>
      <c r="F41" s="20"/>
      <c r="G41" s="27"/>
      <c r="H41" s="20"/>
      <c r="I41" s="20"/>
      <c r="J41" s="21"/>
      <c r="K41" s="21"/>
      <c r="L41" s="21"/>
      <c r="M41" s="21"/>
      <c r="N41" s="20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41"/>
  <sheetViews>
    <sheetView workbookViewId="0"/>
  </sheetViews>
  <sheetFormatPr defaultRowHeight="13.8"/>
  <cols>
    <col min="1" max="1" width="14" customWidth="1"/>
    <col min="2" max="13" width="18" customWidth="1"/>
    <col min="14" max="14" width="24" customWidth="1"/>
  </cols>
  <sheetData>
    <row r="1" spans="1:14">
      <c r="A1" s="65" t="s">
        <v>382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383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 ht="27.6">
      <c r="A4" s="19" t="s">
        <v>257</v>
      </c>
      <c r="B4" s="19" t="s">
        <v>384</v>
      </c>
      <c r="C4" s="19" t="s">
        <v>385</v>
      </c>
      <c r="D4" s="19" t="s">
        <v>386</v>
      </c>
      <c r="E4" s="19" t="s">
        <v>387</v>
      </c>
      <c r="F4" s="19" t="s">
        <v>388</v>
      </c>
      <c r="G4" s="19" t="s">
        <v>389</v>
      </c>
      <c r="H4" s="19" t="s">
        <v>390</v>
      </c>
      <c r="I4" s="19" t="s">
        <v>391</v>
      </c>
      <c r="J4" s="19" t="s">
        <v>392</v>
      </c>
      <c r="K4" s="19" t="s">
        <v>123</v>
      </c>
      <c r="L4" s="19" t="s">
        <v>343</v>
      </c>
      <c r="M4" s="19" t="s">
        <v>358</v>
      </c>
      <c r="N4" s="19" t="s">
        <v>5</v>
      </c>
    </row>
    <row r="5" spans="1:14">
      <c r="A5" s="23">
        <v>46147</v>
      </c>
      <c r="B5" s="20" t="s">
        <v>393</v>
      </c>
      <c r="C5" s="20">
        <v>18</v>
      </c>
      <c r="D5" s="20">
        <v>16</v>
      </c>
      <c r="E5" s="20">
        <v>14</v>
      </c>
      <c r="F5" s="20">
        <v>15</v>
      </c>
      <c r="G5" s="20">
        <v>14</v>
      </c>
      <c r="H5" s="22">
        <f t="shared" ref="H5:H40" si="0">IF(D5=0,"",E5/D5)</f>
        <v>0.875</v>
      </c>
      <c r="I5" s="21">
        <f t="shared" ref="I5:I40" si="1">IF(A5="","",MAX(0,E5-D5))</f>
        <v>0</v>
      </c>
      <c r="J5" s="21">
        <f t="shared" ref="J5:J40" si="2">IF(A5="","",MAX(0,G5-F5))</f>
        <v>0</v>
      </c>
      <c r="K5" s="21" t="str">
        <f t="shared" ref="K5:K40" si="3">IF(A5="","",IF(OR(I5&gt;0,J5&gt;0),"Vajaus",IF(H5&gt;0.9,"Täysi","OK")))</f>
        <v>OK</v>
      </c>
      <c r="L5" s="21" t="str">
        <f t="shared" ref="L5:L40" si="4">IF(K5="Vajaus","Hae lisäkapasiteettia",IF(K5="Täysi","Seuraa varauksia","OK"))</f>
        <v>OK</v>
      </c>
      <c r="M5" s="20" t="s">
        <v>365</v>
      </c>
      <c r="N5" s="20"/>
    </row>
    <row r="6" spans="1:14">
      <c r="A6" s="23">
        <v>46148</v>
      </c>
      <c r="B6" s="20" t="s">
        <v>393</v>
      </c>
      <c r="C6" s="20">
        <v>24</v>
      </c>
      <c r="D6" s="20">
        <v>16</v>
      </c>
      <c r="E6" s="20">
        <v>18</v>
      </c>
      <c r="F6" s="20">
        <v>15</v>
      </c>
      <c r="G6" s="20">
        <v>17</v>
      </c>
      <c r="H6" s="22">
        <f t="shared" si="0"/>
        <v>1.125</v>
      </c>
      <c r="I6" s="21">
        <f t="shared" si="1"/>
        <v>2</v>
      </c>
      <c r="J6" s="21">
        <f t="shared" si="2"/>
        <v>2</v>
      </c>
      <c r="K6" s="21" t="str">
        <f t="shared" si="3"/>
        <v>Vajaus</v>
      </c>
      <c r="L6" s="21" t="str">
        <f t="shared" si="4"/>
        <v>Hae lisäkapasiteettia</v>
      </c>
      <c r="M6" s="20" t="s">
        <v>365</v>
      </c>
      <c r="N6" s="20"/>
    </row>
    <row r="7" spans="1:14">
      <c r="A7" s="23">
        <v>46149</v>
      </c>
      <c r="B7" s="20" t="s">
        <v>394</v>
      </c>
      <c r="C7" s="20">
        <v>14</v>
      </c>
      <c r="D7" s="20">
        <v>10</v>
      </c>
      <c r="E7" s="20">
        <v>9</v>
      </c>
      <c r="F7" s="20">
        <v>10</v>
      </c>
      <c r="G7" s="20">
        <v>8</v>
      </c>
      <c r="H7" s="22">
        <f t="shared" si="0"/>
        <v>0.9</v>
      </c>
      <c r="I7" s="21">
        <f t="shared" si="1"/>
        <v>0</v>
      </c>
      <c r="J7" s="21">
        <f t="shared" si="2"/>
        <v>0</v>
      </c>
      <c r="K7" s="21" t="str">
        <f t="shared" si="3"/>
        <v>OK</v>
      </c>
      <c r="L7" s="21" t="str">
        <f t="shared" si="4"/>
        <v>OK</v>
      </c>
      <c r="M7" s="20" t="s">
        <v>365</v>
      </c>
      <c r="N7" s="20"/>
    </row>
    <row r="8" spans="1:14">
      <c r="A8" s="23">
        <v>46150</v>
      </c>
      <c r="B8" s="20" t="s">
        <v>395</v>
      </c>
      <c r="C8" s="20">
        <v>10</v>
      </c>
      <c r="D8" s="20">
        <v>7</v>
      </c>
      <c r="E8" s="20">
        <v>8</v>
      </c>
      <c r="F8" s="20">
        <v>7</v>
      </c>
      <c r="G8" s="20">
        <v>8</v>
      </c>
      <c r="H8" s="22">
        <f t="shared" si="0"/>
        <v>1.1428571428571428</v>
      </c>
      <c r="I8" s="21">
        <f t="shared" si="1"/>
        <v>1</v>
      </c>
      <c r="J8" s="21">
        <f t="shared" si="2"/>
        <v>1</v>
      </c>
      <c r="K8" s="21" t="str">
        <f t="shared" si="3"/>
        <v>Vajaus</v>
      </c>
      <c r="L8" s="21" t="str">
        <f t="shared" si="4"/>
        <v>Hae lisäkapasiteettia</v>
      </c>
      <c r="M8" s="20" t="s">
        <v>365</v>
      </c>
      <c r="N8" s="20"/>
    </row>
    <row r="9" spans="1:14">
      <c r="A9" s="23"/>
      <c r="B9" s="20"/>
      <c r="C9" s="20"/>
      <c r="D9" s="20"/>
      <c r="E9" s="20"/>
      <c r="F9" s="20"/>
      <c r="G9" s="20"/>
      <c r="H9" s="22" t="str">
        <f t="shared" si="0"/>
        <v/>
      </c>
      <c r="I9" s="21" t="str">
        <f t="shared" si="1"/>
        <v/>
      </c>
      <c r="J9" s="21" t="str">
        <f t="shared" si="2"/>
        <v/>
      </c>
      <c r="K9" s="21" t="str">
        <f t="shared" si="3"/>
        <v/>
      </c>
      <c r="L9" s="21" t="str">
        <f t="shared" si="4"/>
        <v>OK</v>
      </c>
      <c r="M9" s="20"/>
      <c r="N9" s="20"/>
    </row>
    <row r="10" spans="1:14">
      <c r="A10" s="23"/>
      <c r="B10" s="20"/>
      <c r="C10" s="20"/>
      <c r="D10" s="20"/>
      <c r="E10" s="20"/>
      <c r="F10" s="20"/>
      <c r="G10" s="20"/>
      <c r="H10" s="22" t="str">
        <f t="shared" si="0"/>
        <v/>
      </c>
      <c r="I10" s="21" t="str">
        <f t="shared" si="1"/>
        <v/>
      </c>
      <c r="J10" s="21" t="str">
        <f t="shared" si="2"/>
        <v/>
      </c>
      <c r="K10" s="21" t="str">
        <f t="shared" si="3"/>
        <v/>
      </c>
      <c r="L10" s="21" t="str">
        <f t="shared" si="4"/>
        <v>OK</v>
      </c>
      <c r="M10" s="20"/>
      <c r="N10" s="20"/>
    </row>
    <row r="11" spans="1:14">
      <c r="A11" s="23"/>
      <c r="B11" s="20"/>
      <c r="C11" s="20"/>
      <c r="D11" s="20"/>
      <c r="E11" s="20"/>
      <c r="F11" s="20"/>
      <c r="G11" s="20"/>
      <c r="H11" s="22" t="str">
        <f t="shared" si="0"/>
        <v/>
      </c>
      <c r="I11" s="21" t="str">
        <f t="shared" si="1"/>
        <v/>
      </c>
      <c r="J11" s="21" t="str">
        <f t="shared" si="2"/>
        <v/>
      </c>
      <c r="K11" s="21" t="str">
        <f t="shared" si="3"/>
        <v/>
      </c>
      <c r="L11" s="21" t="str">
        <f t="shared" si="4"/>
        <v>OK</v>
      </c>
      <c r="M11" s="20"/>
      <c r="N11" s="20"/>
    </row>
    <row r="12" spans="1:14">
      <c r="A12" s="23"/>
      <c r="B12" s="20"/>
      <c r="C12" s="20"/>
      <c r="D12" s="20"/>
      <c r="E12" s="20"/>
      <c r="F12" s="20"/>
      <c r="G12" s="20"/>
      <c r="H12" s="22" t="str">
        <f t="shared" si="0"/>
        <v/>
      </c>
      <c r="I12" s="21" t="str">
        <f t="shared" si="1"/>
        <v/>
      </c>
      <c r="J12" s="21" t="str">
        <f t="shared" si="2"/>
        <v/>
      </c>
      <c r="K12" s="21" t="str">
        <f t="shared" si="3"/>
        <v/>
      </c>
      <c r="L12" s="21" t="str">
        <f t="shared" si="4"/>
        <v>OK</v>
      </c>
      <c r="M12" s="20"/>
      <c r="N12" s="20"/>
    </row>
    <row r="13" spans="1:14">
      <c r="A13" s="23"/>
      <c r="B13" s="20"/>
      <c r="C13" s="20"/>
      <c r="D13" s="20"/>
      <c r="E13" s="20"/>
      <c r="F13" s="20"/>
      <c r="G13" s="20"/>
      <c r="H13" s="22" t="str">
        <f t="shared" si="0"/>
        <v/>
      </c>
      <c r="I13" s="21" t="str">
        <f t="shared" si="1"/>
        <v/>
      </c>
      <c r="J13" s="21" t="str">
        <f t="shared" si="2"/>
        <v/>
      </c>
      <c r="K13" s="21" t="str">
        <f t="shared" si="3"/>
        <v/>
      </c>
      <c r="L13" s="21" t="str">
        <f t="shared" si="4"/>
        <v>OK</v>
      </c>
      <c r="M13" s="20"/>
      <c r="N13" s="20"/>
    </row>
    <row r="14" spans="1:14">
      <c r="A14" s="23"/>
      <c r="B14" s="20"/>
      <c r="C14" s="20"/>
      <c r="D14" s="20"/>
      <c r="E14" s="20"/>
      <c r="F14" s="20"/>
      <c r="G14" s="20"/>
      <c r="H14" s="22" t="str">
        <f t="shared" si="0"/>
        <v/>
      </c>
      <c r="I14" s="21" t="str">
        <f t="shared" si="1"/>
        <v/>
      </c>
      <c r="J14" s="21" t="str">
        <f t="shared" si="2"/>
        <v/>
      </c>
      <c r="K14" s="21" t="str">
        <f t="shared" si="3"/>
        <v/>
      </c>
      <c r="L14" s="21" t="str">
        <f t="shared" si="4"/>
        <v>OK</v>
      </c>
      <c r="M14" s="20"/>
      <c r="N14" s="20"/>
    </row>
    <row r="15" spans="1:14">
      <c r="A15" s="23"/>
      <c r="B15" s="20"/>
      <c r="C15" s="20"/>
      <c r="D15" s="20"/>
      <c r="E15" s="20"/>
      <c r="F15" s="20"/>
      <c r="G15" s="20"/>
      <c r="H15" s="22" t="str">
        <f t="shared" si="0"/>
        <v/>
      </c>
      <c r="I15" s="21" t="str">
        <f t="shared" si="1"/>
        <v/>
      </c>
      <c r="J15" s="21" t="str">
        <f t="shared" si="2"/>
        <v/>
      </c>
      <c r="K15" s="21" t="str">
        <f t="shared" si="3"/>
        <v/>
      </c>
      <c r="L15" s="21" t="str">
        <f t="shared" si="4"/>
        <v>OK</v>
      </c>
      <c r="M15" s="20"/>
      <c r="N15" s="20"/>
    </row>
    <row r="16" spans="1:14">
      <c r="A16" s="23"/>
      <c r="B16" s="20"/>
      <c r="C16" s="20"/>
      <c r="D16" s="20"/>
      <c r="E16" s="20"/>
      <c r="F16" s="20"/>
      <c r="G16" s="20"/>
      <c r="H16" s="22" t="str">
        <f t="shared" si="0"/>
        <v/>
      </c>
      <c r="I16" s="21" t="str">
        <f t="shared" si="1"/>
        <v/>
      </c>
      <c r="J16" s="21" t="str">
        <f t="shared" si="2"/>
        <v/>
      </c>
      <c r="K16" s="21" t="str">
        <f t="shared" si="3"/>
        <v/>
      </c>
      <c r="L16" s="21" t="str">
        <f t="shared" si="4"/>
        <v>OK</v>
      </c>
      <c r="M16" s="20"/>
      <c r="N16" s="20"/>
    </row>
    <row r="17" spans="1:14">
      <c r="A17" s="23"/>
      <c r="B17" s="20"/>
      <c r="C17" s="20"/>
      <c r="D17" s="20"/>
      <c r="E17" s="20"/>
      <c r="F17" s="20"/>
      <c r="G17" s="20"/>
      <c r="H17" s="22" t="str">
        <f t="shared" si="0"/>
        <v/>
      </c>
      <c r="I17" s="21" t="str">
        <f t="shared" si="1"/>
        <v/>
      </c>
      <c r="J17" s="21" t="str">
        <f t="shared" si="2"/>
        <v/>
      </c>
      <c r="K17" s="21" t="str">
        <f t="shared" si="3"/>
        <v/>
      </c>
      <c r="L17" s="21" t="str">
        <f t="shared" si="4"/>
        <v>OK</v>
      </c>
      <c r="M17" s="20"/>
      <c r="N17" s="20"/>
    </row>
    <row r="18" spans="1:14">
      <c r="A18" s="23"/>
      <c r="B18" s="20"/>
      <c r="C18" s="20"/>
      <c r="D18" s="20"/>
      <c r="E18" s="20"/>
      <c r="F18" s="20"/>
      <c r="G18" s="20"/>
      <c r="H18" s="22" t="str">
        <f t="shared" si="0"/>
        <v/>
      </c>
      <c r="I18" s="21" t="str">
        <f t="shared" si="1"/>
        <v/>
      </c>
      <c r="J18" s="21" t="str">
        <f t="shared" si="2"/>
        <v/>
      </c>
      <c r="K18" s="21" t="str">
        <f t="shared" si="3"/>
        <v/>
      </c>
      <c r="L18" s="21" t="str">
        <f t="shared" si="4"/>
        <v>OK</v>
      </c>
      <c r="M18" s="20"/>
      <c r="N18" s="20"/>
    </row>
    <row r="19" spans="1:14">
      <c r="A19" s="23"/>
      <c r="B19" s="20"/>
      <c r="C19" s="20"/>
      <c r="D19" s="20"/>
      <c r="E19" s="20"/>
      <c r="F19" s="20"/>
      <c r="G19" s="20"/>
      <c r="H19" s="22" t="str">
        <f t="shared" si="0"/>
        <v/>
      </c>
      <c r="I19" s="21" t="str">
        <f t="shared" si="1"/>
        <v/>
      </c>
      <c r="J19" s="21" t="str">
        <f t="shared" si="2"/>
        <v/>
      </c>
      <c r="K19" s="21" t="str">
        <f t="shared" si="3"/>
        <v/>
      </c>
      <c r="L19" s="21" t="str">
        <f t="shared" si="4"/>
        <v>OK</v>
      </c>
      <c r="M19" s="20"/>
      <c r="N19" s="20"/>
    </row>
    <row r="20" spans="1:14">
      <c r="A20" s="23"/>
      <c r="B20" s="20"/>
      <c r="C20" s="20"/>
      <c r="D20" s="20"/>
      <c r="E20" s="20"/>
      <c r="F20" s="20"/>
      <c r="G20" s="20"/>
      <c r="H20" s="22" t="str">
        <f t="shared" si="0"/>
        <v/>
      </c>
      <c r="I20" s="21" t="str">
        <f t="shared" si="1"/>
        <v/>
      </c>
      <c r="J20" s="21" t="str">
        <f t="shared" si="2"/>
        <v/>
      </c>
      <c r="K20" s="21" t="str">
        <f t="shared" si="3"/>
        <v/>
      </c>
      <c r="L20" s="21" t="str">
        <f t="shared" si="4"/>
        <v>OK</v>
      </c>
      <c r="M20" s="20"/>
      <c r="N20" s="20"/>
    </row>
    <row r="21" spans="1:14">
      <c r="A21" s="23"/>
      <c r="B21" s="20"/>
      <c r="C21" s="20"/>
      <c r="D21" s="20"/>
      <c r="E21" s="20"/>
      <c r="F21" s="20"/>
      <c r="G21" s="20"/>
      <c r="H21" s="22" t="str">
        <f t="shared" si="0"/>
        <v/>
      </c>
      <c r="I21" s="21" t="str">
        <f t="shared" si="1"/>
        <v/>
      </c>
      <c r="J21" s="21" t="str">
        <f t="shared" si="2"/>
        <v/>
      </c>
      <c r="K21" s="21" t="str">
        <f t="shared" si="3"/>
        <v/>
      </c>
      <c r="L21" s="21" t="str">
        <f t="shared" si="4"/>
        <v>OK</v>
      </c>
      <c r="M21" s="20"/>
      <c r="N21" s="20"/>
    </row>
    <row r="22" spans="1:14">
      <c r="A22" s="23"/>
      <c r="B22" s="20"/>
      <c r="C22" s="20"/>
      <c r="D22" s="20"/>
      <c r="E22" s="20"/>
      <c r="F22" s="20"/>
      <c r="G22" s="20"/>
      <c r="H22" s="22" t="str">
        <f t="shared" si="0"/>
        <v/>
      </c>
      <c r="I22" s="21" t="str">
        <f t="shared" si="1"/>
        <v/>
      </c>
      <c r="J22" s="21" t="str">
        <f t="shared" si="2"/>
        <v/>
      </c>
      <c r="K22" s="21" t="str">
        <f t="shared" si="3"/>
        <v/>
      </c>
      <c r="L22" s="21" t="str">
        <f t="shared" si="4"/>
        <v>OK</v>
      </c>
      <c r="M22" s="20"/>
      <c r="N22" s="20"/>
    </row>
    <row r="23" spans="1:14">
      <c r="A23" s="23"/>
      <c r="B23" s="20"/>
      <c r="C23" s="20"/>
      <c r="D23" s="20"/>
      <c r="E23" s="20"/>
      <c r="F23" s="20"/>
      <c r="G23" s="20"/>
      <c r="H23" s="22" t="str">
        <f t="shared" si="0"/>
        <v/>
      </c>
      <c r="I23" s="21" t="str">
        <f t="shared" si="1"/>
        <v/>
      </c>
      <c r="J23" s="21" t="str">
        <f t="shared" si="2"/>
        <v/>
      </c>
      <c r="K23" s="21" t="str">
        <f t="shared" si="3"/>
        <v/>
      </c>
      <c r="L23" s="21" t="str">
        <f t="shared" si="4"/>
        <v>OK</v>
      </c>
      <c r="M23" s="20"/>
      <c r="N23" s="20"/>
    </row>
    <row r="24" spans="1:14">
      <c r="A24" s="23"/>
      <c r="B24" s="20"/>
      <c r="C24" s="20"/>
      <c r="D24" s="20"/>
      <c r="E24" s="20"/>
      <c r="F24" s="20"/>
      <c r="G24" s="20"/>
      <c r="H24" s="22" t="str">
        <f t="shared" si="0"/>
        <v/>
      </c>
      <c r="I24" s="21" t="str">
        <f t="shared" si="1"/>
        <v/>
      </c>
      <c r="J24" s="21" t="str">
        <f t="shared" si="2"/>
        <v/>
      </c>
      <c r="K24" s="21" t="str">
        <f t="shared" si="3"/>
        <v/>
      </c>
      <c r="L24" s="21" t="str">
        <f t="shared" si="4"/>
        <v>OK</v>
      </c>
      <c r="M24" s="20"/>
      <c r="N24" s="20"/>
    </row>
    <row r="25" spans="1:14">
      <c r="A25" s="23"/>
      <c r="B25" s="20"/>
      <c r="C25" s="20"/>
      <c r="D25" s="20"/>
      <c r="E25" s="20"/>
      <c r="F25" s="20"/>
      <c r="G25" s="20"/>
      <c r="H25" s="22" t="str">
        <f t="shared" si="0"/>
        <v/>
      </c>
      <c r="I25" s="21" t="str">
        <f t="shared" si="1"/>
        <v/>
      </c>
      <c r="J25" s="21" t="str">
        <f t="shared" si="2"/>
        <v/>
      </c>
      <c r="K25" s="21" t="str">
        <f t="shared" si="3"/>
        <v/>
      </c>
      <c r="L25" s="21" t="str">
        <f t="shared" si="4"/>
        <v>OK</v>
      </c>
      <c r="M25" s="20"/>
      <c r="N25" s="20"/>
    </row>
    <row r="26" spans="1:14">
      <c r="A26" s="23"/>
      <c r="B26" s="20"/>
      <c r="C26" s="20"/>
      <c r="D26" s="20"/>
      <c r="E26" s="20"/>
      <c r="F26" s="20"/>
      <c r="G26" s="20"/>
      <c r="H26" s="22" t="str">
        <f t="shared" si="0"/>
        <v/>
      </c>
      <c r="I26" s="21" t="str">
        <f t="shared" si="1"/>
        <v/>
      </c>
      <c r="J26" s="21" t="str">
        <f t="shared" si="2"/>
        <v/>
      </c>
      <c r="K26" s="21" t="str">
        <f t="shared" si="3"/>
        <v/>
      </c>
      <c r="L26" s="21" t="str">
        <f t="shared" si="4"/>
        <v>OK</v>
      </c>
      <c r="M26" s="20"/>
      <c r="N26" s="20"/>
    </row>
    <row r="27" spans="1:14">
      <c r="A27" s="23"/>
      <c r="B27" s="20"/>
      <c r="C27" s="20"/>
      <c r="D27" s="20"/>
      <c r="E27" s="20"/>
      <c r="F27" s="20"/>
      <c r="G27" s="20"/>
      <c r="H27" s="22" t="str">
        <f t="shared" si="0"/>
        <v/>
      </c>
      <c r="I27" s="21" t="str">
        <f t="shared" si="1"/>
        <v/>
      </c>
      <c r="J27" s="21" t="str">
        <f t="shared" si="2"/>
        <v/>
      </c>
      <c r="K27" s="21" t="str">
        <f t="shared" si="3"/>
        <v/>
      </c>
      <c r="L27" s="21" t="str">
        <f t="shared" si="4"/>
        <v>OK</v>
      </c>
      <c r="M27" s="20"/>
      <c r="N27" s="20"/>
    </row>
    <row r="28" spans="1:14">
      <c r="A28" s="23"/>
      <c r="B28" s="20"/>
      <c r="C28" s="20"/>
      <c r="D28" s="20"/>
      <c r="E28" s="20"/>
      <c r="F28" s="20"/>
      <c r="G28" s="20"/>
      <c r="H28" s="22" t="str">
        <f t="shared" si="0"/>
        <v/>
      </c>
      <c r="I28" s="21" t="str">
        <f t="shared" si="1"/>
        <v/>
      </c>
      <c r="J28" s="21" t="str">
        <f t="shared" si="2"/>
        <v/>
      </c>
      <c r="K28" s="21" t="str">
        <f t="shared" si="3"/>
        <v/>
      </c>
      <c r="L28" s="21" t="str">
        <f t="shared" si="4"/>
        <v>OK</v>
      </c>
      <c r="M28" s="20"/>
      <c r="N28" s="20"/>
    </row>
    <row r="29" spans="1:14">
      <c r="A29" s="23"/>
      <c r="B29" s="20"/>
      <c r="C29" s="20"/>
      <c r="D29" s="20"/>
      <c r="E29" s="20"/>
      <c r="F29" s="20"/>
      <c r="G29" s="20"/>
      <c r="H29" s="22" t="str">
        <f t="shared" si="0"/>
        <v/>
      </c>
      <c r="I29" s="21" t="str">
        <f t="shared" si="1"/>
        <v/>
      </c>
      <c r="J29" s="21" t="str">
        <f t="shared" si="2"/>
        <v/>
      </c>
      <c r="K29" s="21" t="str">
        <f t="shared" si="3"/>
        <v/>
      </c>
      <c r="L29" s="21" t="str">
        <f t="shared" si="4"/>
        <v>OK</v>
      </c>
      <c r="M29" s="20"/>
      <c r="N29" s="20"/>
    </row>
    <row r="30" spans="1:14">
      <c r="A30" s="23"/>
      <c r="B30" s="20"/>
      <c r="C30" s="20"/>
      <c r="D30" s="20"/>
      <c r="E30" s="20"/>
      <c r="F30" s="20"/>
      <c r="G30" s="20"/>
      <c r="H30" s="22" t="str">
        <f t="shared" si="0"/>
        <v/>
      </c>
      <c r="I30" s="21" t="str">
        <f t="shared" si="1"/>
        <v/>
      </c>
      <c r="J30" s="21" t="str">
        <f t="shared" si="2"/>
        <v/>
      </c>
      <c r="K30" s="21" t="str">
        <f t="shared" si="3"/>
        <v/>
      </c>
      <c r="L30" s="21" t="str">
        <f t="shared" si="4"/>
        <v>OK</v>
      </c>
      <c r="M30" s="20"/>
      <c r="N30" s="20"/>
    </row>
    <row r="31" spans="1:14">
      <c r="A31" s="23"/>
      <c r="B31" s="20"/>
      <c r="C31" s="20"/>
      <c r="D31" s="20"/>
      <c r="E31" s="20"/>
      <c r="F31" s="20"/>
      <c r="G31" s="20"/>
      <c r="H31" s="22" t="str">
        <f t="shared" si="0"/>
        <v/>
      </c>
      <c r="I31" s="21" t="str">
        <f t="shared" si="1"/>
        <v/>
      </c>
      <c r="J31" s="21" t="str">
        <f t="shared" si="2"/>
        <v/>
      </c>
      <c r="K31" s="21" t="str">
        <f t="shared" si="3"/>
        <v/>
      </c>
      <c r="L31" s="21" t="str">
        <f t="shared" si="4"/>
        <v>OK</v>
      </c>
      <c r="M31" s="20"/>
      <c r="N31" s="20"/>
    </row>
    <row r="32" spans="1:14">
      <c r="A32" s="23"/>
      <c r="B32" s="20"/>
      <c r="C32" s="20"/>
      <c r="D32" s="20"/>
      <c r="E32" s="20"/>
      <c r="F32" s="20"/>
      <c r="G32" s="20"/>
      <c r="H32" s="22" t="str">
        <f t="shared" si="0"/>
        <v/>
      </c>
      <c r="I32" s="21" t="str">
        <f t="shared" si="1"/>
        <v/>
      </c>
      <c r="J32" s="21" t="str">
        <f t="shared" si="2"/>
        <v/>
      </c>
      <c r="K32" s="21" t="str">
        <f t="shared" si="3"/>
        <v/>
      </c>
      <c r="L32" s="21" t="str">
        <f t="shared" si="4"/>
        <v>OK</v>
      </c>
      <c r="M32" s="20"/>
      <c r="N32" s="20"/>
    </row>
    <row r="33" spans="1:14">
      <c r="A33" s="23"/>
      <c r="B33" s="20"/>
      <c r="C33" s="20"/>
      <c r="D33" s="20"/>
      <c r="E33" s="20"/>
      <c r="F33" s="20"/>
      <c r="G33" s="20"/>
      <c r="H33" s="22" t="str">
        <f t="shared" si="0"/>
        <v/>
      </c>
      <c r="I33" s="21" t="str">
        <f t="shared" si="1"/>
        <v/>
      </c>
      <c r="J33" s="21" t="str">
        <f t="shared" si="2"/>
        <v/>
      </c>
      <c r="K33" s="21" t="str">
        <f t="shared" si="3"/>
        <v/>
      </c>
      <c r="L33" s="21" t="str">
        <f t="shared" si="4"/>
        <v>OK</v>
      </c>
      <c r="M33" s="20"/>
      <c r="N33" s="20"/>
    </row>
    <row r="34" spans="1:14">
      <c r="A34" s="23"/>
      <c r="B34" s="20"/>
      <c r="C34" s="20"/>
      <c r="D34" s="20"/>
      <c r="E34" s="20"/>
      <c r="F34" s="20"/>
      <c r="G34" s="20"/>
      <c r="H34" s="22" t="str">
        <f t="shared" si="0"/>
        <v/>
      </c>
      <c r="I34" s="21" t="str">
        <f t="shared" si="1"/>
        <v/>
      </c>
      <c r="J34" s="21" t="str">
        <f t="shared" si="2"/>
        <v/>
      </c>
      <c r="K34" s="21" t="str">
        <f t="shared" si="3"/>
        <v/>
      </c>
      <c r="L34" s="21" t="str">
        <f t="shared" si="4"/>
        <v>OK</v>
      </c>
      <c r="M34" s="20"/>
      <c r="N34" s="20"/>
    </row>
    <row r="35" spans="1:14">
      <c r="A35" s="23"/>
      <c r="B35" s="20"/>
      <c r="C35" s="20"/>
      <c r="D35" s="20"/>
      <c r="E35" s="20"/>
      <c r="F35" s="20"/>
      <c r="G35" s="20"/>
      <c r="H35" s="22" t="str">
        <f t="shared" si="0"/>
        <v/>
      </c>
      <c r="I35" s="21" t="str">
        <f t="shared" si="1"/>
        <v/>
      </c>
      <c r="J35" s="21" t="str">
        <f t="shared" si="2"/>
        <v/>
      </c>
      <c r="K35" s="21" t="str">
        <f t="shared" si="3"/>
        <v/>
      </c>
      <c r="L35" s="21" t="str">
        <f t="shared" si="4"/>
        <v>OK</v>
      </c>
      <c r="M35" s="20"/>
      <c r="N35" s="20"/>
    </row>
    <row r="36" spans="1:14">
      <c r="A36" s="23"/>
      <c r="B36" s="20"/>
      <c r="C36" s="20"/>
      <c r="D36" s="20"/>
      <c r="E36" s="20"/>
      <c r="F36" s="20"/>
      <c r="G36" s="20"/>
      <c r="H36" s="22" t="str">
        <f t="shared" si="0"/>
        <v/>
      </c>
      <c r="I36" s="21" t="str">
        <f t="shared" si="1"/>
        <v/>
      </c>
      <c r="J36" s="21" t="str">
        <f t="shared" si="2"/>
        <v/>
      </c>
      <c r="K36" s="21" t="str">
        <f t="shared" si="3"/>
        <v/>
      </c>
      <c r="L36" s="21" t="str">
        <f t="shared" si="4"/>
        <v>OK</v>
      </c>
      <c r="M36" s="20"/>
      <c r="N36" s="20"/>
    </row>
    <row r="37" spans="1:14">
      <c r="A37" s="23"/>
      <c r="B37" s="20"/>
      <c r="C37" s="20"/>
      <c r="D37" s="20"/>
      <c r="E37" s="20"/>
      <c r="F37" s="20"/>
      <c r="G37" s="20"/>
      <c r="H37" s="22" t="str">
        <f t="shared" si="0"/>
        <v/>
      </c>
      <c r="I37" s="21" t="str">
        <f t="shared" si="1"/>
        <v/>
      </c>
      <c r="J37" s="21" t="str">
        <f t="shared" si="2"/>
        <v/>
      </c>
      <c r="K37" s="21" t="str">
        <f t="shared" si="3"/>
        <v/>
      </c>
      <c r="L37" s="21" t="str">
        <f t="shared" si="4"/>
        <v>OK</v>
      </c>
      <c r="M37" s="20"/>
      <c r="N37" s="20"/>
    </row>
    <row r="38" spans="1:14">
      <c r="A38" s="23"/>
      <c r="B38" s="20"/>
      <c r="C38" s="20"/>
      <c r="D38" s="20"/>
      <c r="E38" s="20"/>
      <c r="F38" s="20"/>
      <c r="G38" s="20"/>
      <c r="H38" s="22" t="str">
        <f t="shared" si="0"/>
        <v/>
      </c>
      <c r="I38" s="21" t="str">
        <f t="shared" si="1"/>
        <v/>
      </c>
      <c r="J38" s="21" t="str">
        <f t="shared" si="2"/>
        <v/>
      </c>
      <c r="K38" s="21" t="str">
        <f t="shared" si="3"/>
        <v/>
      </c>
      <c r="L38" s="21" t="str">
        <f t="shared" si="4"/>
        <v>OK</v>
      </c>
      <c r="M38" s="20"/>
      <c r="N38" s="20"/>
    </row>
    <row r="39" spans="1:14">
      <c r="A39" s="23"/>
      <c r="B39" s="20"/>
      <c r="C39" s="20"/>
      <c r="D39" s="20"/>
      <c r="E39" s="20"/>
      <c r="F39" s="20"/>
      <c r="G39" s="20"/>
      <c r="H39" s="22" t="str">
        <f t="shared" si="0"/>
        <v/>
      </c>
      <c r="I39" s="21" t="str">
        <f t="shared" si="1"/>
        <v/>
      </c>
      <c r="J39" s="21" t="str">
        <f t="shared" si="2"/>
        <v/>
      </c>
      <c r="K39" s="21" t="str">
        <f t="shared" si="3"/>
        <v/>
      </c>
      <c r="L39" s="21" t="str">
        <f t="shared" si="4"/>
        <v>OK</v>
      </c>
      <c r="M39" s="20"/>
      <c r="N39" s="20"/>
    </row>
    <row r="40" spans="1:14">
      <c r="A40" s="23"/>
      <c r="B40" s="20"/>
      <c r="C40" s="20"/>
      <c r="D40" s="20"/>
      <c r="E40" s="20"/>
      <c r="F40" s="20"/>
      <c r="G40" s="20"/>
      <c r="H40" s="22" t="str">
        <f t="shared" si="0"/>
        <v/>
      </c>
      <c r="I40" s="21" t="str">
        <f t="shared" si="1"/>
        <v/>
      </c>
      <c r="J40" s="21" t="str">
        <f t="shared" si="2"/>
        <v/>
      </c>
      <c r="K40" s="21" t="str">
        <f t="shared" si="3"/>
        <v/>
      </c>
      <c r="L40" s="21" t="str">
        <f t="shared" si="4"/>
        <v>OK</v>
      </c>
      <c r="M40" s="20"/>
      <c r="N40" s="20"/>
    </row>
    <row r="41" spans="1:14">
      <c r="A41" s="23"/>
      <c r="B41" s="20"/>
      <c r="C41" s="20"/>
      <c r="D41" s="20"/>
      <c r="E41" s="20"/>
      <c r="F41" s="20"/>
      <c r="G41" s="20"/>
      <c r="H41" s="22"/>
      <c r="I41" s="21"/>
      <c r="J41" s="21"/>
      <c r="K41" s="21"/>
      <c r="L41" s="21"/>
      <c r="M41" s="20"/>
      <c r="N41" s="20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21"/>
  <sheetViews>
    <sheetView workbookViewId="0"/>
  </sheetViews>
  <sheetFormatPr defaultRowHeight="13.8"/>
  <cols>
    <col min="1" max="1" width="20" customWidth="1"/>
    <col min="2" max="3" width="22" customWidth="1"/>
    <col min="4" max="7" width="16" customWidth="1"/>
    <col min="8" max="12" width="18" customWidth="1"/>
    <col min="13" max="13" width="20" customWidth="1"/>
    <col min="14" max="14" width="24" customWidth="1"/>
  </cols>
  <sheetData>
    <row r="1" spans="1:14">
      <c r="A1" s="65" t="s">
        <v>396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397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19" t="s">
        <v>68</v>
      </c>
      <c r="B4" s="19" t="s">
        <v>398</v>
      </c>
      <c r="C4" s="19" t="s">
        <v>399</v>
      </c>
      <c r="D4" s="19" t="s">
        <v>70</v>
      </c>
      <c r="E4" s="19" t="s">
        <v>11</v>
      </c>
      <c r="F4" s="19" t="s">
        <v>356</v>
      </c>
      <c r="G4" s="19" t="s">
        <v>400</v>
      </c>
      <c r="H4" s="19" t="s">
        <v>120</v>
      </c>
      <c r="I4" s="19" t="s">
        <v>401</v>
      </c>
      <c r="J4" s="19" t="s">
        <v>15</v>
      </c>
      <c r="K4" s="19" t="s">
        <v>402</v>
      </c>
      <c r="L4" s="19" t="s">
        <v>403</v>
      </c>
      <c r="M4" s="19" t="s">
        <v>313</v>
      </c>
      <c r="N4" s="19" t="s">
        <v>5</v>
      </c>
    </row>
    <row r="5" spans="1:14">
      <c r="A5" s="20" t="s">
        <v>404</v>
      </c>
      <c r="B5" s="20" t="s">
        <v>49</v>
      </c>
      <c r="C5" s="20" t="s">
        <v>50</v>
      </c>
      <c r="D5" s="20">
        <v>290</v>
      </c>
      <c r="E5" s="20">
        <v>3.9</v>
      </c>
      <c r="F5" s="26">
        <v>700</v>
      </c>
      <c r="G5" s="20">
        <v>260</v>
      </c>
      <c r="H5" s="20">
        <v>2</v>
      </c>
      <c r="I5" s="21">
        <f t="shared" ref="I5:I20" si="0">IF(A5="","",K5*0.3+L5*0.35+M5*0.2+(100-H5*15)*0.15)</f>
        <v>95.5</v>
      </c>
      <c r="J5" s="21" t="str">
        <f t="shared" ref="J5:J20" si="1">IF(A5="","",IF(I5=MAX($I$5:$I$20),"PARAS",""))</f>
        <v>PARAS</v>
      </c>
      <c r="K5" s="21">
        <f t="shared" ref="K5:K20" si="2">IF(A5="","",MAX(0,100*(1-(D5-MIN($D$5:$D$20))/(MAX($D$5:$D$20)-MIN($D$5:$D$20)+0.0001))))</f>
        <v>100</v>
      </c>
      <c r="L5" s="21">
        <f t="shared" ref="L5:L20" si="3">IF(A5="","",MAX(0,100*(1-(F5-MIN($F$5:$F$20))/(MAX($F$5:$F$20)-MIN($F$5:$F$20)+0.0001))))</f>
        <v>100</v>
      </c>
      <c r="M5" s="21">
        <f t="shared" ref="M5:M20" si="4">IF(A5="","",MAX(0,100*(1-(G5-MIN($G$5:$G$20))/(MAX($G$5:$G$20)-MIN($G$5:$G$20)+0.0001))))</f>
        <v>100</v>
      </c>
      <c r="N5" s="20" t="s">
        <v>405</v>
      </c>
    </row>
    <row r="6" spans="1:14">
      <c r="A6" s="20" t="s">
        <v>406</v>
      </c>
      <c r="B6" s="20" t="s">
        <v>49</v>
      </c>
      <c r="C6" s="20" t="s">
        <v>407</v>
      </c>
      <c r="D6" s="20">
        <v>330</v>
      </c>
      <c r="E6" s="20">
        <v>4.4000000000000004</v>
      </c>
      <c r="F6" s="26">
        <v>740</v>
      </c>
      <c r="G6" s="20">
        <v>300</v>
      </c>
      <c r="H6" s="20">
        <v>2</v>
      </c>
      <c r="I6" s="21">
        <f t="shared" si="0"/>
        <v>86.19138199346753</v>
      </c>
      <c r="J6" s="21" t="str">
        <f t="shared" si="1"/>
        <v/>
      </c>
      <c r="K6" s="21">
        <f t="shared" si="2"/>
        <v>87.500003906248779</v>
      </c>
      <c r="L6" s="21">
        <f t="shared" si="3"/>
        <v>92.000001599999678</v>
      </c>
      <c r="M6" s="21">
        <f t="shared" si="4"/>
        <v>86.206901307965069</v>
      </c>
      <c r="N6" s="20" t="s">
        <v>68</v>
      </c>
    </row>
    <row r="7" spans="1:14">
      <c r="A7" s="20" t="s">
        <v>408</v>
      </c>
      <c r="B7" s="20" t="s">
        <v>49</v>
      </c>
      <c r="C7" s="20" t="s">
        <v>348</v>
      </c>
      <c r="D7" s="20">
        <v>610</v>
      </c>
      <c r="E7" s="20">
        <v>8.1</v>
      </c>
      <c r="F7" s="26">
        <v>1200</v>
      </c>
      <c r="G7" s="20">
        <v>550</v>
      </c>
      <c r="H7" s="20">
        <v>4</v>
      </c>
      <c r="I7" s="21">
        <f t="shared" si="0"/>
        <v>6.000023271545011</v>
      </c>
      <c r="J7" s="21" t="str">
        <f t="shared" si="1"/>
        <v/>
      </c>
      <c r="K7" s="21">
        <f t="shared" si="2"/>
        <v>3.124999022885433E-5</v>
      </c>
      <c r="L7" s="21">
        <f t="shared" si="3"/>
        <v>1.9999995992669994E-5</v>
      </c>
      <c r="M7" s="21">
        <f t="shared" si="4"/>
        <v>3.4482746724684432E-5</v>
      </c>
      <c r="N7" s="20" t="s">
        <v>409</v>
      </c>
    </row>
    <row r="8" spans="1:14">
      <c r="A8" s="20" t="s">
        <v>410</v>
      </c>
      <c r="B8" s="20" t="s">
        <v>63</v>
      </c>
      <c r="C8" s="20" t="s">
        <v>50</v>
      </c>
      <c r="D8" s="20">
        <v>455</v>
      </c>
      <c r="E8" s="20">
        <v>6.1</v>
      </c>
      <c r="F8" s="26">
        <v>950</v>
      </c>
      <c r="G8" s="20">
        <v>410</v>
      </c>
      <c r="H8" s="20">
        <v>3</v>
      </c>
      <c r="I8" s="21">
        <f t="shared" si="0"/>
        <v>49.93643431495596</v>
      </c>
      <c r="J8" s="21" t="str">
        <f t="shared" si="1"/>
        <v/>
      </c>
      <c r="K8" s="21">
        <f t="shared" si="2"/>
        <v>48.43751611327621</v>
      </c>
      <c r="L8" s="21">
        <f t="shared" si="3"/>
        <v>50.000009999997999</v>
      </c>
      <c r="M8" s="21">
        <f t="shared" si="4"/>
        <v>48.275879904868987</v>
      </c>
      <c r="N8" s="20" t="s">
        <v>411</v>
      </c>
    </row>
    <row r="9" spans="1:14">
      <c r="A9" s="20"/>
      <c r="B9" s="20"/>
      <c r="C9" s="20"/>
      <c r="D9" s="20"/>
      <c r="E9" s="20"/>
      <c r="F9" s="26"/>
      <c r="G9" s="20"/>
      <c r="H9" s="20"/>
      <c r="I9" s="21" t="str">
        <f t="shared" si="0"/>
        <v/>
      </c>
      <c r="J9" s="21" t="str">
        <f t="shared" si="1"/>
        <v/>
      </c>
      <c r="K9" s="21" t="str">
        <f t="shared" si="2"/>
        <v/>
      </c>
      <c r="L9" s="21" t="str">
        <f t="shared" si="3"/>
        <v/>
      </c>
      <c r="M9" s="21" t="str">
        <f t="shared" si="4"/>
        <v/>
      </c>
      <c r="N9" s="20"/>
    </row>
    <row r="10" spans="1:14">
      <c r="A10" s="20"/>
      <c r="B10" s="20"/>
      <c r="C10" s="20"/>
      <c r="D10" s="20"/>
      <c r="E10" s="20"/>
      <c r="F10" s="26"/>
      <c r="G10" s="20"/>
      <c r="H10" s="20"/>
      <c r="I10" s="21" t="str">
        <f t="shared" si="0"/>
        <v/>
      </c>
      <c r="J10" s="21" t="str">
        <f t="shared" si="1"/>
        <v/>
      </c>
      <c r="K10" s="21" t="str">
        <f t="shared" si="2"/>
        <v/>
      </c>
      <c r="L10" s="21" t="str">
        <f t="shared" si="3"/>
        <v/>
      </c>
      <c r="M10" s="21" t="str">
        <f t="shared" si="4"/>
        <v/>
      </c>
      <c r="N10" s="20"/>
    </row>
    <row r="11" spans="1:14">
      <c r="A11" s="20"/>
      <c r="B11" s="20"/>
      <c r="C11" s="20"/>
      <c r="D11" s="20"/>
      <c r="E11" s="20"/>
      <c r="F11" s="26"/>
      <c r="G11" s="20"/>
      <c r="H11" s="20"/>
      <c r="I11" s="21" t="str">
        <f t="shared" si="0"/>
        <v/>
      </c>
      <c r="J11" s="21" t="str">
        <f t="shared" si="1"/>
        <v/>
      </c>
      <c r="K11" s="21" t="str">
        <f t="shared" si="2"/>
        <v/>
      </c>
      <c r="L11" s="21" t="str">
        <f t="shared" si="3"/>
        <v/>
      </c>
      <c r="M11" s="21" t="str">
        <f t="shared" si="4"/>
        <v/>
      </c>
      <c r="N11" s="20"/>
    </row>
    <row r="12" spans="1:14">
      <c r="A12" s="20"/>
      <c r="B12" s="20"/>
      <c r="C12" s="20"/>
      <c r="D12" s="20"/>
      <c r="E12" s="20"/>
      <c r="F12" s="26"/>
      <c r="G12" s="20"/>
      <c r="H12" s="20"/>
      <c r="I12" s="21" t="str">
        <f t="shared" si="0"/>
        <v/>
      </c>
      <c r="J12" s="21" t="str">
        <f t="shared" si="1"/>
        <v/>
      </c>
      <c r="K12" s="21" t="str">
        <f t="shared" si="2"/>
        <v/>
      </c>
      <c r="L12" s="21" t="str">
        <f t="shared" si="3"/>
        <v/>
      </c>
      <c r="M12" s="21" t="str">
        <f t="shared" si="4"/>
        <v/>
      </c>
      <c r="N12" s="20"/>
    </row>
    <row r="13" spans="1:14">
      <c r="A13" s="20"/>
      <c r="B13" s="20"/>
      <c r="C13" s="20"/>
      <c r="D13" s="20"/>
      <c r="E13" s="20"/>
      <c r="F13" s="26"/>
      <c r="G13" s="20"/>
      <c r="H13" s="20"/>
      <c r="I13" s="21" t="str">
        <f t="shared" si="0"/>
        <v/>
      </c>
      <c r="J13" s="21" t="str">
        <f t="shared" si="1"/>
        <v/>
      </c>
      <c r="K13" s="21" t="str">
        <f t="shared" si="2"/>
        <v/>
      </c>
      <c r="L13" s="21" t="str">
        <f t="shared" si="3"/>
        <v/>
      </c>
      <c r="M13" s="21" t="str">
        <f t="shared" si="4"/>
        <v/>
      </c>
      <c r="N13" s="20"/>
    </row>
    <row r="14" spans="1:14">
      <c r="A14" s="20"/>
      <c r="B14" s="20"/>
      <c r="C14" s="20"/>
      <c r="D14" s="20"/>
      <c r="E14" s="20"/>
      <c r="F14" s="26"/>
      <c r="G14" s="20"/>
      <c r="H14" s="20"/>
      <c r="I14" s="21" t="str">
        <f t="shared" si="0"/>
        <v/>
      </c>
      <c r="J14" s="21" t="str">
        <f t="shared" si="1"/>
        <v/>
      </c>
      <c r="K14" s="21" t="str">
        <f t="shared" si="2"/>
        <v/>
      </c>
      <c r="L14" s="21" t="str">
        <f t="shared" si="3"/>
        <v/>
      </c>
      <c r="M14" s="21" t="str">
        <f t="shared" si="4"/>
        <v/>
      </c>
      <c r="N14" s="20"/>
    </row>
    <row r="15" spans="1:14">
      <c r="A15" s="20"/>
      <c r="B15" s="20"/>
      <c r="C15" s="20"/>
      <c r="D15" s="20"/>
      <c r="E15" s="20"/>
      <c r="F15" s="26"/>
      <c r="G15" s="20"/>
      <c r="H15" s="20"/>
      <c r="I15" s="21" t="str">
        <f t="shared" si="0"/>
        <v/>
      </c>
      <c r="J15" s="21" t="str">
        <f t="shared" si="1"/>
        <v/>
      </c>
      <c r="K15" s="21" t="str">
        <f t="shared" si="2"/>
        <v/>
      </c>
      <c r="L15" s="21" t="str">
        <f t="shared" si="3"/>
        <v/>
      </c>
      <c r="M15" s="21" t="str">
        <f t="shared" si="4"/>
        <v/>
      </c>
      <c r="N15" s="20"/>
    </row>
    <row r="16" spans="1:14">
      <c r="A16" s="20"/>
      <c r="B16" s="20"/>
      <c r="C16" s="20"/>
      <c r="D16" s="20"/>
      <c r="E16" s="20"/>
      <c r="F16" s="26"/>
      <c r="G16" s="20"/>
      <c r="H16" s="20"/>
      <c r="I16" s="21" t="str">
        <f t="shared" si="0"/>
        <v/>
      </c>
      <c r="J16" s="21" t="str">
        <f t="shared" si="1"/>
        <v/>
      </c>
      <c r="K16" s="21" t="str">
        <f t="shared" si="2"/>
        <v/>
      </c>
      <c r="L16" s="21" t="str">
        <f t="shared" si="3"/>
        <v/>
      </c>
      <c r="M16" s="21" t="str">
        <f t="shared" si="4"/>
        <v/>
      </c>
      <c r="N16" s="20"/>
    </row>
    <row r="17" spans="1:14">
      <c r="A17" s="20"/>
      <c r="B17" s="20"/>
      <c r="C17" s="20"/>
      <c r="D17" s="20"/>
      <c r="E17" s="20"/>
      <c r="F17" s="26"/>
      <c r="G17" s="20"/>
      <c r="H17" s="20"/>
      <c r="I17" s="21" t="str">
        <f t="shared" si="0"/>
        <v/>
      </c>
      <c r="J17" s="21" t="str">
        <f t="shared" si="1"/>
        <v/>
      </c>
      <c r="K17" s="21" t="str">
        <f t="shared" si="2"/>
        <v/>
      </c>
      <c r="L17" s="21" t="str">
        <f t="shared" si="3"/>
        <v/>
      </c>
      <c r="M17" s="21" t="str">
        <f t="shared" si="4"/>
        <v/>
      </c>
      <c r="N17" s="20"/>
    </row>
    <row r="18" spans="1:14">
      <c r="A18" s="20"/>
      <c r="B18" s="20"/>
      <c r="C18" s="20"/>
      <c r="D18" s="20"/>
      <c r="E18" s="20"/>
      <c r="F18" s="26"/>
      <c r="G18" s="20"/>
      <c r="H18" s="20"/>
      <c r="I18" s="21" t="str">
        <f t="shared" si="0"/>
        <v/>
      </c>
      <c r="J18" s="21" t="str">
        <f t="shared" si="1"/>
        <v/>
      </c>
      <c r="K18" s="21" t="str">
        <f t="shared" si="2"/>
        <v/>
      </c>
      <c r="L18" s="21" t="str">
        <f t="shared" si="3"/>
        <v/>
      </c>
      <c r="M18" s="21" t="str">
        <f t="shared" si="4"/>
        <v/>
      </c>
      <c r="N18" s="20"/>
    </row>
    <row r="19" spans="1:14">
      <c r="A19" s="20"/>
      <c r="B19" s="20"/>
      <c r="C19" s="20"/>
      <c r="D19" s="20"/>
      <c r="E19" s="20"/>
      <c r="F19" s="26"/>
      <c r="G19" s="20"/>
      <c r="H19" s="20"/>
      <c r="I19" s="21" t="str">
        <f t="shared" si="0"/>
        <v/>
      </c>
      <c r="J19" s="21" t="str">
        <f t="shared" si="1"/>
        <v/>
      </c>
      <c r="K19" s="21" t="str">
        <f t="shared" si="2"/>
        <v/>
      </c>
      <c r="L19" s="21" t="str">
        <f t="shared" si="3"/>
        <v/>
      </c>
      <c r="M19" s="21" t="str">
        <f t="shared" si="4"/>
        <v/>
      </c>
      <c r="N19" s="20"/>
    </row>
    <row r="20" spans="1:14">
      <c r="A20" s="20"/>
      <c r="B20" s="20"/>
      <c r="C20" s="20"/>
      <c r="D20" s="20"/>
      <c r="E20" s="20"/>
      <c r="F20" s="26"/>
      <c r="G20" s="20"/>
      <c r="H20" s="20"/>
      <c r="I20" s="21" t="str">
        <f t="shared" si="0"/>
        <v/>
      </c>
      <c r="J20" s="21" t="str">
        <f t="shared" si="1"/>
        <v/>
      </c>
      <c r="K20" s="21" t="str">
        <f t="shared" si="2"/>
        <v/>
      </c>
      <c r="L20" s="21" t="str">
        <f t="shared" si="3"/>
        <v/>
      </c>
      <c r="M20" s="21" t="str">
        <f t="shared" si="4"/>
        <v/>
      </c>
      <c r="N20" s="20"/>
    </row>
    <row r="21" spans="1:14">
      <c r="A21" s="20"/>
      <c r="B21" s="20"/>
      <c r="C21" s="20"/>
      <c r="D21" s="20"/>
      <c r="E21" s="20"/>
      <c r="F21" s="26"/>
      <c r="G21" s="20"/>
      <c r="H21" s="20"/>
      <c r="I21" s="21"/>
      <c r="J21" s="21"/>
      <c r="K21" s="21"/>
      <c r="L21" s="21"/>
      <c r="M21" s="21"/>
      <c r="N21" s="20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12"/>
  <sheetViews>
    <sheetView workbookViewId="0"/>
  </sheetViews>
  <sheetFormatPr defaultRowHeight="13.8"/>
  <cols>
    <col min="1" max="1" width="28" customWidth="1"/>
    <col min="2" max="2" width="48" customWidth="1"/>
    <col min="3" max="4" width="22" customWidth="1"/>
    <col min="5" max="5" width="16" customWidth="1"/>
    <col min="6" max="6" width="36" customWidth="1"/>
    <col min="7" max="8" width="12" customWidth="1"/>
  </cols>
  <sheetData>
    <row r="1" spans="1:8">
      <c r="A1" s="65" t="s">
        <v>412</v>
      </c>
      <c r="B1" s="61"/>
      <c r="C1" s="61"/>
      <c r="D1" s="61"/>
      <c r="E1" s="61"/>
      <c r="F1" s="61"/>
      <c r="G1" s="61"/>
      <c r="H1" s="61"/>
    </row>
    <row r="2" spans="1:8">
      <c r="A2" s="60" t="s">
        <v>413</v>
      </c>
      <c r="B2" s="61"/>
      <c r="C2" s="61"/>
      <c r="D2" s="61"/>
      <c r="E2" s="61"/>
      <c r="F2" s="61"/>
      <c r="G2" s="61"/>
      <c r="H2" s="61"/>
    </row>
    <row r="4" spans="1:8">
      <c r="A4" s="19" t="s">
        <v>174</v>
      </c>
      <c r="B4" s="19" t="s">
        <v>175</v>
      </c>
      <c r="C4" s="19" t="s">
        <v>176</v>
      </c>
      <c r="D4" s="19" t="s">
        <v>177</v>
      </c>
      <c r="E4" s="19" t="s">
        <v>123</v>
      </c>
      <c r="F4" s="19" t="s">
        <v>5</v>
      </c>
    </row>
    <row r="5" spans="1:8">
      <c r="A5" t="s">
        <v>178</v>
      </c>
      <c r="B5" t="s">
        <v>414</v>
      </c>
      <c r="C5" t="s">
        <v>246</v>
      </c>
      <c r="D5" t="s">
        <v>181</v>
      </c>
      <c r="E5" t="s">
        <v>182</v>
      </c>
      <c r="F5" t="s">
        <v>183</v>
      </c>
    </row>
    <row r="6" spans="1:8">
      <c r="A6" t="s">
        <v>415</v>
      </c>
      <c r="B6" t="s">
        <v>416</v>
      </c>
      <c r="C6" t="s">
        <v>143</v>
      </c>
      <c r="D6" s="21">
        <f>'TMS Dashboard'!B20</f>
        <v>4</v>
      </c>
      <c r="E6" s="21" t="str">
        <f>IF(D6=4,"OK","TARKISTA")</f>
        <v>OK</v>
      </c>
      <c r="F6" t="s">
        <v>417</v>
      </c>
    </row>
    <row r="7" spans="1:8">
      <c r="A7" t="s">
        <v>214</v>
      </c>
      <c r="B7" t="s">
        <v>418</v>
      </c>
      <c r="C7" t="s">
        <v>419</v>
      </c>
      <c r="D7" s="21" t="str">
        <f>'TMS Consolidation'!M6</f>
        <v>Yhdistä</v>
      </c>
      <c r="E7" s="21" t="str">
        <f>IF(D7="Yhdistä","OK","TARKISTA")</f>
        <v>OK</v>
      </c>
      <c r="F7" t="s">
        <v>420</v>
      </c>
    </row>
    <row r="8" spans="1:8">
      <c r="A8" t="s">
        <v>421</v>
      </c>
      <c r="B8" t="s">
        <v>422</v>
      </c>
      <c r="C8" t="s">
        <v>423</v>
      </c>
      <c r="D8" s="21" t="str">
        <f>'TMS Dynamic Routing'!M6</f>
        <v>Etsi vaihtoehtoinen reitti</v>
      </c>
      <c r="E8" s="21" t="str">
        <f>IF(D8="Etsi vaihtoehtoinen reitti","OK","TARKISTA")</f>
        <v>OK</v>
      </c>
      <c r="F8" t="s">
        <v>424</v>
      </c>
    </row>
    <row r="9" spans="1:8">
      <c r="A9" t="s">
        <v>220</v>
      </c>
      <c r="B9" t="s">
        <v>425</v>
      </c>
      <c r="C9" t="s">
        <v>135</v>
      </c>
      <c r="D9" s="21">
        <f>COUNTIF('TMS Carrier Selection'!L5:L20,"VALITSE")</f>
        <v>1</v>
      </c>
      <c r="E9" s="21" t="str">
        <f>IF(D9=1,"OK","TARKISTA")</f>
        <v>OK</v>
      </c>
      <c r="F9" t="s">
        <v>426</v>
      </c>
    </row>
    <row r="10" spans="1:8">
      <c r="A10" t="s">
        <v>232</v>
      </c>
      <c r="B10" t="s">
        <v>427</v>
      </c>
      <c r="C10" t="s">
        <v>135</v>
      </c>
      <c r="D10" s="21">
        <f ca="1">COUNTIF('TMS Tendering'!L5:L40,"VOITTAJA")</f>
        <v>0</v>
      </c>
      <c r="E10" s="21" t="str">
        <f ca="1">IF(D10&gt;=1,"OK","TARKISTA")</f>
        <v>TARKISTA</v>
      </c>
      <c r="F10" t="s">
        <v>428</v>
      </c>
    </row>
    <row r="11" spans="1:8">
      <c r="A11" t="s">
        <v>429</v>
      </c>
      <c r="B11" t="s">
        <v>430</v>
      </c>
      <c r="C11" t="s">
        <v>431</v>
      </c>
      <c r="D11" s="21" t="str">
        <f>'TMS Capacity'!K6</f>
        <v>Vajaus</v>
      </c>
      <c r="E11" s="21" t="str">
        <f>IF(D11="Vajaus","OK","TARKISTA")</f>
        <v>OK</v>
      </c>
      <c r="F11" t="s">
        <v>432</v>
      </c>
    </row>
    <row r="12" spans="1:8">
      <c r="A12" t="s">
        <v>433</v>
      </c>
      <c r="B12" t="s">
        <v>252</v>
      </c>
      <c r="C12" t="s">
        <v>404</v>
      </c>
      <c r="D12" s="21" t="str">
        <f>'TMS Dashboard'!B24</f>
        <v>N1</v>
      </c>
      <c r="E12" s="21" t="str">
        <f>IF(D12="N1","OK","TARKISTA")</f>
        <v>OK</v>
      </c>
      <c r="F12" t="s">
        <v>401</v>
      </c>
    </row>
  </sheetData>
  <mergeCells count="2">
    <mergeCell ref="A1:H1"/>
    <mergeCell ref="A2:H2"/>
  </mergeCells>
  <conditionalFormatting sqref="E5:E12">
    <cfRule type="expression" dxfId="10" priority="1">
      <formula>E5="OK"</formula>
    </cfRule>
    <cfRule type="expression" dxfId="9" priority="2">
      <formula>E5="TARKISTA"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41"/>
  <sheetViews>
    <sheetView workbookViewId="0"/>
  </sheetViews>
  <sheetFormatPr defaultRowHeight="13.8"/>
  <cols>
    <col min="1" max="1" width="16" customWidth="1"/>
    <col min="2" max="2" width="32" customWidth="1"/>
    <col min="3" max="3" width="18" customWidth="1"/>
    <col min="4" max="8" width="16" customWidth="1"/>
    <col min="9" max="10" width="18" customWidth="1"/>
    <col min="11" max="11" width="16" customWidth="1"/>
    <col min="12" max="13" width="18" customWidth="1"/>
    <col min="14" max="14" width="24" customWidth="1"/>
  </cols>
  <sheetData>
    <row r="1" spans="1:14">
      <c r="A1" s="67" t="s">
        <v>434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435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30" t="s">
        <v>436</v>
      </c>
      <c r="B4" s="30" t="s">
        <v>69</v>
      </c>
      <c r="C4" s="30" t="s">
        <v>298</v>
      </c>
      <c r="D4" s="30" t="s">
        <v>11</v>
      </c>
      <c r="E4" s="30" t="s">
        <v>72</v>
      </c>
      <c r="F4" s="30" t="s">
        <v>437</v>
      </c>
      <c r="G4" s="30" t="s">
        <v>438</v>
      </c>
      <c r="H4" s="30" t="s">
        <v>338</v>
      </c>
      <c r="I4" s="30" t="s">
        <v>336</v>
      </c>
      <c r="J4" s="30" t="s">
        <v>46</v>
      </c>
      <c r="K4" s="30" t="s">
        <v>439</v>
      </c>
      <c r="L4" s="30" t="s">
        <v>440</v>
      </c>
      <c r="M4" s="30" t="s">
        <v>14</v>
      </c>
      <c r="N4" s="30" t="s">
        <v>5</v>
      </c>
    </row>
    <row r="5" spans="1:14">
      <c r="A5" s="31" t="s">
        <v>441</v>
      </c>
      <c r="B5" s="31" t="s">
        <v>77</v>
      </c>
      <c r="C5" s="34">
        <v>46147.25</v>
      </c>
      <c r="D5" s="31">
        <v>3.9</v>
      </c>
      <c r="E5" s="31">
        <v>0</v>
      </c>
      <c r="F5" s="31">
        <v>45</v>
      </c>
      <c r="G5" s="31">
        <v>45</v>
      </c>
      <c r="H5" s="31">
        <v>15</v>
      </c>
      <c r="I5" s="35">
        <f t="shared" ref="I5:I40" si="0">IF(A5="","",C5+D5/24+SUM(E5:H5)/1440)</f>
        <v>46147.485416666663</v>
      </c>
      <c r="J5" s="36">
        <v>46147.5</v>
      </c>
      <c r="K5" s="33" t="str">
        <f t="shared" ref="K5:K40" si="1">IF(A5="","",IF(I5&lt;=J5,"Ajoissa","Myöhässä"))</f>
        <v>Ajoissa</v>
      </c>
      <c r="L5" s="33">
        <f t="shared" ref="L5:L40" si="2">IF(A5="","",MAX(0,(I5-J5)*1440))</f>
        <v>0</v>
      </c>
      <c r="M5" s="33" t="str">
        <f t="shared" ref="M5:M40" si="3">IF(A5="","",IF(L5&gt;60,"Korkea",IF(L5&gt;15,"Keskitaso","Matala")))</f>
        <v>Matala</v>
      </c>
      <c r="N5" s="31"/>
    </row>
    <row r="6" spans="1:14">
      <c r="A6" s="31" t="s">
        <v>442</v>
      </c>
      <c r="B6" s="31" t="s">
        <v>443</v>
      </c>
      <c r="C6" s="34">
        <v>46147.25</v>
      </c>
      <c r="D6" s="31">
        <v>8</v>
      </c>
      <c r="E6" s="31">
        <v>45</v>
      </c>
      <c r="F6" s="31">
        <v>45</v>
      </c>
      <c r="G6" s="31">
        <v>45</v>
      </c>
      <c r="H6" s="31">
        <v>30</v>
      </c>
      <c r="I6" s="35">
        <f t="shared" si="0"/>
        <v>46147.697916666672</v>
      </c>
      <c r="J6" s="36">
        <v>46147.708333333336</v>
      </c>
      <c r="K6" s="33" t="str">
        <f t="shared" si="1"/>
        <v>Ajoissa</v>
      </c>
      <c r="L6" s="33">
        <f t="shared" si="2"/>
        <v>0</v>
      </c>
      <c r="M6" s="33" t="str">
        <f t="shared" si="3"/>
        <v>Matala</v>
      </c>
      <c r="N6" s="31"/>
    </row>
    <row r="7" spans="1:14">
      <c r="A7" s="31" t="s">
        <v>444</v>
      </c>
      <c r="B7" s="31" t="s">
        <v>445</v>
      </c>
      <c r="C7" s="34">
        <v>46147.25</v>
      </c>
      <c r="D7" s="31">
        <v>7.1</v>
      </c>
      <c r="E7" s="31">
        <v>45</v>
      </c>
      <c r="F7" s="31">
        <v>60</v>
      </c>
      <c r="G7" s="31">
        <v>60</v>
      </c>
      <c r="H7" s="31">
        <v>90</v>
      </c>
      <c r="I7" s="35">
        <f t="shared" si="0"/>
        <v>46147.722916666666</v>
      </c>
      <c r="J7" s="36">
        <v>46147.770833333336</v>
      </c>
      <c r="K7" s="33" t="str">
        <f t="shared" si="1"/>
        <v>Ajoissa</v>
      </c>
      <c r="L7" s="33">
        <f t="shared" si="2"/>
        <v>0</v>
      </c>
      <c r="M7" s="33" t="str">
        <f t="shared" si="3"/>
        <v>Matala</v>
      </c>
      <c r="N7" s="31"/>
    </row>
    <row r="8" spans="1:14">
      <c r="A8" s="31"/>
      <c r="B8" s="31"/>
      <c r="C8" s="34"/>
      <c r="D8" s="31"/>
      <c r="E8" s="31"/>
      <c r="F8" s="31"/>
      <c r="G8" s="31"/>
      <c r="H8" s="31"/>
      <c r="I8" s="35" t="str">
        <f t="shared" si="0"/>
        <v/>
      </c>
      <c r="J8" s="36" t="str">
        <f t="shared" ref="J8:J40" si="4">IF(A8="","",J8)</f>
        <v/>
      </c>
      <c r="K8" s="33" t="str">
        <f t="shared" si="1"/>
        <v/>
      </c>
      <c r="L8" s="33" t="str">
        <f t="shared" si="2"/>
        <v/>
      </c>
      <c r="M8" s="33" t="str">
        <f t="shared" si="3"/>
        <v/>
      </c>
      <c r="N8" s="31"/>
    </row>
    <row r="9" spans="1:14">
      <c r="A9" s="31"/>
      <c r="B9" s="31"/>
      <c r="C9" s="34"/>
      <c r="D9" s="31"/>
      <c r="E9" s="31"/>
      <c r="F9" s="31"/>
      <c r="G9" s="31"/>
      <c r="H9" s="31"/>
      <c r="I9" s="35" t="str">
        <f t="shared" si="0"/>
        <v/>
      </c>
      <c r="J9" s="36" t="str">
        <f t="shared" si="4"/>
        <v/>
      </c>
      <c r="K9" s="33" t="str">
        <f t="shared" si="1"/>
        <v/>
      </c>
      <c r="L9" s="33" t="str">
        <f t="shared" si="2"/>
        <v/>
      </c>
      <c r="M9" s="33" t="str">
        <f t="shared" si="3"/>
        <v/>
      </c>
      <c r="N9" s="31"/>
    </row>
    <row r="10" spans="1:14">
      <c r="A10" s="31"/>
      <c r="B10" s="31"/>
      <c r="C10" s="34"/>
      <c r="D10" s="31"/>
      <c r="E10" s="31"/>
      <c r="F10" s="31"/>
      <c r="G10" s="31"/>
      <c r="H10" s="31"/>
      <c r="I10" s="35" t="str">
        <f t="shared" si="0"/>
        <v/>
      </c>
      <c r="J10" s="36" t="str">
        <f t="shared" si="4"/>
        <v/>
      </c>
      <c r="K10" s="33" t="str">
        <f t="shared" si="1"/>
        <v/>
      </c>
      <c r="L10" s="33" t="str">
        <f t="shared" si="2"/>
        <v/>
      </c>
      <c r="M10" s="33" t="str">
        <f t="shared" si="3"/>
        <v/>
      </c>
      <c r="N10" s="31"/>
    </row>
    <row r="11" spans="1:14">
      <c r="A11" s="31"/>
      <c r="B11" s="31"/>
      <c r="C11" s="34"/>
      <c r="D11" s="31"/>
      <c r="E11" s="31"/>
      <c r="F11" s="31"/>
      <c r="G11" s="31"/>
      <c r="H11" s="31"/>
      <c r="I11" s="35" t="str">
        <f t="shared" si="0"/>
        <v/>
      </c>
      <c r="J11" s="36" t="str">
        <f t="shared" si="4"/>
        <v/>
      </c>
      <c r="K11" s="33" t="str">
        <f t="shared" si="1"/>
        <v/>
      </c>
      <c r="L11" s="33" t="str">
        <f t="shared" si="2"/>
        <v/>
      </c>
      <c r="M11" s="33" t="str">
        <f t="shared" si="3"/>
        <v/>
      </c>
      <c r="N11" s="31"/>
    </row>
    <row r="12" spans="1:14">
      <c r="A12" s="31"/>
      <c r="B12" s="31"/>
      <c r="C12" s="34"/>
      <c r="D12" s="31"/>
      <c r="E12" s="31"/>
      <c r="F12" s="31"/>
      <c r="G12" s="31"/>
      <c r="H12" s="31"/>
      <c r="I12" s="35" t="str">
        <f t="shared" si="0"/>
        <v/>
      </c>
      <c r="J12" s="36" t="str">
        <f t="shared" si="4"/>
        <v/>
      </c>
      <c r="K12" s="33" t="str">
        <f t="shared" si="1"/>
        <v/>
      </c>
      <c r="L12" s="33" t="str">
        <f t="shared" si="2"/>
        <v/>
      </c>
      <c r="M12" s="33" t="str">
        <f t="shared" si="3"/>
        <v/>
      </c>
      <c r="N12" s="31"/>
    </row>
    <row r="13" spans="1:14">
      <c r="A13" s="31"/>
      <c r="B13" s="31"/>
      <c r="C13" s="34"/>
      <c r="D13" s="31"/>
      <c r="E13" s="31"/>
      <c r="F13" s="31"/>
      <c r="G13" s="31"/>
      <c r="H13" s="31"/>
      <c r="I13" s="35" t="str">
        <f t="shared" si="0"/>
        <v/>
      </c>
      <c r="J13" s="36" t="str">
        <f t="shared" si="4"/>
        <v/>
      </c>
      <c r="K13" s="33" t="str">
        <f t="shared" si="1"/>
        <v/>
      </c>
      <c r="L13" s="33" t="str">
        <f t="shared" si="2"/>
        <v/>
      </c>
      <c r="M13" s="33" t="str">
        <f t="shared" si="3"/>
        <v/>
      </c>
      <c r="N13" s="31"/>
    </row>
    <row r="14" spans="1:14">
      <c r="A14" s="31"/>
      <c r="B14" s="31"/>
      <c r="C14" s="34"/>
      <c r="D14" s="31"/>
      <c r="E14" s="31"/>
      <c r="F14" s="31"/>
      <c r="G14" s="31"/>
      <c r="H14" s="31"/>
      <c r="I14" s="35" t="str">
        <f t="shared" si="0"/>
        <v/>
      </c>
      <c r="J14" s="36" t="str">
        <f t="shared" si="4"/>
        <v/>
      </c>
      <c r="K14" s="33" t="str">
        <f t="shared" si="1"/>
        <v/>
      </c>
      <c r="L14" s="33" t="str">
        <f t="shared" si="2"/>
        <v/>
      </c>
      <c r="M14" s="33" t="str">
        <f t="shared" si="3"/>
        <v/>
      </c>
      <c r="N14" s="31"/>
    </row>
    <row r="15" spans="1:14">
      <c r="A15" s="31"/>
      <c r="B15" s="31"/>
      <c r="C15" s="34"/>
      <c r="D15" s="31"/>
      <c r="E15" s="31"/>
      <c r="F15" s="31"/>
      <c r="G15" s="31"/>
      <c r="H15" s="31"/>
      <c r="I15" s="35" t="str">
        <f t="shared" si="0"/>
        <v/>
      </c>
      <c r="J15" s="36" t="str">
        <f t="shared" si="4"/>
        <v/>
      </c>
      <c r="K15" s="33" t="str">
        <f t="shared" si="1"/>
        <v/>
      </c>
      <c r="L15" s="33" t="str">
        <f t="shared" si="2"/>
        <v/>
      </c>
      <c r="M15" s="33" t="str">
        <f t="shared" si="3"/>
        <v/>
      </c>
      <c r="N15" s="31"/>
    </row>
    <row r="16" spans="1:14">
      <c r="A16" s="31"/>
      <c r="B16" s="31"/>
      <c r="C16" s="34"/>
      <c r="D16" s="31"/>
      <c r="E16" s="31"/>
      <c r="F16" s="31"/>
      <c r="G16" s="31"/>
      <c r="H16" s="31"/>
      <c r="I16" s="35" t="str">
        <f t="shared" si="0"/>
        <v/>
      </c>
      <c r="J16" s="36" t="str">
        <f t="shared" si="4"/>
        <v/>
      </c>
      <c r="K16" s="33" t="str">
        <f t="shared" si="1"/>
        <v/>
      </c>
      <c r="L16" s="33" t="str">
        <f t="shared" si="2"/>
        <v/>
      </c>
      <c r="M16" s="33" t="str">
        <f t="shared" si="3"/>
        <v/>
      </c>
      <c r="N16" s="31"/>
    </row>
    <row r="17" spans="1:14">
      <c r="A17" s="31"/>
      <c r="B17" s="31"/>
      <c r="C17" s="34"/>
      <c r="D17" s="31"/>
      <c r="E17" s="31"/>
      <c r="F17" s="31"/>
      <c r="G17" s="31"/>
      <c r="H17" s="31"/>
      <c r="I17" s="35" t="str">
        <f t="shared" si="0"/>
        <v/>
      </c>
      <c r="J17" s="36" t="str">
        <f t="shared" si="4"/>
        <v/>
      </c>
      <c r="K17" s="33" t="str">
        <f t="shared" si="1"/>
        <v/>
      </c>
      <c r="L17" s="33" t="str">
        <f t="shared" si="2"/>
        <v/>
      </c>
      <c r="M17" s="33" t="str">
        <f t="shared" si="3"/>
        <v/>
      </c>
      <c r="N17" s="31"/>
    </row>
    <row r="18" spans="1:14">
      <c r="A18" s="31"/>
      <c r="B18" s="31"/>
      <c r="C18" s="34"/>
      <c r="D18" s="31"/>
      <c r="E18" s="31"/>
      <c r="F18" s="31"/>
      <c r="G18" s="31"/>
      <c r="H18" s="31"/>
      <c r="I18" s="35" t="str">
        <f t="shared" si="0"/>
        <v/>
      </c>
      <c r="J18" s="36" t="str">
        <f t="shared" si="4"/>
        <v/>
      </c>
      <c r="K18" s="33" t="str">
        <f t="shared" si="1"/>
        <v/>
      </c>
      <c r="L18" s="33" t="str">
        <f t="shared" si="2"/>
        <v/>
      </c>
      <c r="M18" s="33" t="str">
        <f t="shared" si="3"/>
        <v/>
      </c>
      <c r="N18" s="31"/>
    </row>
    <row r="19" spans="1:14">
      <c r="A19" s="31"/>
      <c r="B19" s="31"/>
      <c r="C19" s="34"/>
      <c r="D19" s="31"/>
      <c r="E19" s="31"/>
      <c r="F19" s="31"/>
      <c r="G19" s="31"/>
      <c r="H19" s="31"/>
      <c r="I19" s="35" t="str">
        <f t="shared" si="0"/>
        <v/>
      </c>
      <c r="J19" s="36" t="str">
        <f t="shared" si="4"/>
        <v/>
      </c>
      <c r="K19" s="33" t="str">
        <f t="shared" si="1"/>
        <v/>
      </c>
      <c r="L19" s="33" t="str">
        <f t="shared" si="2"/>
        <v/>
      </c>
      <c r="M19" s="33" t="str">
        <f t="shared" si="3"/>
        <v/>
      </c>
      <c r="N19" s="31"/>
    </row>
    <row r="20" spans="1:14">
      <c r="A20" s="31"/>
      <c r="B20" s="31"/>
      <c r="C20" s="34"/>
      <c r="D20" s="31"/>
      <c r="E20" s="31"/>
      <c r="F20" s="31"/>
      <c r="G20" s="31"/>
      <c r="H20" s="31"/>
      <c r="I20" s="35" t="str">
        <f t="shared" si="0"/>
        <v/>
      </c>
      <c r="J20" s="36" t="str">
        <f t="shared" si="4"/>
        <v/>
      </c>
      <c r="K20" s="33" t="str">
        <f t="shared" si="1"/>
        <v/>
      </c>
      <c r="L20" s="33" t="str">
        <f t="shared" si="2"/>
        <v/>
      </c>
      <c r="M20" s="33" t="str">
        <f t="shared" si="3"/>
        <v/>
      </c>
      <c r="N20" s="31"/>
    </row>
    <row r="21" spans="1:14">
      <c r="A21" s="31"/>
      <c r="B21" s="31"/>
      <c r="C21" s="34"/>
      <c r="D21" s="31"/>
      <c r="E21" s="31"/>
      <c r="F21" s="31"/>
      <c r="G21" s="31"/>
      <c r="H21" s="31"/>
      <c r="I21" s="35" t="str">
        <f t="shared" si="0"/>
        <v/>
      </c>
      <c r="J21" s="36" t="str">
        <f t="shared" si="4"/>
        <v/>
      </c>
      <c r="K21" s="33" t="str">
        <f t="shared" si="1"/>
        <v/>
      </c>
      <c r="L21" s="33" t="str">
        <f t="shared" si="2"/>
        <v/>
      </c>
      <c r="M21" s="33" t="str">
        <f t="shared" si="3"/>
        <v/>
      </c>
      <c r="N21" s="31"/>
    </row>
    <row r="22" spans="1:14">
      <c r="A22" s="31"/>
      <c r="B22" s="31"/>
      <c r="C22" s="34"/>
      <c r="D22" s="31"/>
      <c r="E22" s="31"/>
      <c r="F22" s="31"/>
      <c r="G22" s="31"/>
      <c r="H22" s="31"/>
      <c r="I22" s="35" t="str">
        <f t="shared" si="0"/>
        <v/>
      </c>
      <c r="J22" s="36" t="str">
        <f t="shared" si="4"/>
        <v/>
      </c>
      <c r="K22" s="33" t="str">
        <f t="shared" si="1"/>
        <v/>
      </c>
      <c r="L22" s="33" t="str">
        <f t="shared" si="2"/>
        <v/>
      </c>
      <c r="M22" s="33" t="str">
        <f t="shared" si="3"/>
        <v/>
      </c>
      <c r="N22" s="31"/>
    </row>
    <row r="23" spans="1:14">
      <c r="A23" s="31"/>
      <c r="B23" s="31"/>
      <c r="C23" s="34"/>
      <c r="D23" s="31"/>
      <c r="E23" s="31"/>
      <c r="F23" s="31"/>
      <c r="G23" s="31"/>
      <c r="H23" s="31"/>
      <c r="I23" s="35" t="str">
        <f t="shared" si="0"/>
        <v/>
      </c>
      <c r="J23" s="36" t="str">
        <f t="shared" si="4"/>
        <v/>
      </c>
      <c r="K23" s="33" t="str">
        <f t="shared" si="1"/>
        <v/>
      </c>
      <c r="L23" s="33" t="str">
        <f t="shared" si="2"/>
        <v/>
      </c>
      <c r="M23" s="33" t="str">
        <f t="shared" si="3"/>
        <v/>
      </c>
      <c r="N23" s="31"/>
    </row>
    <row r="24" spans="1:14">
      <c r="A24" s="31"/>
      <c r="B24" s="31"/>
      <c r="C24" s="34"/>
      <c r="D24" s="31"/>
      <c r="E24" s="31"/>
      <c r="F24" s="31"/>
      <c r="G24" s="31"/>
      <c r="H24" s="31"/>
      <c r="I24" s="35" t="str">
        <f t="shared" si="0"/>
        <v/>
      </c>
      <c r="J24" s="36" t="str">
        <f t="shared" si="4"/>
        <v/>
      </c>
      <c r="K24" s="33" t="str">
        <f t="shared" si="1"/>
        <v/>
      </c>
      <c r="L24" s="33" t="str">
        <f t="shared" si="2"/>
        <v/>
      </c>
      <c r="M24" s="33" t="str">
        <f t="shared" si="3"/>
        <v/>
      </c>
      <c r="N24" s="31"/>
    </row>
    <row r="25" spans="1:14">
      <c r="A25" s="31"/>
      <c r="B25" s="31"/>
      <c r="C25" s="34"/>
      <c r="D25" s="31"/>
      <c r="E25" s="31"/>
      <c r="F25" s="31"/>
      <c r="G25" s="31"/>
      <c r="H25" s="31"/>
      <c r="I25" s="35" t="str">
        <f t="shared" si="0"/>
        <v/>
      </c>
      <c r="J25" s="36" t="str">
        <f t="shared" si="4"/>
        <v/>
      </c>
      <c r="K25" s="33" t="str">
        <f t="shared" si="1"/>
        <v/>
      </c>
      <c r="L25" s="33" t="str">
        <f t="shared" si="2"/>
        <v/>
      </c>
      <c r="M25" s="33" t="str">
        <f t="shared" si="3"/>
        <v/>
      </c>
      <c r="N25" s="31"/>
    </row>
    <row r="26" spans="1:14">
      <c r="A26" s="31"/>
      <c r="B26" s="31"/>
      <c r="C26" s="34"/>
      <c r="D26" s="31"/>
      <c r="E26" s="31"/>
      <c r="F26" s="31"/>
      <c r="G26" s="31"/>
      <c r="H26" s="31"/>
      <c r="I26" s="35" t="str">
        <f t="shared" si="0"/>
        <v/>
      </c>
      <c r="J26" s="36" t="str">
        <f t="shared" si="4"/>
        <v/>
      </c>
      <c r="K26" s="33" t="str">
        <f t="shared" si="1"/>
        <v/>
      </c>
      <c r="L26" s="33" t="str">
        <f t="shared" si="2"/>
        <v/>
      </c>
      <c r="M26" s="33" t="str">
        <f t="shared" si="3"/>
        <v/>
      </c>
      <c r="N26" s="31"/>
    </row>
    <row r="27" spans="1:14">
      <c r="A27" s="31"/>
      <c r="B27" s="31"/>
      <c r="C27" s="34"/>
      <c r="D27" s="31"/>
      <c r="E27" s="31"/>
      <c r="F27" s="31"/>
      <c r="G27" s="31"/>
      <c r="H27" s="31"/>
      <c r="I27" s="35" t="str">
        <f t="shared" si="0"/>
        <v/>
      </c>
      <c r="J27" s="36" t="str">
        <f t="shared" si="4"/>
        <v/>
      </c>
      <c r="K27" s="33" t="str">
        <f t="shared" si="1"/>
        <v/>
      </c>
      <c r="L27" s="33" t="str">
        <f t="shared" si="2"/>
        <v/>
      </c>
      <c r="M27" s="33" t="str">
        <f t="shared" si="3"/>
        <v/>
      </c>
      <c r="N27" s="31"/>
    </row>
    <row r="28" spans="1:14">
      <c r="A28" s="31"/>
      <c r="B28" s="31"/>
      <c r="C28" s="34"/>
      <c r="D28" s="31"/>
      <c r="E28" s="31"/>
      <c r="F28" s="31"/>
      <c r="G28" s="31"/>
      <c r="H28" s="31"/>
      <c r="I28" s="35" t="str">
        <f t="shared" si="0"/>
        <v/>
      </c>
      <c r="J28" s="36" t="str">
        <f t="shared" si="4"/>
        <v/>
      </c>
      <c r="K28" s="33" t="str">
        <f t="shared" si="1"/>
        <v/>
      </c>
      <c r="L28" s="33" t="str">
        <f t="shared" si="2"/>
        <v/>
      </c>
      <c r="M28" s="33" t="str">
        <f t="shared" si="3"/>
        <v/>
      </c>
      <c r="N28" s="31"/>
    </row>
    <row r="29" spans="1:14">
      <c r="A29" s="31"/>
      <c r="B29" s="31"/>
      <c r="C29" s="34"/>
      <c r="D29" s="31"/>
      <c r="E29" s="31"/>
      <c r="F29" s="31"/>
      <c r="G29" s="31"/>
      <c r="H29" s="31"/>
      <c r="I29" s="35" t="str">
        <f t="shared" si="0"/>
        <v/>
      </c>
      <c r="J29" s="36" t="str">
        <f t="shared" si="4"/>
        <v/>
      </c>
      <c r="K29" s="33" t="str">
        <f t="shared" si="1"/>
        <v/>
      </c>
      <c r="L29" s="33" t="str">
        <f t="shared" si="2"/>
        <v/>
      </c>
      <c r="M29" s="33" t="str">
        <f t="shared" si="3"/>
        <v/>
      </c>
      <c r="N29" s="31"/>
    </row>
    <row r="30" spans="1:14">
      <c r="A30" s="31"/>
      <c r="B30" s="31"/>
      <c r="C30" s="34"/>
      <c r="D30" s="31"/>
      <c r="E30" s="31"/>
      <c r="F30" s="31"/>
      <c r="G30" s="31"/>
      <c r="H30" s="31"/>
      <c r="I30" s="35" t="str">
        <f t="shared" si="0"/>
        <v/>
      </c>
      <c r="J30" s="36" t="str">
        <f t="shared" si="4"/>
        <v/>
      </c>
      <c r="K30" s="33" t="str">
        <f t="shared" si="1"/>
        <v/>
      </c>
      <c r="L30" s="33" t="str">
        <f t="shared" si="2"/>
        <v/>
      </c>
      <c r="M30" s="33" t="str">
        <f t="shared" si="3"/>
        <v/>
      </c>
      <c r="N30" s="31"/>
    </row>
    <row r="31" spans="1:14">
      <c r="A31" s="31"/>
      <c r="B31" s="31"/>
      <c r="C31" s="34"/>
      <c r="D31" s="31"/>
      <c r="E31" s="31"/>
      <c r="F31" s="31"/>
      <c r="G31" s="31"/>
      <c r="H31" s="31"/>
      <c r="I31" s="35" t="str">
        <f t="shared" si="0"/>
        <v/>
      </c>
      <c r="J31" s="36" t="str">
        <f t="shared" si="4"/>
        <v/>
      </c>
      <c r="K31" s="33" t="str">
        <f t="shared" si="1"/>
        <v/>
      </c>
      <c r="L31" s="33" t="str">
        <f t="shared" si="2"/>
        <v/>
      </c>
      <c r="M31" s="33" t="str">
        <f t="shared" si="3"/>
        <v/>
      </c>
      <c r="N31" s="31"/>
    </row>
    <row r="32" spans="1:14">
      <c r="A32" s="31"/>
      <c r="B32" s="31"/>
      <c r="C32" s="34"/>
      <c r="D32" s="31"/>
      <c r="E32" s="31"/>
      <c r="F32" s="31"/>
      <c r="G32" s="31"/>
      <c r="H32" s="31"/>
      <c r="I32" s="35" t="str">
        <f t="shared" si="0"/>
        <v/>
      </c>
      <c r="J32" s="36" t="str">
        <f t="shared" si="4"/>
        <v/>
      </c>
      <c r="K32" s="33" t="str">
        <f t="shared" si="1"/>
        <v/>
      </c>
      <c r="L32" s="33" t="str">
        <f t="shared" si="2"/>
        <v/>
      </c>
      <c r="M32" s="33" t="str">
        <f t="shared" si="3"/>
        <v/>
      </c>
      <c r="N32" s="31"/>
    </row>
    <row r="33" spans="1:14">
      <c r="A33" s="31"/>
      <c r="B33" s="31"/>
      <c r="C33" s="34"/>
      <c r="D33" s="31"/>
      <c r="E33" s="31"/>
      <c r="F33" s="31"/>
      <c r="G33" s="31"/>
      <c r="H33" s="31"/>
      <c r="I33" s="35" t="str">
        <f t="shared" si="0"/>
        <v/>
      </c>
      <c r="J33" s="36" t="str">
        <f t="shared" si="4"/>
        <v/>
      </c>
      <c r="K33" s="33" t="str">
        <f t="shared" si="1"/>
        <v/>
      </c>
      <c r="L33" s="33" t="str">
        <f t="shared" si="2"/>
        <v/>
      </c>
      <c r="M33" s="33" t="str">
        <f t="shared" si="3"/>
        <v/>
      </c>
      <c r="N33" s="31"/>
    </row>
    <row r="34" spans="1:14">
      <c r="A34" s="31"/>
      <c r="B34" s="31"/>
      <c r="C34" s="34"/>
      <c r="D34" s="31"/>
      <c r="E34" s="31"/>
      <c r="F34" s="31"/>
      <c r="G34" s="31"/>
      <c r="H34" s="31"/>
      <c r="I34" s="35" t="str">
        <f t="shared" si="0"/>
        <v/>
      </c>
      <c r="J34" s="36" t="str">
        <f t="shared" si="4"/>
        <v/>
      </c>
      <c r="K34" s="33" t="str">
        <f t="shared" si="1"/>
        <v/>
      </c>
      <c r="L34" s="33" t="str">
        <f t="shared" si="2"/>
        <v/>
      </c>
      <c r="M34" s="33" t="str">
        <f t="shared" si="3"/>
        <v/>
      </c>
      <c r="N34" s="31"/>
    </row>
    <row r="35" spans="1:14">
      <c r="A35" s="31"/>
      <c r="B35" s="31"/>
      <c r="C35" s="34"/>
      <c r="D35" s="31"/>
      <c r="E35" s="31"/>
      <c r="F35" s="31"/>
      <c r="G35" s="31"/>
      <c r="H35" s="31"/>
      <c r="I35" s="35" t="str">
        <f t="shared" si="0"/>
        <v/>
      </c>
      <c r="J35" s="36" t="str">
        <f t="shared" si="4"/>
        <v/>
      </c>
      <c r="K35" s="33" t="str">
        <f t="shared" si="1"/>
        <v/>
      </c>
      <c r="L35" s="33" t="str">
        <f t="shared" si="2"/>
        <v/>
      </c>
      <c r="M35" s="33" t="str">
        <f t="shared" si="3"/>
        <v/>
      </c>
      <c r="N35" s="31"/>
    </row>
    <row r="36" spans="1:14">
      <c r="A36" s="31"/>
      <c r="B36" s="31"/>
      <c r="C36" s="34"/>
      <c r="D36" s="31"/>
      <c r="E36" s="31"/>
      <c r="F36" s="31"/>
      <c r="G36" s="31"/>
      <c r="H36" s="31"/>
      <c r="I36" s="35" t="str">
        <f t="shared" si="0"/>
        <v/>
      </c>
      <c r="J36" s="36" t="str">
        <f t="shared" si="4"/>
        <v/>
      </c>
      <c r="K36" s="33" t="str">
        <f t="shared" si="1"/>
        <v/>
      </c>
      <c r="L36" s="33" t="str">
        <f t="shared" si="2"/>
        <v/>
      </c>
      <c r="M36" s="33" t="str">
        <f t="shared" si="3"/>
        <v/>
      </c>
      <c r="N36" s="31"/>
    </row>
    <row r="37" spans="1:14">
      <c r="A37" s="31"/>
      <c r="B37" s="31"/>
      <c r="C37" s="34"/>
      <c r="D37" s="31"/>
      <c r="E37" s="31"/>
      <c r="F37" s="31"/>
      <c r="G37" s="31"/>
      <c r="H37" s="31"/>
      <c r="I37" s="35" t="str">
        <f t="shared" si="0"/>
        <v/>
      </c>
      <c r="J37" s="36" t="str">
        <f t="shared" si="4"/>
        <v/>
      </c>
      <c r="K37" s="33" t="str">
        <f t="shared" si="1"/>
        <v/>
      </c>
      <c r="L37" s="33" t="str">
        <f t="shared" si="2"/>
        <v/>
      </c>
      <c r="M37" s="33" t="str">
        <f t="shared" si="3"/>
        <v/>
      </c>
      <c r="N37" s="31"/>
    </row>
    <row r="38" spans="1:14">
      <c r="A38" s="31"/>
      <c r="B38" s="31"/>
      <c r="C38" s="34"/>
      <c r="D38" s="31"/>
      <c r="E38" s="31"/>
      <c r="F38" s="31"/>
      <c r="G38" s="31"/>
      <c r="H38" s="31"/>
      <c r="I38" s="35" t="str">
        <f t="shared" si="0"/>
        <v/>
      </c>
      <c r="J38" s="36" t="str">
        <f t="shared" si="4"/>
        <v/>
      </c>
      <c r="K38" s="33" t="str">
        <f t="shared" si="1"/>
        <v/>
      </c>
      <c r="L38" s="33" t="str">
        <f t="shared" si="2"/>
        <v/>
      </c>
      <c r="M38" s="33" t="str">
        <f t="shared" si="3"/>
        <v/>
      </c>
      <c r="N38" s="31"/>
    </row>
    <row r="39" spans="1:14">
      <c r="A39" s="31"/>
      <c r="B39" s="31"/>
      <c r="C39" s="34"/>
      <c r="D39" s="31"/>
      <c r="E39" s="31"/>
      <c r="F39" s="31"/>
      <c r="G39" s="31"/>
      <c r="H39" s="31"/>
      <c r="I39" s="35" t="str">
        <f t="shared" si="0"/>
        <v/>
      </c>
      <c r="J39" s="36" t="str">
        <f t="shared" si="4"/>
        <v/>
      </c>
      <c r="K39" s="33" t="str">
        <f t="shared" si="1"/>
        <v/>
      </c>
      <c r="L39" s="33" t="str">
        <f t="shared" si="2"/>
        <v/>
      </c>
      <c r="M39" s="33" t="str">
        <f t="shared" si="3"/>
        <v/>
      </c>
      <c r="N39" s="31"/>
    </row>
    <row r="40" spans="1:14">
      <c r="A40" s="31"/>
      <c r="B40" s="31"/>
      <c r="C40" s="34"/>
      <c r="D40" s="31"/>
      <c r="E40" s="31"/>
      <c r="F40" s="31"/>
      <c r="G40" s="31"/>
      <c r="H40" s="31"/>
      <c r="I40" s="35" t="str">
        <f t="shared" si="0"/>
        <v/>
      </c>
      <c r="J40" s="36" t="str">
        <f t="shared" si="4"/>
        <v/>
      </c>
      <c r="K40" s="33" t="str">
        <f t="shared" si="1"/>
        <v/>
      </c>
      <c r="L40" s="33" t="str">
        <f t="shared" si="2"/>
        <v/>
      </c>
      <c r="M40" s="33" t="str">
        <f t="shared" si="3"/>
        <v/>
      </c>
      <c r="N40" s="31"/>
    </row>
    <row r="41" spans="1:14">
      <c r="A41" s="31"/>
      <c r="B41" s="31"/>
      <c r="C41" s="34"/>
      <c r="D41" s="31"/>
      <c r="E41" s="31"/>
      <c r="F41" s="31"/>
      <c r="G41" s="31"/>
      <c r="H41" s="31"/>
      <c r="I41" s="35"/>
      <c r="J41" s="36"/>
      <c r="K41" s="33"/>
      <c r="L41" s="33"/>
      <c r="M41" s="33"/>
      <c r="N41" s="3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41"/>
  <sheetViews>
    <sheetView workbookViewId="0"/>
  </sheetViews>
  <sheetFormatPr defaultRowHeight="13.8"/>
  <cols>
    <col min="1" max="2" width="16" customWidth="1"/>
    <col min="3" max="3" width="18" customWidth="1"/>
    <col min="4" max="5" width="22" customWidth="1"/>
    <col min="6" max="9" width="16" customWidth="1"/>
    <col min="10" max="13" width="18" customWidth="1"/>
    <col min="14" max="14" width="24" customWidth="1"/>
  </cols>
  <sheetData>
    <row r="1" spans="1:14">
      <c r="A1" s="67" t="s">
        <v>446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447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30" t="s">
        <v>448</v>
      </c>
      <c r="B4" s="30" t="s">
        <v>353</v>
      </c>
      <c r="C4" s="30" t="s">
        <v>449</v>
      </c>
      <c r="D4" s="30" t="s">
        <v>450</v>
      </c>
      <c r="E4" s="30" t="s">
        <v>451</v>
      </c>
      <c r="F4" s="30" t="s">
        <v>11</v>
      </c>
      <c r="G4" s="30" t="s">
        <v>71</v>
      </c>
      <c r="H4" s="30" t="s">
        <v>452</v>
      </c>
      <c r="I4" s="30" t="s">
        <v>453</v>
      </c>
      <c r="J4" s="30" t="s">
        <v>454</v>
      </c>
      <c r="K4" s="30" t="s">
        <v>455</v>
      </c>
      <c r="L4" s="30" t="s">
        <v>456</v>
      </c>
      <c r="M4" s="30" t="s">
        <v>457</v>
      </c>
      <c r="N4" s="30" t="s">
        <v>5</v>
      </c>
    </row>
    <row r="5" spans="1:14">
      <c r="A5" s="31" t="s">
        <v>458</v>
      </c>
      <c r="B5" s="31" t="s">
        <v>459</v>
      </c>
      <c r="C5" s="31">
        <v>150</v>
      </c>
      <c r="D5" s="34">
        <v>46147.25</v>
      </c>
      <c r="E5" s="35">
        <f t="shared" ref="E5:E40" si="0">IF(A5="","",D5+C5/1440)</f>
        <v>46147.354166666664</v>
      </c>
      <c r="F5" s="33">
        <f t="shared" ref="F5:F40" si="1">IF(B5="Ajo",C5/60,0)</f>
        <v>2.5</v>
      </c>
      <c r="G5" s="33">
        <f t="shared" ref="G5:G40" si="2">IF(OR(B5="Ajo",B5="Lastaus",B5="Purku",B5="Odotus"),C5/60,0)</f>
        <v>2.5</v>
      </c>
      <c r="H5" s="33">
        <f t="shared" ref="H5:H40" si="3">IF(B5="Tauko",C5/60,0)</f>
        <v>0</v>
      </c>
      <c r="I5" s="33">
        <f>SUM($F$5:F5)</f>
        <v>2.5</v>
      </c>
      <c r="J5" s="33">
        <f>SUM($G$5:G5)</f>
        <v>2.5</v>
      </c>
      <c r="K5" s="33" t="str">
        <f t="shared" ref="K5:K40" si="4">IF(I5&gt;4.5,"Tarkista 45 min tauko","OK")</f>
        <v>OK</v>
      </c>
      <c r="L5" s="33" t="str">
        <f t="shared" ref="L5:L40" si="5">IF(I5&gt;10,"Ajoraja yli",IF(J5&gt;13,"Työpäivä pitkä","OK"))</f>
        <v>OK</v>
      </c>
      <c r="M5" s="31" t="s">
        <v>49</v>
      </c>
      <c r="N5" s="31"/>
    </row>
    <row r="6" spans="1:14">
      <c r="A6" s="31" t="s">
        <v>460</v>
      </c>
      <c r="B6" s="31" t="s">
        <v>460</v>
      </c>
      <c r="C6" s="31">
        <v>45</v>
      </c>
      <c r="D6" s="34">
        <f t="shared" ref="D6:D40" si="6">IF(A6="","",E5)</f>
        <v>46147.354166666664</v>
      </c>
      <c r="E6" s="35">
        <f t="shared" si="0"/>
        <v>46147.385416666664</v>
      </c>
      <c r="F6" s="33">
        <f t="shared" si="1"/>
        <v>0</v>
      </c>
      <c r="G6" s="33">
        <f t="shared" si="2"/>
        <v>0</v>
      </c>
      <c r="H6" s="33">
        <f t="shared" si="3"/>
        <v>0.75</v>
      </c>
      <c r="I6" s="33">
        <f>SUM($F$5:F6)</f>
        <v>2.5</v>
      </c>
      <c r="J6" s="33">
        <f>SUM($G$5:G6)</f>
        <v>2.5</v>
      </c>
      <c r="K6" s="33" t="str">
        <f t="shared" si="4"/>
        <v>OK</v>
      </c>
      <c r="L6" s="33" t="str">
        <f t="shared" si="5"/>
        <v>OK</v>
      </c>
      <c r="M6" s="31"/>
      <c r="N6" s="31"/>
    </row>
    <row r="7" spans="1:14">
      <c r="A7" s="31" t="s">
        <v>461</v>
      </c>
      <c r="B7" s="31" t="s">
        <v>459</v>
      </c>
      <c r="C7" s="31">
        <v>90</v>
      </c>
      <c r="D7" s="34">
        <f t="shared" si="6"/>
        <v>46147.385416666664</v>
      </c>
      <c r="E7" s="35">
        <f t="shared" si="0"/>
        <v>46147.447916666664</v>
      </c>
      <c r="F7" s="33">
        <f t="shared" si="1"/>
        <v>1.5</v>
      </c>
      <c r="G7" s="33">
        <f t="shared" si="2"/>
        <v>1.5</v>
      </c>
      <c r="H7" s="33">
        <f t="shared" si="3"/>
        <v>0</v>
      </c>
      <c r="I7" s="33">
        <f>SUM($F$5:F7)</f>
        <v>4</v>
      </c>
      <c r="J7" s="33">
        <f>SUM($G$5:G7)</f>
        <v>4</v>
      </c>
      <c r="K7" s="33" t="str">
        <f t="shared" si="4"/>
        <v>OK</v>
      </c>
      <c r="L7" s="33" t="str">
        <f t="shared" si="5"/>
        <v>OK</v>
      </c>
      <c r="M7" s="31" t="s">
        <v>50</v>
      </c>
      <c r="N7" s="31"/>
    </row>
    <row r="8" spans="1:14">
      <c r="A8" s="31" t="s">
        <v>462</v>
      </c>
      <c r="B8" s="31" t="s">
        <v>463</v>
      </c>
      <c r="C8" s="31">
        <v>45</v>
      </c>
      <c r="D8" s="34">
        <f t="shared" si="6"/>
        <v>46147.447916666664</v>
      </c>
      <c r="E8" s="35">
        <f t="shared" si="0"/>
        <v>46147.479166666664</v>
      </c>
      <c r="F8" s="33">
        <f t="shared" si="1"/>
        <v>0</v>
      </c>
      <c r="G8" s="33">
        <f t="shared" si="2"/>
        <v>0.75</v>
      </c>
      <c r="H8" s="33">
        <f t="shared" si="3"/>
        <v>0</v>
      </c>
      <c r="I8" s="33">
        <f>SUM($F$5:F8)</f>
        <v>4</v>
      </c>
      <c r="J8" s="33">
        <f>SUM($G$5:G8)</f>
        <v>4.75</v>
      </c>
      <c r="K8" s="33" t="str">
        <f t="shared" si="4"/>
        <v>OK</v>
      </c>
      <c r="L8" s="33" t="str">
        <f t="shared" si="5"/>
        <v>OK</v>
      </c>
      <c r="M8" s="31" t="s">
        <v>50</v>
      </c>
      <c r="N8" s="31"/>
    </row>
    <row r="9" spans="1:14" ht="27.6">
      <c r="A9" s="31" t="s">
        <v>464</v>
      </c>
      <c r="B9" s="31" t="s">
        <v>459</v>
      </c>
      <c r="C9" s="31">
        <v>85</v>
      </c>
      <c r="D9" s="34">
        <f t="shared" si="6"/>
        <v>46147.479166666664</v>
      </c>
      <c r="E9" s="35">
        <f t="shared" si="0"/>
        <v>46147.538194444445</v>
      </c>
      <c r="F9" s="33">
        <f t="shared" si="1"/>
        <v>1.4166666666666667</v>
      </c>
      <c r="G9" s="33">
        <f t="shared" si="2"/>
        <v>1.4166666666666667</v>
      </c>
      <c r="H9" s="33">
        <f t="shared" si="3"/>
        <v>0</v>
      </c>
      <c r="I9" s="33">
        <f>SUM($F$5:F9)</f>
        <v>5.416666666666667</v>
      </c>
      <c r="J9" s="33">
        <f>SUM($G$5:G9)</f>
        <v>6.166666666666667</v>
      </c>
      <c r="K9" s="33" t="str">
        <f t="shared" si="4"/>
        <v>Tarkista 45 min tauko</v>
      </c>
      <c r="L9" s="33" t="str">
        <f t="shared" si="5"/>
        <v>OK</v>
      </c>
      <c r="M9" s="31" t="s">
        <v>56</v>
      </c>
      <c r="N9" s="31"/>
    </row>
    <row r="10" spans="1:14" ht="27.6">
      <c r="A10" s="31" t="s">
        <v>465</v>
      </c>
      <c r="B10" s="31" t="s">
        <v>463</v>
      </c>
      <c r="C10" s="31">
        <v>45</v>
      </c>
      <c r="D10" s="34">
        <f t="shared" si="6"/>
        <v>46147.538194444445</v>
      </c>
      <c r="E10" s="35">
        <f t="shared" si="0"/>
        <v>46147.569444444445</v>
      </c>
      <c r="F10" s="33">
        <f t="shared" si="1"/>
        <v>0</v>
      </c>
      <c r="G10" s="33">
        <f t="shared" si="2"/>
        <v>0.75</v>
      </c>
      <c r="H10" s="33">
        <f t="shared" si="3"/>
        <v>0</v>
      </c>
      <c r="I10" s="33">
        <f>SUM($F$5:F10)</f>
        <v>5.416666666666667</v>
      </c>
      <c r="J10" s="33">
        <f>SUM($G$5:G10)</f>
        <v>6.916666666666667</v>
      </c>
      <c r="K10" s="33" t="str">
        <f t="shared" si="4"/>
        <v>Tarkista 45 min tauko</v>
      </c>
      <c r="L10" s="33" t="str">
        <f t="shared" si="5"/>
        <v>OK</v>
      </c>
      <c r="M10" s="31" t="s">
        <v>56</v>
      </c>
      <c r="N10" s="31"/>
    </row>
    <row r="11" spans="1:14" ht="27.6">
      <c r="A11" s="31"/>
      <c r="B11" s="31"/>
      <c r="C11" s="31"/>
      <c r="D11" s="34" t="str">
        <f t="shared" si="6"/>
        <v/>
      </c>
      <c r="E11" s="35" t="str">
        <f t="shared" si="0"/>
        <v/>
      </c>
      <c r="F11" s="33">
        <f t="shared" si="1"/>
        <v>0</v>
      </c>
      <c r="G11" s="33">
        <f t="shared" si="2"/>
        <v>0</v>
      </c>
      <c r="H11" s="33">
        <f t="shared" si="3"/>
        <v>0</v>
      </c>
      <c r="I11" s="33">
        <f>SUM($F$5:F11)</f>
        <v>5.416666666666667</v>
      </c>
      <c r="J11" s="33">
        <f>SUM($G$5:G11)</f>
        <v>6.916666666666667</v>
      </c>
      <c r="K11" s="33" t="str">
        <f t="shared" si="4"/>
        <v>Tarkista 45 min tauko</v>
      </c>
      <c r="L11" s="33" t="str">
        <f t="shared" si="5"/>
        <v>OK</v>
      </c>
      <c r="M11" s="31"/>
      <c r="N11" s="31"/>
    </row>
    <row r="12" spans="1:14" ht="27.6">
      <c r="A12" s="31"/>
      <c r="B12" s="31"/>
      <c r="C12" s="31"/>
      <c r="D12" s="34" t="str">
        <f t="shared" si="6"/>
        <v/>
      </c>
      <c r="E12" s="35" t="str">
        <f t="shared" si="0"/>
        <v/>
      </c>
      <c r="F12" s="33">
        <f t="shared" si="1"/>
        <v>0</v>
      </c>
      <c r="G12" s="33">
        <f t="shared" si="2"/>
        <v>0</v>
      </c>
      <c r="H12" s="33">
        <f t="shared" si="3"/>
        <v>0</v>
      </c>
      <c r="I12" s="33">
        <f>SUM($F$5:F12)</f>
        <v>5.416666666666667</v>
      </c>
      <c r="J12" s="33">
        <f>SUM($G$5:G12)</f>
        <v>6.916666666666667</v>
      </c>
      <c r="K12" s="33" t="str">
        <f t="shared" si="4"/>
        <v>Tarkista 45 min tauko</v>
      </c>
      <c r="L12" s="33" t="str">
        <f t="shared" si="5"/>
        <v>OK</v>
      </c>
      <c r="M12" s="31"/>
      <c r="N12" s="31"/>
    </row>
    <row r="13" spans="1:14" ht="27.6">
      <c r="A13" s="31"/>
      <c r="B13" s="31"/>
      <c r="C13" s="31"/>
      <c r="D13" s="34" t="str">
        <f t="shared" si="6"/>
        <v/>
      </c>
      <c r="E13" s="35" t="str">
        <f t="shared" si="0"/>
        <v/>
      </c>
      <c r="F13" s="33">
        <f t="shared" si="1"/>
        <v>0</v>
      </c>
      <c r="G13" s="33">
        <f t="shared" si="2"/>
        <v>0</v>
      </c>
      <c r="H13" s="33">
        <f t="shared" si="3"/>
        <v>0</v>
      </c>
      <c r="I13" s="33">
        <f>SUM($F$5:F13)</f>
        <v>5.416666666666667</v>
      </c>
      <c r="J13" s="33">
        <f>SUM($G$5:G13)</f>
        <v>6.916666666666667</v>
      </c>
      <c r="K13" s="33" t="str">
        <f t="shared" si="4"/>
        <v>Tarkista 45 min tauko</v>
      </c>
      <c r="L13" s="33" t="str">
        <f t="shared" si="5"/>
        <v>OK</v>
      </c>
      <c r="M13" s="31"/>
      <c r="N13" s="31"/>
    </row>
    <row r="14" spans="1:14" ht="27.6">
      <c r="A14" s="31"/>
      <c r="B14" s="31"/>
      <c r="C14" s="31"/>
      <c r="D14" s="34" t="str">
        <f t="shared" si="6"/>
        <v/>
      </c>
      <c r="E14" s="35" t="str">
        <f t="shared" si="0"/>
        <v/>
      </c>
      <c r="F14" s="33">
        <f t="shared" si="1"/>
        <v>0</v>
      </c>
      <c r="G14" s="33">
        <f t="shared" si="2"/>
        <v>0</v>
      </c>
      <c r="H14" s="33">
        <f t="shared" si="3"/>
        <v>0</v>
      </c>
      <c r="I14" s="33">
        <f>SUM($F$5:F14)</f>
        <v>5.416666666666667</v>
      </c>
      <c r="J14" s="33">
        <f>SUM($G$5:G14)</f>
        <v>6.916666666666667</v>
      </c>
      <c r="K14" s="33" t="str">
        <f t="shared" si="4"/>
        <v>Tarkista 45 min tauko</v>
      </c>
      <c r="L14" s="33" t="str">
        <f t="shared" si="5"/>
        <v>OK</v>
      </c>
      <c r="M14" s="31"/>
      <c r="N14" s="31"/>
    </row>
    <row r="15" spans="1:14" ht="27.6">
      <c r="A15" s="31"/>
      <c r="B15" s="31"/>
      <c r="C15" s="31"/>
      <c r="D15" s="34" t="str">
        <f t="shared" si="6"/>
        <v/>
      </c>
      <c r="E15" s="35" t="str">
        <f t="shared" si="0"/>
        <v/>
      </c>
      <c r="F15" s="33">
        <f t="shared" si="1"/>
        <v>0</v>
      </c>
      <c r="G15" s="33">
        <f t="shared" si="2"/>
        <v>0</v>
      </c>
      <c r="H15" s="33">
        <f t="shared" si="3"/>
        <v>0</v>
      </c>
      <c r="I15" s="33">
        <f>SUM($F$5:F15)</f>
        <v>5.416666666666667</v>
      </c>
      <c r="J15" s="33">
        <f>SUM($G$5:G15)</f>
        <v>6.916666666666667</v>
      </c>
      <c r="K15" s="33" t="str">
        <f t="shared" si="4"/>
        <v>Tarkista 45 min tauko</v>
      </c>
      <c r="L15" s="33" t="str">
        <f t="shared" si="5"/>
        <v>OK</v>
      </c>
      <c r="M15" s="31"/>
      <c r="N15" s="31"/>
    </row>
    <row r="16" spans="1:14" ht="27.6">
      <c r="A16" s="31"/>
      <c r="B16" s="31"/>
      <c r="C16" s="31"/>
      <c r="D16" s="34" t="str">
        <f t="shared" si="6"/>
        <v/>
      </c>
      <c r="E16" s="35" t="str">
        <f t="shared" si="0"/>
        <v/>
      </c>
      <c r="F16" s="33">
        <f t="shared" si="1"/>
        <v>0</v>
      </c>
      <c r="G16" s="33">
        <f t="shared" si="2"/>
        <v>0</v>
      </c>
      <c r="H16" s="33">
        <f t="shared" si="3"/>
        <v>0</v>
      </c>
      <c r="I16" s="33">
        <f>SUM($F$5:F16)</f>
        <v>5.416666666666667</v>
      </c>
      <c r="J16" s="33">
        <f>SUM($G$5:G16)</f>
        <v>6.916666666666667</v>
      </c>
      <c r="K16" s="33" t="str">
        <f t="shared" si="4"/>
        <v>Tarkista 45 min tauko</v>
      </c>
      <c r="L16" s="33" t="str">
        <f t="shared" si="5"/>
        <v>OK</v>
      </c>
      <c r="M16" s="31"/>
      <c r="N16" s="31"/>
    </row>
    <row r="17" spans="1:14" ht="27.6">
      <c r="A17" s="31"/>
      <c r="B17" s="31"/>
      <c r="C17" s="31"/>
      <c r="D17" s="34" t="str">
        <f t="shared" si="6"/>
        <v/>
      </c>
      <c r="E17" s="35" t="str">
        <f t="shared" si="0"/>
        <v/>
      </c>
      <c r="F17" s="33">
        <f t="shared" si="1"/>
        <v>0</v>
      </c>
      <c r="G17" s="33">
        <f t="shared" si="2"/>
        <v>0</v>
      </c>
      <c r="H17" s="33">
        <f t="shared" si="3"/>
        <v>0</v>
      </c>
      <c r="I17" s="33">
        <f>SUM($F$5:F17)</f>
        <v>5.416666666666667</v>
      </c>
      <c r="J17" s="33">
        <f>SUM($G$5:G17)</f>
        <v>6.916666666666667</v>
      </c>
      <c r="K17" s="33" t="str">
        <f t="shared" si="4"/>
        <v>Tarkista 45 min tauko</v>
      </c>
      <c r="L17" s="33" t="str">
        <f t="shared" si="5"/>
        <v>OK</v>
      </c>
      <c r="M17" s="31"/>
      <c r="N17" s="31"/>
    </row>
    <row r="18" spans="1:14" ht="27.6">
      <c r="A18" s="31"/>
      <c r="B18" s="31"/>
      <c r="C18" s="31"/>
      <c r="D18" s="34" t="str">
        <f t="shared" si="6"/>
        <v/>
      </c>
      <c r="E18" s="35" t="str">
        <f t="shared" si="0"/>
        <v/>
      </c>
      <c r="F18" s="33">
        <f t="shared" si="1"/>
        <v>0</v>
      </c>
      <c r="G18" s="33">
        <f t="shared" si="2"/>
        <v>0</v>
      </c>
      <c r="H18" s="33">
        <f t="shared" si="3"/>
        <v>0</v>
      </c>
      <c r="I18" s="33">
        <f>SUM($F$5:F18)</f>
        <v>5.416666666666667</v>
      </c>
      <c r="J18" s="33">
        <f>SUM($G$5:G18)</f>
        <v>6.916666666666667</v>
      </c>
      <c r="K18" s="33" t="str">
        <f t="shared" si="4"/>
        <v>Tarkista 45 min tauko</v>
      </c>
      <c r="L18" s="33" t="str">
        <f t="shared" si="5"/>
        <v>OK</v>
      </c>
      <c r="M18" s="31"/>
      <c r="N18" s="31"/>
    </row>
    <row r="19" spans="1:14" ht="27.6">
      <c r="A19" s="31"/>
      <c r="B19" s="31"/>
      <c r="C19" s="31"/>
      <c r="D19" s="34" t="str">
        <f t="shared" si="6"/>
        <v/>
      </c>
      <c r="E19" s="35" t="str">
        <f t="shared" si="0"/>
        <v/>
      </c>
      <c r="F19" s="33">
        <f t="shared" si="1"/>
        <v>0</v>
      </c>
      <c r="G19" s="33">
        <f t="shared" si="2"/>
        <v>0</v>
      </c>
      <c r="H19" s="33">
        <f t="shared" si="3"/>
        <v>0</v>
      </c>
      <c r="I19" s="33">
        <f>SUM($F$5:F19)</f>
        <v>5.416666666666667</v>
      </c>
      <c r="J19" s="33">
        <f>SUM($G$5:G19)</f>
        <v>6.916666666666667</v>
      </c>
      <c r="K19" s="33" t="str">
        <f t="shared" si="4"/>
        <v>Tarkista 45 min tauko</v>
      </c>
      <c r="L19" s="33" t="str">
        <f t="shared" si="5"/>
        <v>OK</v>
      </c>
      <c r="M19" s="31"/>
      <c r="N19" s="31"/>
    </row>
    <row r="20" spans="1:14" ht="27.6">
      <c r="A20" s="31"/>
      <c r="B20" s="31"/>
      <c r="C20" s="31"/>
      <c r="D20" s="34" t="str">
        <f t="shared" si="6"/>
        <v/>
      </c>
      <c r="E20" s="35" t="str">
        <f t="shared" si="0"/>
        <v/>
      </c>
      <c r="F20" s="33">
        <f t="shared" si="1"/>
        <v>0</v>
      </c>
      <c r="G20" s="33">
        <f t="shared" si="2"/>
        <v>0</v>
      </c>
      <c r="H20" s="33">
        <f t="shared" si="3"/>
        <v>0</v>
      </c>
      <c r="I20" s="33">
        <f>SUM($F$5:F20)</f>
        <v>5.416666666666667</v>
      </c>
      <c r="J20" s="33">
        <f>SUM($G$5:G20)</f>
        <v>6.916666666666667</v>
      </c>
      <c r="K20" s="33" t="str">
        <f t="shared" si="4"/>
        <v>Tarkista 45 min tauko</v>
      </c>
      <c r="L20" s="33" t="str">
        <f t="shared" si="5"/>
        <v>OK</v>
      </c>
      <c r="M20" s="31"/>
      <c r="N20" s="31"/>
    </row>
    <row r="21" spans="1:14" ht="27.6">
      <c r="A21" s="31"/>
      <c r="B21" s="31"/>
      <c r="C21" s="31"/>
      <c r="D21" s="34" t="str">
        <f t="shared" si="6"/>
        <v/>
      </c>
      <c r="E21" s="35" t="str">
        <f t="shared" si="0"/>
        <v/>
      </c>
      <c r="F21" s="33">
        <f t="shared" si="1"/>
        <v>0</v>
      </c>
      <c r="G21" s="33">
        <f t="shared" si="2"/>
        <v>0</v>
      </c>
      <c r="H21" s="33">
        <f t="shared" si="3"/>
        <v>0</v>
      </c>
      <c r="I21" s="33">
        <f>SUM($F$5:F21)</f>
        <v>5.416666666666667</v>
      </c>
      <c r="J21" s="33">
        <f>SUM($G$5:G21)</f>
        <v>6.916666666666667</v>
      </c>
      <c r="K21" s="33" t="str">
        <f t="shared" si="4"/>
        <v>Tarkista 45 min tauko</v>
      </c>
      <c r="L21" s="33" t="str">
        <f t="shared" si="5"/>
        <v>OK</v>
      </c>
      <c r="M21" s="31"/>
      <c r="N21" s="31"/>
    </row>
    <row r="22" spans="1:14" ht="27.6">
      <c r="A22" s="31"/>
      <c r="B22" s="31"/>
      <c r="C22" s="31"/>
      <c r="D22" s="34" t="str">
        <f t="shared" si="6"/>
        <v/>
      </c>
      <c r="E22" s="35" t="str">
        <f t="shared" si="0"/>
        <v/>
      </c>
      <c r="F22" s="33">
        <f t="shared" si="1"/>
        <v>0</v>
      </c>
      <c r="G22" s="33">
        <f t="shared" si="2"/>
        <v>0</v>
      </c>
      <c r="H22" s="33">
        <f t="shared" si="3"/>
        <v>0</v>
      </c>
      <c r="I22" s="33">
        <f>SUM($F$5:F22)</f>
        <v>5.416666666666667</v>
      </c>
      <c r="J22" s="33">
        <f>SUM($G$5:G22)</f>
        <v>6.916666666666667</v>
      </c>
      <c r="K22" s="33" t="str">
        <f t="shared" si="4"/>
        <v>Tarkista 45 min tauko</v>
      </c>
      <c r="L22" s="33" t="str">
        <f t="shared" si="5"/>
        <v>OK</v>
      </c>
      <c r="M22" s="31"/>
      <c r="N22" s="31"/>
    </row>
    <row r="23" spans="1:14" ht="27.6">
      <c r="A23" s="31"/>
      <c r="B23" s="31"/>
      <c r="C23" s="31"/>
      <c r="D23" s="34" t="str">
        <f t="shared" si="6"/>
        <v/>
      </c>
      <c r="E23" s="35" t="str">
        <f t="shared" si="0"/>
        <v/>
      </c>
      <c r="F23" s="33">
        <f t="shared" si="1"/>
        <v>0</v>
      </c>
      <c r="G23" s="33">
        <f t="shared" si="2"/>
        <v>0</v>
      </c>
      <c r="H23" s="33">
        <f t="shared" si="3"/>
        <v>0</v>
      </c>
      <c r="I23" s="33">
        <f>SUM($F$5:F23)</f>
        <v>5.416666666666667</v>
      </c>
      <c r="J23" s="33">
        <f>SUM($G$5:G23)</f>
        <v>6.916666666666667</v>
      </c>
      <c r="K23" s="33" t="str">
        <f t="shared" si="4"/>
        <v>Tarkista 45 min tauko</v>
      </c>
      <c r="L23" s="33" t="str">
        <f t="shared" si="5"/>
        <v>OK</v>
      </c>
      <c r="M23" s="31"/>
      <c r="N23" s="31"/>
    </row>
    <row r="24" spans="1:14" ht="27.6">
      <c r="A24" s="31"/>
      <c r="B24" s="31"/>
      <c r="C24" s="31"/>
      <c r="D24" s="34" t="str">
        <f t="shared" si="6"/>
        <v/>
      </c>
      <c r="E24" s="35" t="str">
        <f t="shared" si="0"/>
        <v/>
      </c>
      <c r="F24" s="33">
        <f t="shared" si="1"/>
        <v>0</v>
      </c>
      <c r="G24" s="33">
        <f t="shared" si="2"/>
        <v>0</v>
      </c>
      <c r="H24" s="33">
        <f t="shared" si="3"/>
        <v>0</v>
      </c>
      <c r="I24" s="33">
        <f>SUM($F$5:F24)</f>
        <v>5.416666666666667</v>
      </c>
      <c r="J24" s="33">
        <f>SUM($G$5:G24)</f>
        <v>6.916666666666667</v>
      </c>
      <c r="K24" s="33" t="str">
        <f t="shared" si="4"/>
        <v>Tarkista 45 min tauko</v>
      </c>
      <c r="L24" s="33" t="str">
        <f t="shared" si="5"/>
        <v>OK</v>
      </c>
      <c r="M24" s="31"/>
      <c r="N24" s="31"/>
    </row>
    <row r="25" spans="1:14" ht="27.6">
      <c r="A25" s="31"/>
      <c r="B25" s="31"/>
      <c r="C25" s="31"/>
      <c r="D25" s="34" t="str">
        <f t="shared" si="6"/>
        <v/>
      </c>
      <c r="E25" s="35" t="str">
        <f t="shared" si="0"/>
        <v/>
      </c>
      <c r="F25" s="33">
        <f t="shared" si="1"/>
        <v>0</v>
      </c>
      <c r="G25" s="33">
        <f t="shared" si="2"/>
        <v>0</v>
      </c>
      <c r="H25" s="33">
        <f t="shared" si="3"/>
        <v>0</v>
      </c>
      <c r="I25" s="33">
        <f>SUM($F$5:F25)</f>
        <v>5.416666666666667</v>
      </c>
      <c r="J25" s="33">
        <f>SUM($G$5:G25)</f>
        <v>6.916666666666667</v>
      </c>
      <c r="K25" s="33" t="str">
        <f t="shared" si="4"/>
        <v>Tarkista 45 min tauko</v>
      </c>
      <c r="L25" s="33" t="str">
        <f t="shared" si="5"/>
        <v>OK</v>
      </c>
      <c r="M25" s="31"/>
      <c r="N25" s="31"/>
    </row>
    <row r="26" spans="1:14" ht="27.6">
      <c r="A26" s="31"/>
      <c r="B26" s="31"/>
      <c r="C26" s="31"/>
      <c r="D26" s="34" t="str">
        <f t="shared" si="6"/>
        <v/>
      </c>
      <c r="E26" s="35" t="str">
        <f t="shared" si="0"/>
        <v/>
      </c>
      <c r="F26" s="33">
        <f t="shared" si="1"/>
        <v>0</v>
      </c>
      <c r="G26" s="33">
        <f t="shared" si="2"/>
        <v>0</v>
      </c>
      <c r="H26" s="33">
        <f t="shared" si="3"/>
        <v>0</v>
      </c>
      <c r="I26" s="33">
        <f>SUM($F$5:F26)</f>
        <v>5.416666666666667</v>
      </c>
      <c r="J26" s="33">
        <f>SUM($G$5:G26)</f>
        <v>6.916666666666667</v>
      </c>
      <c r="K26" s="33" t="str">
        <f t="shared" si="4"/>
        <v>Tarkista 45 min tauko</v>
      </c>
      <c r="L26" s="33" t="str">
        <f t="shared" si="5"/>
        <v>OK</v>
      </c>
      <c r="M26" s="31"/>
      <c r="N26" s="31"/>
    </row>
    <row r="27" spans="1:14" ht="27.6">
      <c r="A27" s="31"/>
      <c r="B27" s="31"/>
      <c r="C27" s="31"/>
      <c r="D27" s="34" t="str">
        <f t="shared" si="6"/>
        <v/>
      </c>
      <c r="E27" s="35" t="str">
        <f t="shared" si="0"/>
        <v/>
      </c>
      <c r="F27" s="33">
        <f t="shared" si="1"/>
        <v>0</v>
      </c>
      <c r="G27" s="33">
        <f t="shared" si="2"/>
        <v>0</v>
      </c>
      <c r="H27" s="33">
        <f t="shared" si="3"/>
        <v>0</v>
      </c>
      <c r="I27" s="33">
        <f>SUM($F$5:F27)</f>
        <v>5.416666666666667</v>
      </c>
      <c r="J27" s="33">
        <f>SUM($G$5:G27)</f>
        <v>6.916666666666667</v>
      </c>
      <c r="K27" s="33" t="str">
        <f t="shared" si="4"/>
        <v>Tarkista 45 min tauko</v>
      </c>
      <c r="L27" s="33" t="str">
        <f t="shared" si="5"/>
        <v>OK</v>
      </c>
      <c r="M27" s="31"/>
      <c r="N27" s="31"/>
    </row>
    <row r="28" spans="1:14" ht="27.6">
      <c r="A28" s="31"/>
      <c r="B28" s="31"/>
      <c r="C28" s="31"/>
      <c r="D28" s="34" t="str">
        <f t="shared" si="6"/>
        <v/>
      </c>
      <c r="E28" s="35" t="str">
        <f t="shared" si="0"/>
        <v/>
      </c>
      <c r="F28" s="33">
        <f t="shared" si="1"/>
        <v>0</v>
      </c>
      <c r="G28" s="33">
        <f t="shared" si="2"/>
        <v>0</v>
      </c>
      <c r="H28" s="33">
        <f t="shared" si="3"/>
        <v>0</v>
      </c>
      <c r="I28" s="33">
        <f>SUM($F$5:F28)</f>
        <v>5.416666666666667</v>
      </c>
      <c r="J28" s="33">
        <f>SUM($G$5:G28)</f>
        <v>6.916666666666667</v>
      </c>
      <c r="K28" s="33" t="str">
        <f t="shared" si="4"/>
        <v>Tarkista 45 min tauko</v>
      </c>
      <c r="L28" s="33" t="str">
        <f t="shared" si="5"/>
        <v>OK</v>
      </c>
      <c r="M28" s="31"/>
      <c r="N28" s="31"/>
    </row>
    <row r="29" spans="1:14" ht="27.6">
      <c r="A29" s="31"/>
      <c r="B29" s="31"/>
      <c r="C29" s="31"/>
      <c r="D29" s="34" t="str">
        <f t="shared" si="6"/>
        <v/>
      </c>
      <c r="E29" s="35" t="str">
        <f t="shared" si="0"/>
        <v/>
      </c>
      <c r="F29" s="33">
        <f t="shared" si="1"/>
        <v>0</v>
      </c>
      <c r="G29" s="33">
        <f t="shared" si="2"/>
        <v>0</v>
      </c>
      <c r="H29" s="33">
        <f t="shared" si="3"/>
        <v>0</v>
      </c>
      <c r="I29" s="33">
        <f>SUM($F$5:F29)</f>
        <v>5.416666666666667</v>
      </c>
      <c r="J29" s="33">
        <f>SUM($G$5:G29)</f>
        <v>6.916666666666667</v>
      </c>
      <c r="K29" s="33" t="str">
        <f t="shared" si="4"/>
        <v>Tarkista 45 min tauko</v>
      </c>
      <c r="L29" s="33" t="str">
        <f t="shared" si="5"/>
        <v>OK</v>
      </c>
      <c r="M29" s="31"/>
      <c r="N29" s="31"/>
    </row>
    <row r="30" spans="1:14" ht="27.6">
      <c r="A30" s="31"/>
      <c r="B30" s="31"/>
      <c r="C30" s="31"/>
      <c r="D30" s="34" t="str">
        <f t="shared" si="6"/>
        <v/>
      </c>
      <c r="E30" s="35" t="str">
        <f t="shared" si="0"/>
        <v/>
      </c>
      <c r="F30" s="33">
        <f t="shared" si="1"/>
        <v>0</v>
      </c>
      <c r="G30" s="33">
        <f t="shared" si="2"/>
        <v>0</v>
      </c>
      <c r="H30" s="33">
        <f t="shared" si="3"/>
        <v>0</v>
      </c>
      <c r="I30" s="33">
        <f>SUM($F$5:F30)</f>
        <v>5.416666666666667</v>
      </c>
      <c r="J30" s="33">
        <f>SUM($G$5:G30)</f>
        <v>6.916666666666667</v>
      </c>
      <c r="K30" s="33" t="str">
        <f t="shared" si="4"/>
        <v>Tarkista 45 min tauko</v>
      </c>
      <c r="L30" s="33" t="str">
        <f t="shared" si="5"/>
        <v>OK</v>
      </c>
      <c r="M30" s="31"/>
      <c r="N30" s="31"/>
    </row>
    <row r="31" spans="1:14" ht="27.6">
      <c r="A31" s="31"/>
      <c r="B31" s="31"/>
      <c r="C31" s="31"/>
      <c r="D31" s="34" t="str">
        <f t="shared" si="6"/>
        <v/>
      </c>
      <c r="E31" s="35" t="str">
        <f t="shared" si="0"/>
        <v/>
      </c>
      <c r="F31" s="33">
        <f t="shared" si="1"/>
        <v>0</v>
      </c>
      <c r="G31" s="33">
        <f t="shared" si="2"/>
        <v>0</v>
      </c>
      <c r="H31" s="33">
        <f t="shared" si="3"/>
        <v>0</v>
      </c>
      <c r="I31" s="33">
        <f>SUM($F$5:F31)</f>
        <v>5.416666666666667</v>
      </c>
      <c r="J31" s="33">
        <f>SUM($G$5:G31)</f>
        <v>6.916666666666667</v>
      </c>
      <c r="K31" s="33" t="str">
        <f t="shared" si="4"/>
        <v>Tarkista 45 min tauko</v>
      </c>
      <c r="L31" s="33" t="str">
        <f t="shared" si="5"/>
        <v>OK</v>
      </c>
      <c r="M31" s="31"/>
      <c r="N31" s="31"/>
    </row>
    <row r="32" spans="1:14" ht="27.6">
      <c r="A32" s="31"/>
      <c r="B32" s="31"/>
      <c r="C32" s="31"/>
      <c r="D32" s="34" t="str">
        <f t="shared" si="6"/>
        <v/>
      </c>
      <c r="E32" s="35" t="str">
        <f t="shared" si="0"/>
        <v/>
      </c>
      <c r="F32" s="33">
        <f t="shared" si="1"/>
        <v>0</v>
      </c>
      <c r="G32" s="33">
        <f t="shared" si="2"/>
        <v>0</v>
      </c>
      <c r="H32" s="33">
        <f t="shared" si="3"/>
        <v>0</v>
      </c>
      <c r="I32" s="33">
        <f>SUM($F$5:F32)</f>
        <v>5.416666666666667</v>
      </c>
      <c r="J32" s="33">
        <f>SUM($G$5:G32)</f>
        <v>6.916666666666667</v>
      </c>
      <c r="K32" s="33" t="str">
        <f t="shared" si="4"/>
        <v>Tarkista 45 min tauko</v>
      </c>
      <c r="L32" s="33" t="str">
        <f t="shared" si="5"/>
        <v>OK</v>
      </c>
      <c r="M32" s="31"/>
      <c r="N32" s="31"/>
    </row>
    <row r="33" spans="1:14" ht="27.6">
      <c r="A33" s="31"/>
      <c r="B33" s="31"/>
      <c r="C33" s="31"/>
      <c r="D33" s="34" t="str">
        <f t="shared" si="6"/>
        <v/>
      </c>
      <c r="E33" s="35" t="str">
        <f t="shared" si="0"/>
        <v/>
      </c>
      <c r="F33" s="33">
        <f t="shared" si="1"/>
        <v>0</v>
      </c>
      <c r="G33" s="33">
        <f t="shared" si="2"/>
        <v>0</v>
      </c>
      <c r="H33" s="33">
        <f t="shared" si="3"/>
        <v>0</v>
      </c>
      <c r="I33" s="33">
        <f>SUM($F$5:F33)</f>
        <v>5.416666666666667</v>
      </c>
      <c r="J33" s="33">
        <f>SUM($G$5:G33)</f>
        <v>6.916666666666667</v>
      </c>
      <c r="K33" s="33" t="str">
        <f t="shared" si="4"/>
        <v>Tarkista 45 min tauko</v>
      </c>
      <c r="L33" s="33" t="str">
        <f t="shared" si="5"/>
        <v>OK</v>
      </c>
      <c r="M33" s="31"/>
      <c r="N33" s="31"/>
    </row>
    <row r="34" spans="1:14" ht="27.6">
      <c r="A34" s="31"/>
      <c r="B34" s="31"/>
      <c r="C34" s="31"/>
      <c r="D34" s="34" t="str">
        <f t="shared" si="6"/>
        <v/>
      </c>
      <c r="E34" s="35" t="str">
        <f t="shared" si="0"/>
        <v/>
      </c>
      <c r="F34" s="33">
        <f t="shared" si="1"/>
        <v>0</v>
      </c>
      <c r="G34" s="33">
        <f t="shared" si="2"/>
        <v>0</v>
      </c>
      <c r="H34" s="33">
        <f t="shared" si="3"/>
        <v>0</v>
      </c>
      <c r="I34" s="33">
        <f>SUM($F$5:F34)</f>
        <v>5.416666666666667</v>
      </c>
      <c r="J34" s="33">
        <f>SUM($G$5:G34)</f>
        <v>6.916666666666667</v>
      </c>
      <c r="K34" s="33" t="str">
        <f t="shared" si="4"/>
        <v>Tarkista 45 min tauko</v>
      </c>
      <c r="L34" s="33" t="str">
        <f t="shared" si="5"/>
        <v>OK</v>
      </c>
      <c r="M34" s="31"/>
      <c r="N34" s="31"/>
    </row>
    <row r="35" spans="1:14" ht="27.6">
      <c r="A35" s="31"/>
      <c r="B35" s="31"/>
      <c r="C35" s="31"/>
      <c r="D35" s="34" t="str">
        <f t="shared" si="6"/>
        <v/>
      </c>
      <c r="E35" s="35" t="str">
        <f t="shared" si="0"/>
        <v/>
      </c>
      <c r="F35" s="33">
        <f t="shared" si="1"/>
        <v>0</v>
      </c>
      <c r="G35" s="33">
        <f t="shared" si="2"/>
        <v>0</v>
      </c>
      <c r="H35" s="33">
        <f t="shared" si="3"/>
        <v>0</v>
      </c>
      <c r="I35" s="33">
        <f>SUM($F$5:F35)</f>
        <v>5.416666666666667</v>
      </c>
      <c r="J35" s="33">
        <f>SUM($G$5:G35)</f>
        <v>6.916666666666667</v>
      </c>
      <c r="K35" s="33" t="str">
        <f t="shared" si="4"/>
        <v>Tarkista 45 min tauko</v>
      </c>
      <c r="L35" s="33" t="str">
        <f t="shared" si="5"/>
        <v>OK</v>
      </c>
      <c r="M35" s="31"/>
      <c r="N35" s="31"/>
    </row>
    <row r="36" spans="1:14" ht="27.6">
      <c r="A36" s="31"/>
      <c r="B36" s="31"/>
      <c r="C36" s="31"/>
      <c r="D36" s="34" t="str">
        <f t="shared" si="6"/>
        <v/>
      </c>
      <c r="E36" s="35" t="str">
        <f t="shared" si="0"/>
        <v/>
      </c>
      <c r="F36" s="33">
        <f t="shared" si="1"/>
        <v>0</v>
      </c>
      <c r="G36" s="33">
        <f t="shared" si="2"/>
        <v>0</v>
      </c>
      <c r="H36" s="33">
        <f t="shared" si="3"/>
        <v>0</v>
      </c>
      <c r="I36" s="33">
        <f>SUM($F$5:F36)</f>
        <v>5.416666666666667</v>
      </c>
      <c r="J36" s="33">
        <f>SUM($G$5:G36)</f>
        <v>6.916666666666667</v>
      </c>
      <c r="K36" s="33" t="str">
        <f t="shared" si="4"/>
        <v>Tarkista 45 min tauko</v>
      </c>
      <c r="L36" s="33" t="str">
        <f t="shared" si="5"/>
        <v>OK</v>
      </c>
      <c r="M36" s="31"/>
      <c r="N36" s="31"/>
    </row>
    <row r="37" spans="1:14" ht="27.6">
      <c r="A37" s="31"/>
      <c r="B37" s="31"/>
      <c r="C37" s="31"/>
      <c r="D37" s="34" t="str">
        <f t="shared" si="6"/>
        <v/>
      </c>
      <c r="E37" s="35" t="str">
        <f t="shared" si="0"/>
        <v/>
      </c>
      <c r="F37" s="33">
        <f t="shared" si="1"/>
        <v>0</v>
      </c>
      <c r="G37" s="33">
        <f t="shared" si="2"/>
        <v>0</v>
      </c>
      <c r="H37" s="33">
        <f t="shared" si="3"/>
        <v>0</v>
      </c>
      <c r="I37" s="33">
        <f>SUM($F$5:F37)</f>
        <v>5.416666666666667</v>
      </c>
      <c r="J37" s="33">
        <f>SUM($G$5:G37)</f>
        <v>6.916666666666667</v>
      </c>
      <c r="K37" s="33" t="str">
        <f t="shared" si="4"/>
        <v>Tarkista 45 min tauko</v>
      </c>
      <c r="L37" s="33" t="str">
        <f t="shared" si="5"/>
        <v>OK</v>
      </c>
      <c r="M37" s="31"/>
      <c r="N37" s="31"/>
    </row>
    <row r="38" spans="1:14" ht="27.6">
      <c r="A38" s="31"/>
      <c r="B38" s="31"/>
      <c r="C38" s="31"/>
      <c r="D38" s="34" t="str">
        <f t="shared" si="6"/>
        <v/>
      </c>
      <c r="E38" s="35" t="str">
        <f t="shared" si="0"/>
        <v/>
      </c>
      <c r="F38" s="33">
        <f t="shared" si="1"/>
        <v>0</v>
      </c>
      <c r="G38" s="33">
        <f t="shared" si="2"/>
        <v>0</v>
      </c>
      <c r="H38" s="33">
        <f t="shared" si="3"/>
        <v>0</v>
      </c>
      <c r="I38" s="33">
        <f>SUM($F$5:F38)</f>
        <v>5.416666666666667</v>
      </c>
      <c r="J38" s="33">
        <f>SUM($G$5:G38)</f>
        <v>6.916666666666667</v>
      </c>
      <c r="K38" s="33" t="str">
        <f t="shared" si="4"/>
        <v>Tarkista 45 min tauko</v>
      </c>
      <c r="L38" s="33" t="str">
        <f t="shared" si="5"/>
        <v>OK</v>
      </c>
      <c r="M38" s="31"/>
      <c r="N38" s="31"/>
    </row>
    <row r="39" spans="1:14" ht="27.6">
      <c r="A39" s="31"/>
      <c r="B39" s="31"/>
      <c r="C39" s="31"/>
      <c r="D39" s="34" t="str">
        <f t="shared" si="6"/>
        <v/>
      </c>
      <c r="E39" s="35" t="str">
        <f t="shared" si="0"/>
        <v/>
      </c>
      <c r="F39" s="33">
        <f t="shared" si="1"/>
        <v>0</v>
      </c>
      <c r="G39" s="33">
        <f t="shared" si="2"/>
        <v>0</v>
      </c>
      <c r="H39" s="33">
        <f t="shared" si="3"/>
        <v>0</v>
      </c>
      <c r="I39" s="33">
        <f>SUM($F$5:F39)</f>
        <v>5.416666666666667</v>
      </c>
      <c r="J39" s="33">
        <f>SUM($G$5:G39)</f>
        <v>6.916666666666667</v>
      </c>
      <c r="K39" s="33" t="str">
        <f t="shared" si="4"/>
        <v>Tarkista 45 min tauko</v>
      </c>
      <c r="L39" s="33" t="str">
        <f t="shared" si="5"/>
        <v>OK</v>
      </c>
      <c r="M39" s="31"/>
      <c r="N39" s="31"/>
    </row>
    <row r="40" spans="1:14" ht="27.6">
      <c r="A40" s="31"/>
      <c r="B40" s="31"/>
      <c r="C40" s="31"/>
      <c r="D40" s="34" t="str">
        <f t="shared" si="6"/>
        <v/>
      </c>
      <c r="E40" s="35" t="str">
        <f t="shared" si="0"/>
        <v/>
      </c>
      <c r="F40" s="33">
        <f t="shared" si="1"/>
        <v>0</v>
      </c>
      <c r="G40" s="33">
        <f t="shared" si="2"/>
        <v>0</v>
      </c>
      <c r="H40" s="33">
        <f t="shared" si="3"/>
        <v>0</v>
      </c>
      <c r="I40" s="33">
        <f>SUM($F$5:F40)</f>
        <v>5.416666666666667</v>
      </c>
      <c r="J40" s="33">
        <f>SUM($G$5:G40)</f>
        <v>6.916666666666667</v>
      </c>
      <c r="K40" s="33" t="str">
        <f t="shared" si="4"/>
        <v>Tarkista 45 min tauko</v>
      </c>
      <c r="L40" s="33" t="str">
        <f t="shared" si="5"/>
        <v>OK</v>
      </c>
      <c r="M40" s="31"/>
      <c r="N40" s="31"/>
    </row>
    <row r="41" spans="1:14">
      <c r="A41" s="31"/>
      <c r="B41" s="31"/>
      <c r="C41" s="31"/>
      <c r="D41" s="34"/>
      <c r="E41" s="35"/>
      <c r="F41" s="33"/>
      <c r="G41" s="33"/>
      <c r="H41" s="33"/>
      <c r="I41" s="33"/>
      <c r="J41" s="33"/>
      <c r="K41" s="33"/>
      <c r="L41" s="33"/>
      <c r="M41" s="31"/>
      <c r="N41" s="3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41"/>
  <sheetViews>
    <sheetView workbookViewId="0"/>
  </sheetViews>
  <sheetFormatPr defaultRowHeight="13.8"/>
  <cols>
    <col min="1" max="1" width="16" customWidth="1"/>
    <col min="2" max="2" width="30" customWidth="1"/>
    <col min="3" max="11" width="18" customWidth="1"/>
    <col min="12" max="12" width="24" customWidth="1"/>
  </cols>
  <sheetData>
    <row r="1" spans="1:14">
      <c r="A1" s="67" t="s">
        <v>466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9"/>
      <c r="N1" s="9"/>
    </row>
    <row r="2" spans="1:14">
      <c r="A2" s="60" t="s">
        <v>467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</row>
    <row r="4" spans="1:14">
      <c r="A4" s="30" t="s">
        <v>436</v>
      </c>
      <c r="B4" s="30" t="s">
        <v>69</v>
      </c>
      <c r="C4" s="30" t="s">
        <v>468</v>
      </c>
      <c r="D4" s="30" t="s">
        <v>469</v>
      </c>
      <c r="E4" s="30" t="s">
        <v>470</v>
      </c>
      <c r="F4" s="30" t="s">
        <v>471</v>
      </c>
      <c r="G4" s="30" t="s">
        <v>327</v>
      </c>
      <c r="H4" s="30" t="s">
        <v>472</v>
      </c>
      <c r="I4" s="30" t="s">
        <v>331</v>
      </c>
      <c r="J4" s="30" t="s">
        <v>473</v>
      </c>
      <c r="K4" s="30" t="s">
        <v>123</v>
      </c>
      <c r="L4" s="30" t="s">
        <v>5</v>
      </c>
    </row>
    <row r="5" spans="1:14">
      <c r="A5" s="31" t="s">
        <v>441</v>
      </c>
      <c r="B5" s="31" t="s">
        <v>77</v>
      </c>
      <c r="C5" s="31">
        <v>290</v>
      </c>
      <c r="D5" s="31">
        <v>40</v>
      </c>
      <c r="E5" s="33">
        <f t="shared" ref="E5:E40" si="0">IF(A5="","",C5+D5)</f>
        <v>330</v>
      </c>
      <c r="F5" s="37">
        <f t="shared" ref="F5:F40" si="1">IF(E5=0,"",D5/E5)</f>
        <v>0.12121212121212122</v>
      </c>
      <c r="G5" s="38">
        <v>850</v>
      </c>
      <c r="H5" s="38">
        <v>680</v>
      </c>
      <c r="I5" s="39">
        <f t="shared" ref="I5:I40" si="2">IF(A5="","",G5-H5)</f>
        <v>170</v>
      </c>
      <c r="J5" s="39">
        <f t="shared" ref="J5:J40" si="3">IF(C5=0,"",G5/C5)</f>
        <v>2.9310344827586206</v>
      </c>
      <c r="K5" s="33" t="str">
        <f t="shared" ref="K5:K40" si="4">IF(A5="","",IF(F5&gt;0.18,"Punainen",IF(F5&gt;0.15,"Keltainen","OK")))</f>
        <v>OK</v>
      </c>
      <c r="L5" s="31"/>
    </row>
    <row r="6" spans="1:14">
      <c r="A6" s="31" t="s">
        <v>442</v>
      </c>
      <c r="B6" s="31" t="s">
        <v>443</v>
      </c>
      <c r="C6" s="31">
        <v>600</v>
      </c>
      <c r="D6" s="31">
        <v>80</v>
      </c>
      <c r="E6" s="33">
        <f t="shared" si="0"/>
        <v>680</v>
      </c>
      <c r="F6" s="37">
        <f t="shared" si="1"/>
        <v>0.11764705882352941</v>
      </c>
      <c r="G6" s="38">
        <v>1380</v>
      </c>
      <c r="H6" s="38">
        <v>1120</v>
      </c>
      <c r="I6" s="39">
        <f t="shared" si="2"/>
        <v>260</v>
      </c>
      <c r="J6" s="39">
        <f t="shared" si="3"/>
        <v>2.2999999999999998</v>
      </c>
      <c r="K6" s="33" t="str">
        <f t="shared" si="4"/>
        <v>OK</v>
      </c>
      <c r="L6" s="31"/>
    </row>
    <row r="7" spans="1:14">
      <c r="A7" s="31" t="s">
        <v>444</v>
      </c>
      <c r="B7" s="31" t="s">
        <v>474</v>
      </c>
      <c r="C7" s="31">
        <v>420</v>
      </c>
      <c r="D7" s="31">
        <v>60</v>
      </c>
      <c r="E7" s="33">
        <f t="shared" si="0"/>
        <v>480</v>
      </c>
      <c r="F7" s="37">
        <f t="shared" si="1"/>
        <v>0.125</v>
      </c>
      <c r="G7" s="38">
        <v>1180</v>
      </c>
      <c r="H7" s="38">
        <v>980</v>
      </c>
      <c r="I7" s="39">
        <f t="shared" si="2"/>
        <v>200</v>
      </c>
      <c r="J7" s="39">
        <f t="shared" si="3"/>
        <v>2.8095238095238093</v>
      </c>
      <c r="K7" s="33" t="str">
        <f t="shared" si="4"/>
        <v>OK</v>
      </c>
      <c r="L7" s="31"/>
    </row>
    <row r="8" spans="1:14">
      <c r="A8" s="31"/>
      <c r="B8" s="31"/>
      <c r="C8" s="31"/>
      <c r="D8" s="31"/>
      <c r="E8" s="33" t="str">
        <f t="shared" si="0"/>
        <v/>
      </c>
      <c r="F8" s="37" t="e">
        <f t="shared" si="1"/>
        <v>#VALUE!</v>
      </c>
      <c r="G8" s="38" t="str">
        <f t="shared" ref="G8:G40" si="5">IF(A8="","",G8)</f>
        <v/>
      </c>
      <c r="H8" s="38" t="str">
        <f t="shared" ref="H8:H40" si="6">IF(A8="","",H8)</f>
        <v/>
      </c>
      <c r="I8" s="39" t="str">
        <f t="shared" si="2"/>
        <v/>
      </c>
      <c r="J8" s="39" t="str">
        <f t="shared" si="3"/>
        <v/>
      </c>
      <c r="K8" s="33" t="str">
        <f t="shared" si="4"/>
        <v/>
      </c>
      <c r="L8" s="31"/>
    </row>
    <row r="9" spans="1:14">
      <c r="A9" s="31"/>
      <c r="B9" s="31"/>
      <c r="C9" s="31"/>
      <c r="D9" s="31"/>
      <c r="E9" s="33" t="str">
        <f t="shared" si="0"/>
        <v/>
      </c>
      <c r="F9" s="37" t="e">
        <f t="shared" si="1"/>
        <v>#VALUE!</v>
      </c>
      <c r="G9" s="38" t="str">
        <f t="shared" si="5"/>
        <v/>
      </c>
      <c r="H9" s="38" t="str">
        <f t="shared" si="6"/>
        <v/>
      </c>
      <c r="I9" s="39" t="str">
        <f t="shared" si="2"/>
        <v/>
      </c>
      <c r="J9" s="39" t="str">
        <f t="shared" si="3"/>
        <v/>
      </c>
      <c r="K9" s="33" t="str">
        <f t="shared" si="4"/>
        <v/>
      </c>
      <c r="L9" s="31"/>
    </row>
    <row r="10" spans="1:14">
      <c r="A10" s="31"/>
      <c r="B10" s="31"/>
      <c r="C10" s="31"/>
      <c r="D10" s="31"/>
      <c r="E10" s="33" t="str">
        <f t="shared" si="0"/>
        <v/>
      </c>
      <c r="F10" s="37" t="e">
        <f t="shared" si="1"/>
        <v>#VALUE!</v>
      </c>
      <c r="G10" s="38" t="str">
        <f t="shared" si="5"/>
        <v/>
      </c>
      <c r="H10" s="38" t="str">
        <f t="shared" si="6"/>
        <v/>
      </c>
      <c r="I10" s="39" t="str">
        <f t="shared" si="2"/>
        <v/>
      </c>
      <c r="J10" s="39" t="str">
        <f t="shared" si="3"/>
        <v/>
      </c>
      <c r="K10" s="33" t="str">
        <f t="shared" si="4"/>
        <v/>
      </c>
      <c r="L10" s="31"/>
    </row>
    <row r="11" spans="1:14">
      <c r="A11" s="31"/>
      <c r="B11" s="31"/>
      <c r="C11" s="31"/>
      <c r="D11" s="31"/>
      <c r="E11" s="33" t="str">
        <f t="shared" si="0"/>
        <v/>
      </c>
      <c r="F11" s="37" t="e">
        <f t="shared" si="1"/>
        <v>#VALUE!</v>
      </c>
      <c r="G11" s="38" t="str">
        <f t="shared" si="5"/>
        <v/>
      </c>
      <c r="H11" s="38" t="str">
        <f t="shared" si="6"/>
        <v/>
      </c>
      <c r="I11" s="39" t="str">
        <f t="shared" si="2"/>
        <v/>
      </c>
      <c r="J11" s="39" t="str">
        <f t="shared" si="3"/>
        <v/>
      </c>
      <c r="K11" s="33" t="str">
        <f t="shared" si="4"/>
        <v/>
      </c>
      <c r="L11" s="31"/>
    </row>
    <row r="12" spans="1:14">
      <c r="A12" s="31"/>
      <c r="B12" s="31"/>
      <c r="C12" s="31"/>
      <c r="D12" s="31"/>
      <c r="E12" s="33" t="str">
        <f t="shared" si="0"/>
        <v/>
      </c>
      <c r="F12" s="37" t="e">
        <f t="shared" si="1"/>
        <v>#VALUE!</v>
      </c>
      <c r="G12" s="38" t="str">
        <f t="shared" si="5"/>
        <v/>
      </c>
      <c r="H12" s="38" t="str">
        <f t="shared" si="6"/>
        <v/>
      </c>
      <c r="I12" s="39" t="str">
        <f t="shared" si="2"/>
        <v/>
      </c>
      <c r="J12" s="39" t="str">
        <f t="shared" si="3"/>
        <v/>
      </c>
      <c r="K12" s="33" t="str">
        <f t="shared" si="4"/>
        <v/>
      </c>
      <c r="L12" s="31"/>
    </row>
    <row r="13" spans="1:14">
      <c r="A13" s="31"/>
      <c r="B13" s="31"/>
      <c r="C13" s="31"/>
      <c r="D13" s="31"/>
      <c r="E13" s="33" t="str">
        <f t="shared" si="0"/>
        <v/>
      </c>
      <c r="F13" s="37" t="e">
        <f t="shared" si="1"/>
        <v>#VALUE!</v>
      </c>
      <c r="G13" s="38" t="str">
        <f t="shared" si="5"/>
        <v/>
      </c>
      <c r="H13" s="38" t="str">
        <f t="shared" si="6"/>
        <v/>
      </c>
      <c r="I13" s="39" t="str">
        <f t="shared" si="2"/>
        <v/>
      </c>
      <c r="J13" s="39" t="str">
        <f t="shared" si="3"/>
        <v/>
      </c>
      <c r="K13" s="33" t="str">
        <f t="shared" si="4"/>
        <v/>
      </c>
      <c r="L13" s="31"/>
    </row>
    <row r="14" spans="1:14">
      <c r="A14" s="31"/>
      <c r="B14" s="31"/>
      <c r="C14" s="31"/>
      <c r="D14" s="31"/>
      <c r="E14" s="33" t="str">
        <f t="shared" si="0"/>
        <v/>
      </c>
      <c r="F14" s="37" t="e">
        <f t="shared" si="1"/>
        <v>#VALUE!</v>
      </c>
      <c r="G14" s="38" t="str">
        <f t="shared" si="5"/>
        <v/>
      </c>
      <c r="H14" s="38" t="str">
        <f t="shared" si="6"/>
        <v/>
      </c>
      <c r="I14" s="39" t="str">
        <f t="shared" si="2"/>
        <v/>
      </c>
      <c r="J14" s="39" t="str">
        <f t="shared" si="3"/>
        <v/>
      </c>
      <c r="K14" s="33" t="str">
        <f t="shared" si="4"/>
        <v/>
      </c>
      <c r="L14" s="31"/>
    </row>
    <row r="15" spans="1:14">
      <c r="A15" s="31"/>
      <c r="B15" s="31"/>
      <c r="C15" s="31"/>
      <c r="D15" s="31"/>
      <c r="E15" s="33" t="str">
        <f t="shared" si="0"/>
        <v/>
      </c>
      <c r="F15" s="37" t="e">
        <f t="shared" si="1"/>
        <v>#VALUE!</v>
      </c>
      <c r="G15" s="38" t="str">
        <f t="shared" si="5"/>
        <v/>
      </c>
      <c r="H15" s="38" t="str">
        <f t="shared" si="6"/>
        <v/>
      </c>
      <c r="I15" s="39" t="str">
        <f t="shared" si="2"/>
        <v/>
      </c>
      <c r="J15" s="39" t="str">
        <f t="shared" si="3"/>
        <v/>
      </c>
      <c r="K15" s="33" t="str">
        <f t="shared" si="4"/>
        <v/>
      </c>
      <c r="L15" s="31"/>
    </row>
    <row r="16" spans="1:14">
      <c r="A16" s="31"/>
      <c r="B16" s="31"/>
      <c r="C16" s="31"/>
      <c r="D16" s="31"/>
      <c r="E16" s="33" t="str">
        <f t="shared" si="0"/>
        <v/>
      </c>
      <c r="F16" s="37" t="e">
        <f t="shared" si="1"/>
        <v>#VALUE!</v>
      </c>
      <c r="G16" s="38" t="str">
        <f t="shared" si="5"/>
        <v/>
      </c>
      <c r="H16" s="38" t="str">
        <f t="shared" si="6"/>
        <v/>
      </c>
      <c r="I16" s="39" t="str">
        <f t="shared" si="2"/>
        <v/>
      </c>
      <c r="J16" s="39" t="str">
        <f t="shared" si="3"/>
        <v/>
      </c>
      <c r="K16" s="33" t="str">
        <f t="shared" si="4"/>
        <v/>
      </c>
      <c r="L16" s="31"/>
    </row>
    <row r="17" spans="1:12">
      <c r="A17" s="31"/>
      <c r="B17" s="31"/>
      <c r="C17" s="31"/>
      <c r="D17" s="31"/>
      <c r="E17" s="33" t="str">
        <f t="shared" si="0"/>
        <v/>
      </c>
      <c r="F17" s="37" t="e">
        <f t="shared" si="1"/>
        <v>#VALUE!</v>
      </c>
      <c r="G17" s="38" t="str">
        <f t="shared" si="5"/>
        <v/>
      </c>
      <c r="H17" s="38" t="str">
        <f t="shared" si="6"/>
        <v/>
      </c>
      <c r="I17" s="39" t="str">
        <f t="shared" si="2"/>
        <v/>
      </c>
      <c r="J17" s="39" t="str">
        <f t="shared" si="3"/>
        <v/>
      </c>
      <c r="K17" s="33" t="str">
        <f t="shared" si="4"/>
        <v/>
      </c>
      <c r="L17" s="31"/>
    </row>
    <row r="18" spans="1:12">
      <c r="A18" s="31"/>
      <c r="B18" s="31"/>
      <c r="C18" s="31"/>
      <c r="D18" s="31"/>
      <c r="E18" s="33" t="str">
        <f t="shared" si="0"/>
        <v/>
      </c>
      <c r="F18" s="37" t="e">
        <f t="shared" si="1"/>
        <v>#VALUE!</v>
      </c>
      <c r="G18" s="38" t="str">
        <f t="shared" si="5"/>
        <v/>
      </c>
      <c r="H18" s="38" t="str">
        <f t="shared" si="6"/>
        <v/>
      </c>
      <c r="I18" s="39" t="str">
        <f t="shared" si="2"/>
        <v/>
      </c>
      <c r="J18" s="39" t="str">
        <f t="shared" si="3"/>
        <v/>
      </c>
      <c r="K18" s="33" t="str">
        <f t="shared" si="4"/>
        <v/>
      </c>
      <c r="L18" s="31"/>
    </row>
    <row r="19" spans="1:12">
      <c r="A19" s="31"/>
      <c r="B19" s="31"/>
      <c r="C19" s="31"/>
      <c r="D19" s="31"/>
      <c r="E19" s="33" t="str">
        <f t="shared" si="0"/>
        <v/>
      </c>
      <c r="F19" s="37" t="e">
        <f t="shared" si="1"/>
        <v>#VALUE!</v>
      </c>
      <c r="G19" s="38" t="str">
        <f t="shared" si="5"/>
        <v/>
      </c>
      <c r="H19" s="38" t="str">
        <f t="shared" si="6"/>
        <v/>
      </c>
      <c r="I19" s="39" t="str">
        <f t="shared" si="2"/>
        <v/>
      </c>
      <c r="J19" s="39" t="str">
        <f t="shared" si="3"/>
        <v/>
      </c>
      <c r="K19" s="33" t="str">
        <f t="shared" si="4"/>
        <v/>
      </c>
      <c r="L19" s="31"/>
    </row>
    <row r="20" spans="1:12">
      <c r="A20" s="31"/>
      <c r="B20" s="31"/>
      <c r="C20" s="31"/>
      <c r="D20" s="31"/>
      <c r="E20" s="33" t="str">
        <f t="shared" si="0"/>
        <v/>
      </c>
      <c r="F20" s="37" t="e">
        <f t="shared" si="1"/>
        <v>#VALUE!</v>
      </c>
      <c r="G20" s="38" t="str">
        <f t="shared" si="5"/>
        <v/>
      </c>
      <c r="H20" s="38" t="str">
        <f t="shared" si="6"/>
        <v/>
      </c>
      <c r="I20" s="39" t="str">
        <f t="shared" si="2"/>
        <v/>
      </c>
      <c r="J20" s="39" t="str">
        <f t="shared" si="3"/>
        <v/>
      </c>
      <c r="K20" s="33" t="str">
        <f t="shared" si="4"/>
        <v/>
      </c>
      <c r="L20" s="31"/>
    </row>
    <row r="21" spans="1:12">
      <c r="A21" s="31"/>
      <c r="B21" s="31"/>
      <c r="C21" s="31"/>
      <c r="D21" s="31"/>
      <c r="E21" s="33" t="str">
        <f t="shared" si="0"/>
        <v/>
      </c>
      <c r="F21" s="37" t="e">
        <f t="shared" si="1"/>
        <v>#VALUE!</v>
      </c>
      <c r="G21" s="38" t="str">
        <f t="shared" si="5"/>
        <v/>
      </c>
      <c r="H21" s="38" t="str">
        <f t="shared" si="6"/>
        <v/>
      </c>
      <c r="I21" s="39" t="str">
        <f t="shared" si="2"/>
        <v/>
      </c>
      <c r="J21" s="39" t="str">
        <f t="shared" si="3"/>
        <v/>
      </c>
      <c r="K21" s="33" t="str">
        <f t="shared" si="4"/>
        <v/>
      </c>
      <c r="L21" s="31"/>
    </row>
    <row r="22" spans="1:12">
      <c r="A22" s="31"/>
      <c r="B22" s="31"/>
      <c r="C22" s="31"/>
      <c r="D22" s="31"/>
      <c r="E22" s="33" t="str">
        <f t="shared" si="0"/>
        <v/>
      </c>
      <c r="F22" s="37" t="e">
        <f t="shared" si="1"/>
        <v>#VALUE!</v>
      </c>
      <c r="G22" s="38" t="str">
        <f t="shared" si="5"/>
        <v/>
      </c>
      <c r="H22" s="38" t="str">
        <f t="shared" si="6"/>
        <v/>
      </c>
      <c r="I22" s="39" t="str">
        <f t="shared" si="2"/>
        <v/>
      </c>
      <c r="J22" s="39" t="str">
        <f t="shared" si="3"/>
        <v/>
      </c>
      <c r="K22" s="33" t="str">
        <f t="shared" si="4"/>
        <v/>
      </c>
      <c r="L22" s="31"/>
    </row>
    <row r="23" spans="1:12">
      <c r="A23" s="31"/>
      <c r="B23" s="31"/>
      <c r="C23" s="31"/>
      <c r="D23" s="31"/>
      <c r="E23" s="33" t="str">
        <f t="shared" si="0"/>
        <v/>
      </c>
      <c r="F23" s="37" t="e">
        <f t="shared" si="1"/>
        <v>#VALUE!</v>
      </c>
      <c r="G23" s="38" t="str">
        <f t="shared" si="5"/>
        <v/>
      </c>
      <c r="H23" s="38" t="str">
        <f t="shared" si="6"/>
        <v/>
      </c>
      <c r="I23" s="39" t="str">
        <f t="shared" si="2"/>
        <v/>
      </c>
      <c r="J23" s="39" t="str">
        <f t="shared" si="3"/>
        <v/>
      </c>
      <c r="K23" s="33" t="str">
        <f t="shared" si="4"/>
        <v/>
      </c>
      <c r="L23" s="31"/>
    </row>
    <row r="24" spans="1:12">
      <c r="A24" s="31"/>
      <c r="B24" s="31"/>
      <c r="C24" s="31"/>
      <c r="D24" s="31"/>
      <c r="E24" s="33" t="str">
        <f t="shared" si="0"/>
        <v/>
      </c>
      <c r="F24" s="37" t="e">
        <f t="shared" si="1"/>
        <v>#VALUE!</v>
      </c>
      <c r="G24" s="38" t="str">
        <f t="shared" si="5"/>
        <v/>
      </c>
      <c r="H24" s="38" t="str">
        <f t="shared" si="6"/>
        <v/>
      </c>
      <c r="I24" s="39" t="str">
        <f t="shared" si="2"/>
        <v/>
      </c>
      <c r="J24" s="39" t="str">
        <f t="shared" si="3"/>
        <v/>
      </c>
      <c r="K24" s="33" t="str">
        <f t="shared" si="4"/>
        <v/>
      </c>
      <c r="L24" s="31"/>
    </row>
    <row r="25" spans="1:12">
      <c r="A25" s="31"/>
      <c r="B25" s="31"/>
      <c r="C25" s="31"/>
      <c r="D25" s="31"/>
      <c r="E25" s="33" t="str">
        <f t="shared" si="0"/>
        <v/>
      </c>
      <c r="F25" s="37" t="e">
        <f t="shared" si="1"/>
        <v>#VALUE!</v>
      </c>
      <c r="G25" s="38" t="str">
        <f t="shared" si="5"/>
        <v/>
      </c>
      <c r="H25" s="38" t="str">
        <f t="shared" si="6"/>
        <v/>
      </c>
      <c r="I25" s="39" t="str">
        <f t="shared" si="2"/>
        <v/>
      </c>
      <c r="J25" s="39" t="str">
        <f t="shared" si="3"/>
        <v/>
      </c>
      <c r="K25" s="33" t="str">
        <f t="shared" si="4"/>
        <v/>
      </c>
      <c r="L25" s="31"/>
    </row>
    <row r="26" spans="1:12">
      <c r="A26" s="31"/>
      <c r="B26" s="31"/>
      <c r="C26" s="31"/>
      <c r="D26" s="31"/>
      <c r="E26" s="33" t="str">
        <f t="shared" si="0"/>
        <v/>
      </c>
      <c r="F26" s="37" t="e">
        <f t="shared" si="1"/>
        <v>#VALUE!</v>
      </c>
      <c r="G26" s="38" t="str">
        <f t="shared" si="5"/>
        <v/>
      </c>
      <c r="H26" s="38" t="str">
        <f t="shared" si="6"/>
        <v/>
      </c>
      <c r="I26" s="39" t="str">
        <f t="shared" si="2"/>
        <v/>
      </c>
      <c r="J26" s="39" t="str">
        <f t="shared" si="3"/>
        <v/>
      </c>
      <c r="K26" s="33" t="str">
        <f t="shared" si="4"/>
        <v/>
      </c>
      <c r="L26" s="31"/>
    </row>
    <row r="27" spans="1:12">
      <c r="A27" s="31"/>
      <c r="B27" s="31"/>
      <c r="C27" s="31"/>
      <c r="D27" s="31"/>
      <c r="E27" s="33" t="str">
        <f t="shared" si="0"/>
        <v/>
      </c>
      <c r="F27" s="37" t="e">
        <f t="shared" si="1"/>
        <v>#VALUE!</v>
      </c>
      <c r="G27" s="38" t="str">
        <f t="shared" si="5"/>
        <v/>
      </c>
      <c r="H27" s="38" t="str">
        <f t="shared" si="6"/>
        <v/>
      </c>
      <c r="I27" s="39" t="str">
        <f t="shared" si="2"/>
        <v/>
      </c>
      <c r="J27" s="39" t="str">
        <f t="shared" si="3"/>
        <v/>
      </c>
      <c r="K27" s="33" t="str">
        <f t="shared" si="4"/>
        <v/>
      </c>
      <c r="L27" s="31"/>
    </row>
    <row r="28" spans="1:12">
      <c r="A28" s="31"/>
      <c r="B28" s="31"/>
      <c r="C28" s="31"/>
      <c r="D28" s="31"/>
      <c r="E28" s="33" t="str">
        <f t="shared" si="0"/>
        <v/>
      </c>
      <c r="F28" s="37" t="e">
        <f t="shared" si="1"/>
        <v>#VALUE!</v>
      </c>
      <c r="G28" s="38" t="str">
        <f t="shared" si="5"/>
        <v/>
      </c>
      <c r="H28" s="38" t="str">
        <f t="shared" si="6"/>
        <v/>
      </c>
      <c r="I28" s="39" t="str">
        <f t="shared" si="2"/>
        <v/>
      </c>
      <c r="J28" s="39" t="str">
        <f t="shared" si="3"/>
        <v/>
      </c>
      <c r="K28" s="33" t="str">
        <f t="shared" si="4"/>
        <v/>
      </c>
      <c r="L28" s="31"/>
    </row>
    <row r="29" spans="1:12">
      <c r="A29" s="31"/>
      <c r="B29" s="31"/>
      <c r="C29" s="31"/>
      <c r="D29" s="31"/>
      <c r="E29" s="33" t="str">
        <f t="shared" si="0"/>
        <v/>
      </c>
      <c r="F29" s="37" t="e">
        <f t="shared" si="1"/>
        <v>#VALUE!</v>
      </c>
      <c r="G29" s="38" t="str">
        <f t="shared" si="5"/>
        <v/>
      </c>
      <c r="H29" s="38" t="str">
        <f t="shared" si="6"/>
        <v/>
      </c>
      <c r="I29" s="39" t="str">
        <f t="shared" si="2"/>
        <v/>
      </c>
      <c r="J29" s="39" t="str">
        <f t="shared" si="3"/>
        <v/>
      </c>
      <c r="K29" s="33" t="str">
        <f t="shared" si="4"/>
        <v/>
      </c>
      <c r="L29" s="31"/>
    </row>
    <row r="30" spans="1:12">
      <c r="A30" s="31"/>
      <c r="B30" s="31"/>
      <c r="C30" s="31"/>
      <c r="D30" s="31"/>
      <c r="E30" s="33" t="str">
        <f t="shared" si="0"/>
        <v/>
      </c>
      <c r="F30" s="37" t="e">
        <f t="shared" si="1"/>
        <v>#VALUE!</v>
      </c>
      <c r="G30" s="38" t="str">
        <f t="shared" si="5"/>
        <v/>
      </c>
      <c r="H30" s="38" t="str">
        <f t="shared" si="6"/>
        <v/>
      </c>
      <c r="I30" s="39" t="str">
        <f t="shared" si="2"/>
        <v/>
      </c>
      <c r="J30" s="39" t="str">
        <f t="shared" si="3"/>
        <v/>
      </c>
      <c r="K30" s="33" t="str">
        <f t="shared" si="4"/>
        <v/>
      </c>
      <c r="L30" s="31"/>
    </row>
    <row r="31" spans="1:12">
      <c r="A31" s="31"/>
      <c r="B31" s="31"/>
      <c r="C31" s="31"/>
      <c r="D31" s="31"/>
      <c r="E31" s="33" t="str">
        <f t="shared" si="0"/>
        <v/>
      </c>
      <c r="F31" s="37" t="e">
        <f t="shared" si="1"/>
        <v>#VALUE!</v>
      </c>
      <c r="G31" s="38" t="str">
        <f t="shared" si="5"/>
        <v/>
      </c>
      <c r="H31" s="38" t="str">
        <f t="shared" si="6"/>
        <v/>
      </c>
      <c r="I31" s="39" t="str">
        <f t="shared" si="2"/>
        <v/>
      </c>
      <c r="J31" s="39" t="str">
        <f t="shared" si="3"/>
        <v/>
      </c>
      <c r="K31" s="33" t="str">
        <f t="shared" si="4"/>
        <v/>
      </c>
      <c r="L31" s="31"/>
    </row>
    <row r="32" spans="1:12">
      <c r="A32" s="31"/>
      <c r="B32" s="31"/>
      <c r="C32" s="31"/>
      <c r="D32" s="31"/>
      <c r="E32" s="33" t="str">
        <f t="shared" si="0"/>
        <v/>
      </c>
      <c r="F32" s="37" t="e">
        <f t="shared" si="1"/>
        <v>#VALUE!</v>
      </c>
      <c r="G32" s="38" t="str">
        <f t="shared" si="5"/>
        <v/>
      </c>
      <c r="H32" s="38" t="str">
        <f t="shared" si="6"/>
        <v/>
      </c>
      <c r="I32" s="39" t="str">
        <f t="shared" si="2"/>
        <v/>
      </c>
      <c r="J32" s="39" t="str">
        <f t="shared" si="3"/>
        <v/>
      </c>
      <c r="K32" s="33" t="str">
        <f t="shared" si="4"/>
        <v/>
      </c>
      <c r="L32" s="31"/>
    </row>
    <row r="33" spans="1:12">
      <c r="A33" s="31"/>
      <c r="B33" s="31"/>
      <c r="C33" s="31"/>
      <c r="D33" s="31"/>
      <c r="E33" s="33" t="str">
        <f t="shared" si="0"/>
        <v/>
      </c>
      <c r="F33" s="37" t="e">
        <f t="shared" si="1"/>
        <v>#VALUE!</v>
      </c>
      <c r="G33" s="38" t="str">
        <f t="shared" si="5"/>
        <v/>
      </c>
      <c r="H33" s="38" t="str">
        <f t="shared" si="6"/>
        <v/>
      </c>
      <c r="I33" s="39" t="str">
        <f t="shared" si="2"/>
        <v/>
      </c>
      <c r="J33" s="39" t="str">
        <f t="shared" si="3"/>
        <v/>
      </c>
      <c r="K33" s="33" t="str">
        <f t="shared" si="4"/>
        <v/>
      </c>
      <c r="L33" s="31"/>
    </row>
    <row r="34" spans="1:12">
      <c r="A34" s="31"/>
      <c r="B34" s="31"/>
      <c r="C34" s="31"/>
      <c r="D34" s="31"/>
      <c r="E34" s="33" t="str">
        <f t="shared" si="0"/>
        <v/>
      </c>
      <c r="F34" s="37" t="e">
        <f t="shared" si="1"/>
        <v>#VALUE!</v>
      </c>
      <c r="G34" s="38" t="str">
        <f t="shared" si="5"/>
        <v/>
      </c>
      <c r="H34" s="38" t="str">
        <f t="shared" si="6"/>
        <v/>
      </c>
      <c r="I34" s="39" t="str">
        <f t="shared" si="2"/>
        <v/>
      </c>
      <c r="J34" s="39" t="str">
        <f t="shared" si="3"/>
        <v/>
      </c>
      <c r="K34" s="33" t="str">
        <f t="shared" si="4"/>
        <v/>
      </c>
      <c r="L34" s="31"/>
    </row>
    <row r="35" spans="1:12">
      <c r="A35" s="31"/>
      <c r="B35" s="31"/>
      <c r="C35" s="31"/>
      <c r="D35" s="31"/>
      <c r="E35" s="33" t="str">
        <f t="shared" si="0"/>
        <v/>
      </c>
      <c r="F35" s="37" t="e">
        <f t="shared" si="1"/>
        <v>#VALUE!</v>
      </c>
      <c r="G35" s="38" t="str">
        <f t="shared" si="5"/>
        <v/>
      </c>
      <c r="H35" s="38" t="str">
        <f t="shared" si="6"/>
        <v/>
      </c>
      <c r="I35" s="39" t="str">
        <f t="shared" si="2"/>
        <v/>
      </c>
      <c r="J35" s="39" t="str">
        <f t="shared" si="3"/>
        <v/>
      </c>
      <c r="K35" s="33" t="str">
        <f t="shared" si="4"/>
        <v/>
      </c>
      <c r="L35" s="31"/>
    </row>
    <row r="36" spans="1:12">
      <c r="A36" s="31"/>
      <c r="B36" s="31"/>
      <c r="C36" s="31"/>
      <c r="D36" s="31"/>
      <c r="E36" s="33" t="str">
        <f t="shared" si="0"/>
        <v/>
      </c>
      <c r="F36" s="37" t="e">
        <f t="shared" si="1"/>
        <v>#VALUE!</v>
      </c>
      <c r="G36" s="38" t="str">
        <f t="shared" si="5"/>
        <v/>
      </c>
      <c r="H36" s="38" t="str">
        <f t="shared" si="6"/>
        <v/>
      </c>
      <c r="I36" s="39" t="str">
        <f t="shared" si="2"/>
        <v/>
      </c>
      <c r="J36" s="39" t="str">
        <f t="shared" si="3"/>
        <v/>
      </c>
      <c r="K36" s="33" t="str">
        <f t="shared" si="4"/>
        <v/>
      </c>
      <c r="L36" s="31"/>
    </row>
    <row r="37" spans="1:12">
      <c r="A37" s="31"/>
      <c r="B37" s="31"/>
      <c r="C37" s="31"/>
      <c r="D37" s="31"/>
      <c r="E37" s="33" t="str">
        <f t="shared" si="0"/>
        <v/>
      </c>
      <c r="F37" s="37" t="e">
        <f t="shared" si="1"/>
        <v>#VALUE!</v>
      </c>
      <c r="G37" s="38" t="str">
        <f t="shared" si="5"/>
        <v/>
      </c>
      <c r="H37" s="38" t="str">
        <f t="shared" si="6"/>
        <v/>
      </c>
      <c r="I37" s="39" t="str">
        <f t="shared" si="2"/>
        <v/>
      </c>
      <c r="J37" s="39" t="str">
        <f t="shared" si="3"/>
        <v/>
      </c>
      <c r="K37" s="33" t="str">
        <f t="shared" si="4"/>
        <v/>
      </c>
      <c r="L37" s="31"/>
    </row>
    <row r="38" spans="1:12">
      <c r="A38" s="31"/>
      <c r="B38" s="31"/>
      <c r="C38" s="31"/>
      <c r="D38" s="31"/>
      <c r="E38" s="33" t="str">
        <f t="shared" si="0"/>
        <v/>
      </c>
      <c r="F38" s="37" t="e">
        <f t="shared" si="1"/>
        <v>#VALUE!</v>
      </c>
      <c r="G38" s="38" t="str">
        <f t="shared" si="5"/>
        <v/>
      </c>
      <c r="H38" s="38" t="str">
        <f t="shared" si="6"/>
        <v/>
      </c>
      <c r="I38" s="39" t="str">
        <f t="shared" si="2"/>
        <v/>
      </c>
      <c r="J38" s="39" t="str">
        <f t="shared" si="3"/>
        <v/>
      </c>
      <c r="K38" s="33" t="str">
        <f t="shared" si="4"/>
        <v/>
      </c>
      <c r="L38" s="31"/>
    </row>
    <row r="39" spans="1:12">
      <c r="A39" s="31"/>
      <c r="B39" s="31"/>
      <c r="C39" s="31"/>
      <c r="D39" s="31"/>
      <c r="E39" s="33" t="str">
        <f t="shared" si="0"/>
        <v/>
      </c>
      <c r="F39" s="37" t="e">
        <f t="shared" si="1"/>
        <v>#VALUE!</v>
      </c>
      <c r="G39" s="38" t="str">
        <f t="shared" si="5"/>
        <v/>
      </c>
      <c r="H39" s="38" t="str">
        <f t="shared" si="6"/>
        <v/>
      </c>
      <c r="I39" s="39" t="str">
        <f t="shared" si="2"/>
        <v/>
      </c>
      <c r="J39" s="39" t="str">
        <f t="shared" si="3"/>
        <v/>
      </c>
      <c r="K39" s="33" t="str">
        <f t="shared" si="4"/>
        <v/>
      </c>
      <c r="L39" s="31"/>
    </row>
    <row r="40" spans="1:12">
      <c r="A40" s="31"/>
      <c r="B40" s="31"/>
      <c r="C40" s="31"/>
      <c r="D40" s="31"/>
      <c r="E40" s="33" t="str">
        <f t="shared" si="0"/>
        <v/>
      </c>
      <c r="F40" s="37" t="e">
        <f t="shared" si="1"/>
        <v>#VALUE!</v>
      </c>
      <c r="G40" s="38" t="str">
        <f t="shared" si="5"/>
        <v/>
      </c>
      <c r="H40" s="38" t="str">
        <f t="shared" si="6"/>
        <v/>
      </c>
      <c r="I40" s="39" t="str">
        <f t="shared" si="2"/>
        <v/>
      </c>
      <c r="J40" s="39" t="str">
        <f t="shared" si="3"/>
        <v/>
      </c>
      <c r="K40" s="33" t="str">
        <f t="shared" si="4"/>
        <v/>
      </c>
      <c r="L40" s="31"/>
    </row>
    <row r="41" spans="1:12">
      <c r="A41" s="31"/>
      <c r="B41" s="31"/>
      <c r="C41" s="31"/>
      <c r="D41" s="31"/>
      <c r="E41" s="33"/>
      <c r="F41" s="37"/>
      <c r="G41" s="38"/>
      <c r="H41" s="38"/>
      <c r="I41" s="39"/>
      <c r="J41" s="39"/>
      <c r="K41" s="33"/>
      <c r="L41" s="31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N41"/>
  <sheetViews>
    <sheetView workbookViewId="0"/>
  </sheetViews>
  <sheetFormatPr defaultRowHeight="13.8"/>
  <cols>
    <col min="1" max="1" width="28" customWidth="1"/>
    <col min="2" max="2" width="16" customWidth="1"/>
    <col min="3" max="9" width="18" customWidth="1"/>
    <col min="10" max="10" width="20" customWidth="1"/>
    <col min="11" max="11" width="18" customWidth="1"/>
    <col min="12" max="12" width="24" customWidth="1"/>
  </cols>
  <sheetData>
    <row r="1" spans="1:14">
      <c r="A1" s="67" t="s">
        <v>475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9"/>
      <c r="N1" s="9"/>
    </row>
    <row r="2" spans="1:14">
      <c r="A2" s="60" t="s">
        <v>476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</row>
    <row r="4" spans="1:14">
      <c r="A4" s="30" t="s">
        <v>477</v>
      </c>
      <c r="B4" s="30" t="s">
        <v>70</v>
      </c>
      <c r="C4" s="30" t="s">
        <v>327</v>
      </c>
      <c r="D4" s="30" t="s">
        <v>472</v>
      </c>
      <c r="E4" s="30" t="s">
        <v>331</v>
      </c>
      <c r="F4" s="30" t="s">
        <v>478</v>
      </c>
      <c r="G4" s="30" t="s">
        <v>479</v>
      </c>
      <c r="H4" s="30" t="s">
        <v>480</v>
      </c>
      <c r="I4" s="30" t="s">
        <v>481</v>
      </c>
      <c r="J4" s="30" t="s">
        <v>123</v>
      </c>
      <c r="K4" s="30" t="s">
        <v>482</v>
      </c>
      <c r="L4" s="30" t="s">
        <v>5</v>
      </c>
    </row>
    <row r="5" spans="1:14">
      <c r="A5" s="31" t="s">
        <v>483</v>
      </c>
      <c r="B5" s="31">
        <v>600</v>
      </c>
      <c r="C5" s="38">
        <v>1380</v>
      </c>
      <c r="D5" s="38">
        <v>1120</v>
      </c>
      <c r="E5" s="39">
        <f t="shared" ref="E5:E40" si="0">IF(A5="","",C5-D5)</f>
        <v>260</v>
      </c>
      <c r="F5" s="39">
        <f t="shared" ref="F5:F40" si="1">IF(B5=0,"",C5/B5)</f>
        <v>2.2999999999999998</v>
      </c>
      <c r="G5" s="39">
        <f t="shared" ref="G5:G40" si="2">IF(B5=0,"",D5/B5)</f>
        <v>1.8666666666666667</v>
      </c>
      <c r="H5" s="39">
        <f t="shared" ref="H5:H40" si="3">IF(B5=0,"",E5/B5)</f>
        <v>0.43333333333333335</v>
      </c>
      <c r="I5" s="38">
        <v>1.55</v>
      </c>
      <c r="J5" s="32" t="str">
        <f t="shared" ref="J5:J40" si="4">IF(A5="","",IF(F5&lt;I5,"Alle tavoite",IF(F5&gt;=I5*1.1,"Hyvä","OK")))</f>
        <v>Hyvä</v>
      </c>
      <c r="K5" s="31"/>
      <c r="L5" s="31"/>
    </row>
    <row r="6" spans="1:14">
      <c r="A6" s="31" t="s">
        <v>484</v>
      </c>
      <c r="B6" s="31">
        <v>290</v>
      </c>
      <c r="C6" s="38">
        <v>850</v>
      </c>
      <c r="D6" s="38">
        <v>680</v>
      </c>
      <c r="E6" s="39">
        <f t="shared" si="0"/>
        <v>170</v>
      </c>
      <c r="F6" s="39">
        <f t="shared" si="1"/>
        <v>2.9310344827586206</v>
      </c>
      <c r="G6" s="39">
        <f t="shared" si="2"/>
        <v>2.3448275862068964</v>
      </c>
      <c r="H6" s="39">
        <f t="shared" si="3"/>
        <v>0.58620689655172409</v>
      </c>
      <c r="I6" s="38">
        <v>1.95</v>
      </c>
      <c r="J6" s="32" t="str">
        <f t="shared" si="4"/>
        <v>Hyvä</v>
      </c>
      <c r="K6" s="31"/>
      <c r="L6" s="31"/>
    </row>
    <row r="7" spans="1:14">
      <c r="A7" s="31" t="s">
        <v>485</v>
      </c>
      <c r="B7" s="31">
        <v>480</v>
      </c>
      <c r="C7" s="38">
        <v>1180</v>
      </c>
      <c r="D7" s="38">
        <v>980</v>
      </c>
      <c r="E7" s="39">
        <f t="shared" si="0"/>
        <v>200</v>
      </c>
      <c r="F7" s="39">
        <f t="shared" si="1"/>
        <v>2.4583333333333335</v>
      </c>
      <c r="G7" s="39">
        <f t="shared" si="2"/>
        <v>2.0416666666666665</v>
      </c>
      <c r="H7" s="39">
        <f t="shared" si="3"/>
        <v>0.41666666666666669</v>
      </c>
      <c r="I7" s="38">
        <v>1.9</v>
      </c>
      <c r="J7" s="32" t="str">
        <f t="shared" si="4"/>
        <v>Hyvä</v>
      </c>
      <c r="K7" s="31"/>
      <c r="L7" s="31"/>
    </row>
    <row r="8" spans="1:14">
      <c r="A8" s="31"/>
      <c r="B8" s="31"/>
      <c r="C8" s="38"/>
      <c r="D8" s="38"/>
      <c r="E8" s="39" t="str">
        <f t="shared" si="0"/>
        <v/>
      </c>
      <c r="F8" s="39" t="str">
        <f t="shared" si="1"/>
        <v/>
      </c>
      <c r="G8" s="39" t="str">
        <f t="shared" si="2"/>
        <v/>
      </c>
      <c r="H8" s="39" t="str">
        <f t="shared" si="3"/>
        <v/>
      </c>
      <c r="I8" s="38" t="str">
        <f t="shared" ref="I8:I40" si="5">IF(A8="","",I8)</f>
        <v/>
      </c>
      <c r="J8" s="32" t="str">
        <f t="shared" si="4"/>
        <v/>
      </c>
      <c r="K8" s="31"/>
      <c r="L8" s="31"/>
    </row>
    <row r="9" spans="1:14">
      <c r="A9" s="31"/>
      <c r="B9" s="31"/>
      <c r="C9" s="38"/>
      <c r="D9" s="38"/>
      <c r="E9" s="39" t="str">
        <f t="shared" si="0"/>
        <v/>
      </c>
      <c r="F9" s="39" t="str">
        <f t="shared" si="1"/>
        <v/>
      </c>
      <c r="G9" s="39" t="str">
        <f t="shared" si="2"/>
        <v/>
      </c>
      <c r="H9" s="39" t="str">
        <f t="shared" si="3"/>
        <v/>
      </c>
      <c r="I9" s="38" t="str">
        <f t="shared" si="5"/>
        <v/>
      </c>
      <c r="J9" s="32" t="str">
        <f t="shared" si="4"/>
        <v/>
      </c>
      <c r="K9" s="31"/>
      <c r="L9" s="31"/>
    </row>
    <row r="10" spans="1:14">
      <c r="A10" s="31"/>
      <c r="B10" s="31"/>
      <c r="C10" s="38"/>
      <c r="D10" s="38"/>
      <c r="E10" s="39" t="str">
        <f t="shared" si="0"/>
        <v/>
      </c>
      <c r="F10" s="39" t="str">
        <f t="shared" si="1"/>
        <v/>
      </c>
      <c r="G10" s="39" t="str">
        <f t="shared" si="2"/>
        <v/>
      </c>
      <c r="H10" s="39" t="str">
        <f t="shared" si="3"/>
        <v/>
      </c>
      <c r="I10" s="38" t="str">
        <f t="shared" si="5"/>
        <v/>
      </c>
      <c r="J10" s="32" t="str">
        <f t="shared" si="4"/>
        <v/>
      </c>
      <c r="K10" s="31"/>
      <c r="L10" s="31"/>
    </row>
    <row r="11" spans="1:14">
      <c r="A11" s="31"/>
      <c r="B11" s="31"/>
      <c r="C11" s="38"/>
      <c r="D11" s="38"/>
      <c r="E11" s="39" t="str">
        <f t="shared" si="0"/>
        <v/>
      </c>
      <c r="F11" s="39" t="str">
        <f t="shared" si="1"/>
        <v/>
      </c>
      <c r="G11" s="39" t="str">
        <f t="shared" si="2"/>
        <v/>
      </c>
      <c r="H11" s="39" t="str">
        <f t="shared" si="3"/>
        <v/>
      </c>
      <c r="I11" s="38" t="str">
        <f t="shared" si="5"/>
        <v/>
      </c>
      <c r="J11" s="32" t="str">
        <f t="shared" si="4"/>
        <v/>
      </c>
      <c r="K11" s="31"/>
      <c r="L11" s="31"/>
    </row>
    <row r="12" spans="1:14">
      <c r="A12" s="31"/>
      <c r="B12" s="31"/>
      <c r="C12" s="38"/>
      <c r="D12" s="38"/>
      <c r="E12" s="39" t="str">
        <f t="shared" si="0"/>
        <v/>
      </c>
      <c r="F12" s="39" t="str">
        <f t="shared" si="1"/>
        <v/>
      </c>
      <c r="G12" s="39" t="str">
        <f t="shared" si="2"/>
        <v/>
      </c>
      <c r="H12" s="39" t="str">
        <f t="shared" si="3"/>
        <v/>
      </c>
      <c r="I12" s="38" t="str">
        <f t="shared" si="5"/>
        <v/>
      </c>
      <c r="J12" s="32" t="str">
        <f t="shared" si="4"/>
        <v/>
      </c>
      <c r="K12" s="31"/>
      <c r="L12" s="31"/>
    </row>
    <row r="13" spans="1:14">
      <c r="A13" s="31"/>
      <c r="B13" s="31"/>
      <c r="C13" s="38"/>
      <c r="D13" s="38"/>
      <c r="E13" s="39" t="str">
        <f t="shared" si="0"/>
        <v/>
      </c>
      <c r="F13" s="39" t="str">
        <f t="shared" si="1"/>
        <v/>
      </c>
      <c r="G13" s="39" t="str">
        <f t="shared" si="2"/>
        <v/>
      </c>
      <c r="H13" s="39" t="str">
        <f t="shared" si="3"/>
        <v/>
      </c>
      <c r="I13" s="38" t="str">
        <f t="shared" si="5"/>
        <v/>
      </c>
      <c r="J13" s="32" t="str">
        <f t="shared" si="4"/>
        <v/>
      </c>
      <c r="K13" s="31"/>
      <c r="L13" s="31"/>
    </row>
    <row r="14" spans="1:14">
      <c r="A14" s="31"/>
      <c r="B14" s="31"/>
      <c r="C14" s="38"/>
      <c r="D14" s="38"/>
      <c r="E14" s="39" t="str">
        <f t="shared" si="0"/>
        <v/>
      </c>
      <c r="F14" s="39" t="str">
        <f t="shared" si="1"/>
        <v/>
      </c>
      <c r="G14" s="39" t="str">
        <f t="shared" si="2"/>
        <v/>
      </c>
      <c r="H14" s="39" t="str">
        <f t="shared" si="3"/>
        <v/>
      </c>
      <c r="I14" s="38" t="str">
        <f t="shared" si="5"/>
        <v/>
      </c>
      <c r="J14" s="32" t="str">
        <f t="shared" si="4"/>
        <v/>
      </c>
      <c r="K14" s="31"/>
      <c r="L14" s="31"/>
    </row>
    <row r="15" spans="1:14">
      <c r="A15" s="31"/>
      <c r="B15" s="31"/>
      <c r="C15" s="38"/>
      <c r="D15" s="38"/>
      <c r="E15" s="39" t="str">
        <f t="shared" si="0"/>
        <v/>
      </c>
      <c r="F15" s="39" t="str">
        <f t="shared" si="1"/>
        <v/>
      </c>
      <c r="G15" s="39" t="str">
        <f t="shared" si="2"/>
        <v/>
      </c>
      <c r="H15" s="39" t="str">
        <f t="shared" si="3"/>
        <v/>
      </c>
      <c r="I15" s="38" t="str">
        <f t="shared" si="5"/>
        <v/>
      </c>
      <c r="J15" s="32" t="str">
        <f t="shared" si="4"/>
        <v/>
      </c>
      <c r="K15" s="31"/>
      <c r="L15" s="31"/>
    </row>
    <row r="16" spans="1:14">
      <c r="A16" s="31"/>
      <c r="B16" s="31"/>
      <c r="C16" s="38"/>
      <c r="D16" s="38"/>
      <c r="E16" s="39" t="str">
        <f t="shared" si="0"/>
        <v/>
      </c>
      <c r="F16" s="39" t="str">
        <f t="shared" si="1"/>
        <v/>
      </c>
      <c r="G16" s="39" t="str">
        <f t="shared" si="2"/>
        <v/>
      </c>
      <c r="H16" s="39" t="str">
        <f t="shared" si="3"/>
        <v/>
      </c>
      <c r="I16" s="38" t="str">
        <f t="shared" si="5"/>
        <v/>
      </c>
      <c r="J16" s="32" t="str">
        <f t="shared" si="4"/>
        <v/>
      </c>
      <c r="K16" s="31"/>
      <c r="L16" s="31"/>
    </row>
    <row r="17" spans="1:12">
      <c r="A17" s="31"/>
      <c r="B17" s="31"/>
      <c r="C17" s="38"/>
      <c r="D17" s="38"/>
      <c r="E17" s="39" t="str">
        <f t="shared" si="0"/>
        <v/>
      </c>
      <c r="F17" s="39" t="str">
        <f t="shared" si="1"/>
        <v/>
      </c>
      <c r="G17" s="39" t="str">
        <f t="shared" si="2"/>
        <v/>
      </c>
      <c r="H17" s="39" t="str">
        <f t="shared" si="3"/>
        <v/>
      </c>
      <c r="I17" s="38" t="str">
        <f t="shared" si="5"/>
        <v/>
      </c>
      <c r="J17" s="32" t="str">
        <f t="shared" si="4"/>
        <v/>
      </c>
      <c r="K17" s="31"/>
      <c r="L17" s="31"/>
    </row>
    <row r="18" spans="1:12">
      <c r="A18" s="31"/>
      <c r="B18" s="31"/>
      <c r="C18" s="38"/>
      <c r="D18" s="38"/>
      <c r="E18" s="39" t="str">
        <f t="shared" si="0"/>
        <v/>
      </c>
      <c r="F18" s="39" t="str">
        <f t="shared" si="1"/>
        <v/>
      </c>
      <c r="G18" s="39" t="str">
        <f t="shared" si="2"/>
        <v/>
      </c>
      <c r="H18" s="39" t="str">
        <f t="shared" si="3"/>
        <v/>
      </c>
      <c r="I18" s="38" t="str">
        <f t="shared" si="5"/>
        <v/>
      </c>
      <c r="J18" s="32" t="str">
        <f t="shared" si="4"/>
        <v/>
      </c>
      <c r="K18" s="31"/>
      <c r="L18" s="31"/>
    </row>
    <row r="19" spans="1:12">
      <c r="A19" s="31"/>
      <c r="B19" s="31"/>
      <c r="C19" s="38"/>
      <c r="D19" s="38"/>
      <c r="E19" s="39" t="str">
        <f t="shared" si="0"/>
        <v/>
      </c>
      <c r="F19" s="39" t="str">
        <f t="shared" si="1"/>
        <v/>
      </c>
      <c r="G19" s="39" t="str">
        <f t="shared" si="2"/>
        <v/>
      </c>
      <c r="H19" s="39" t="str">
        <f t="shared" si="3"/>
        <v/>
      </c>
      <c r="I19" s="38" t="str">
        <f t="shared" si="5"/>
        <v/>
      </c>
      <c r="J19" s="32" t="str">
        <f t="shared" si="4"/>
        <v/>
      </c>
      <c r="K19" s="31"/>
      <c r="L19" s="31"/>
    </row>
    <row r="20" spans="1:12">
      <c r="A20" s="31"/>
      <c r="B20" s="31"/>
      <c r="C20" s="38"/>
      <c r="D20" s="38"/>
      <c r="E20" s="39" t="str">
        <f t="shared" si="0"/>
        <v/>
      </c>
      <c r="F20" s="39" t="str">
        <f t="shared" si="1"/>
        <v/>
      </c>
      <c r="G20" s="39" t="str">
        <f t="shared" si="2"/>
        <v/>
      </c>
      <c r="H20" s="39" t="str">
        <f t="shared" si="3"/>
        <v/>
      </c>
      <c r="I20" s="38" t="str">
        <f t="shared" si="5"/>
        <v/>
      </c>
      <c r="J20" s="32" t="str">
        <f t="shared" si="4"/>
        <v/>
      </c>
      <c r="K20" s="31"/>
      <c r="L20" s="31"/>
    </row>
    <row r="21" spans="1:12">
      <c r="A21" s="31"/>
      <c r="B21" s="31"/>
      <c r="C21" s="38"/>
      <c r="D21" s="38"/>
      <c r="E21" s="39" t="str">
        <f t="shared" si="0"/>
        <v/>
      </c>
      <c r="F21" s="39" t="str">
        <f t="shared" si="1"/>
        <v/>
      </c>
      <c r="G21" s="39" t="str">
        <f t="shared" si="2"/>
        <v/>
      </c>
      <c r="H21" s="39" t="str">
        <f t="shared" si="3"/>
        <v/>
      </c>
      <c r="I21" s="38" t="str">
        <f t="shared" si="5"/>
        <v/>
      </c>
      <c r="J21" s="32" t="str">
        <f t="shared" si="4"/>
        <v/>
      </c>
      <c r="K21" s="31"/>
      <c r="L21" s="31"/>
    </row>
    <row r="22" spans="1:12">
      <c r="A22" s="31"/>
      <c r="B22" s="31"/>
      <c r="C22" s="38"/>
      <c r="D22" s="38"/>
      <c r="E22" s="39" t="str">
        <f t="shared" si="0"/>
        <v/>
      </c>
      <c r="F22" s="39" t="str">
        <f t="shared" si="1"/>
        <v/>
      </c>
      <c r="G22" s="39" t="str">
        <f t="shared" si="2"/>
        <v/>
      </c>
      <c r="H22" s="39" t="str">
        <f t="shared" si="3"/>
        <v/>
      </c>
      <c r="I22" s="38" t="str">
        <f t="shared" si="5"/>
        <v/>
      </c>
      <c r="J22" s="32" t="str">
        <f t="shared" si="4"/>
        <v/>
      </c>
      <c r="K22" s="31"/>
      <c r="L22" s="31"/>
    </row>
    <row r="23" spans="1:12">
      <c r="A23" s="31"/>
      <c r="B23" s="31"/>
      <c r="C23" s="38"/>
      <c r="D23" s="38"/>
      <c r="E23" s="39" t="str">
        <f t="shared" si="0"/>
        <v/>
      </c>
      <c r="F23" s="39" t="str">
        <f t="shared" si="1"/>
        <v/>
      </c>
      <c r="G23" s="39" t="str">
        <f t="shared" si="2"/>
        <v/>
      </c>
      <c r="H23" s="39" t="str">
        <f t="shared" si="3"/>
        <v/>
      </c>
      <c r="I23" s="38" t="str">
        <f t="shared" si="5"/>
        <v/>
      </c>
      <c r="J23" s="32" t="str">
        <f t="shared" si="4"/>
        <v/>
      </c>
      <c r="K23" s="31"/>
      <c r="L23" s="31"/>
    </row>
    <row r="24" spans="1:12">
      <c r="A24" s="31"/>
      <c r="B24" s="31"/>
      <c r="C24" s="38"/>
      <c r="D24" s="38"/>
      <c r="E24" s="39" t="str">
        <f t="shared" si="0"/>
        <v/>
      </c>
      <c r="F24" s="39" t="str">
        <f t="shared" si="1"/>
        <v/>
      </c>
      <c r="G24" s="39" t="str">
        <f t="shared" si="2"/>
        <v/>
      </c>
      <c r="H24" s="39" t="str">
        <f t="shared" si="3"/>
        <v/>
      </c>
      <c r="I24" s="38" t="str">
        <f t="shared" si="5"/>
        <v/>
      </c>
      <c r="J24" s="32" t="str">
        <f t="shared" si="4"/>
        <v/>
      </c>
      <c r="K24" s="31"/>
      <c r="L24" s="31"/>
    </row>
    <row r="25" spans="1:12">
      <c r="A25" s="31"/>
      <c r="B25" s="31"/>
      <c r="C25" s="38"/>
      <c r="D25" s="38"/>
      <c r="E25" s="39" t="str">
        <f t="shared" si="0"/>
        <v/>
      </c>
      <c r="F25" s="39" t="str">
        <f t="shared" si="1"/>
        <v/>
      </c>
      <c r="G25" s="39" t="str">
        <f t="shared" si="2"/>
        <v/>
      </c>
      <c r="H25" s="39" t="str">
        <f t="shared" si="3"/>
        <v/>
      </c>
      <c r="I25" s="38" t="str">
        <f t="shared" si="5"/>
        <v/>
      </c>
      <c r="J25" s="32" t="str">
        <f t="shared" si="4"/>
        <v/>
      </c>
      <c r="K25" s="31"/>
      <c r="L25" s="31"/>
    </row>
    <row r="26" spans="1:12">
      <c r="A26" s="31"/>
      <c r="B26" s="31"/>
      <c r="C26" s="38"/>
      <c r="D26" s="38"/>
      <c r="E26" s="39" t="str">
        <f t="shared" si="0"/>
        <v/>
      </c>
      <c r="F26" s="39" t="str">
        <f t="shared" si="1"/>
        <v/>
      </c>
      <c r="G26" s="39" t="str">
        <f t="shared" si="2"/>
        <v/>
      </c>
      <c r="H26" s="39" t="str">
        <f t="shared" si="3"/>
        <v/>
      </c>
      <c r="I26" s="38" t="str">
        <f t="shared" si="5"/>
        <v/>
      </c>
      <c r="J26" s="32" t="str">
        <f t="shared" si="4"/>
        <v/>
      </c>
      <c r="K26" s="31"/>
      <c r="L26" s="31"/>
    </row>
    <row r="27" spans="1:12">
      <c r="A27" s="31"/>
      <c r="B27" s="31"/>
      <c r="C27" s="38"/>
      <c r="D27" s="38"/>
      <c r="E27" s="39" t="str">
        <f t="shared" si="0"/>
        <v/>
      </c>
      <c r="F27" s="39" t="str">
        <f t="shared" si="1"/>
        <v/>
      </c>
      <c r="G27" s="39" t="str">
        <f t="shared" si="2"/>
        <v/>
      </c>
      <c r="H27" s="39" t="str">
        <f t="shared" si="3"/>
        <v/>
      </c>
      <c r="I27" s="38" t="str">
        <f t="shared" si="5"/>
        <v/>
      </c>
      <c r="J27" s="32" t="str">
        <f t="shared" si="4"/>
        <v/>
      </c>
      <c r="K27" s="31"/>
      <c r="L27" s="31"/>
    </row>
    <row r="28" spans="1:12">
      <c r="A28" s="31"/>
      <c r="B28" s="31"/>
      <c r="C28" s="38"/>
      <c r="D28" s="38"/>
      <c r="E28" s="39" t="str">
        <f t="shared" si="0"/>
        <v/>
      </c>
      <c r="F28" s="39" t="str">
        <f t="shared" si="1"/>
        <v/>
      </c>
      <c r="G28" s="39" t="str">
        <f t="shared" si="2"/>
        <v/>
      </c>
      <c r="H28" s="39" t="str">
        <f t="shared" si="3"/>
        <v/>
      </c>
      <c r="I28" s="38" t="str">
        <f t="shared" si="5"/>
        <v/>
      </c>
      <c r="J28" s="32" t="str">
        <f t="shared" si="4"/>
        <v/>
      </c>
      <c r="K28" s="31"/>
      <c r="L28" s="31"/>
    </row>
    <row r="29" spans="1:12">
      <c r="A29" s="31"/>
      <c r="B29" s="31"/>
      <c r="C29" s="38"/>
      <c r="D29" s="38"/>
      <c r="E29" s="39" t="str">
        <f t="shared" si="0"/>
        <v/>
      </c>
      <c r="F29" s="39" t="str">
        <f t="shared" si="1"/>
        <v/>
      </c>
      <c r="G29" s="39" t="str">
        <f t="shared" si="2"/>
        <v/>
      </c>
      <c r="H29" s="39" t="str">
        <f t="shared" si="3"/>
        <v/>
      </c>
      <c r="I29" s="38" t="str">
        <f t="shared" si="5"/>
        <v/>
      </c>
      <c r="J29" s="32" t="str">
        <f t="shared" si="4"/>
        <v/>
      </c>
      <c r="K29" s="31"/>
      <c r="L29" s="31"/>
    </row>
    <row r="30" spans="1:12">
      <c r="A30" s="31"/>
      <c r="B30" s="31"/>
      <c r="C30" s="38"/>
      <c r="D30" s="38"/>
      <c r="E30" s="39" t="str">
        <f t="shared" si="0"/>
        <v/>
      </c>
      <c r="F30" s="39" t="str">
        <f t="shared" si="1"/>
        <v/>
      </c>
      <c r="G30" s="39" t="str">
        <f t="shared" si="2"/>
        <v/>
      </c>
      <c r="H30" s="39" t="str">
        <f t="shared" si="3"/>
        <v/>
      </c>
      <c r="I30" s="38" t="str">
        <f t="shared" si="5"/>
        <v/>
      </c>
      <c r="J30" s="32" t="str">
        <f t="shared" si="4"/>
        <v/>
      </c>
      <c r="K30" s="31"/>
      <c r="L30" s="31"/>
    </row>
    <row r="31" spans="1:12">
      <c r="A31" s="31"/>
      <c r="B31" s="31"/>
      <c r="C31" s="38"/>
      <c r="D31" s="38"/>
      <c r="E31" s="39" t="str">
        <f t="shared" si="0"/>
        <v/>
      </c>
      <c r="F31" s="39" t="str">
        <f t="shared" si="1"/>
        <v/>
      </c>
      <c r="G31" s="39" t="str">
        <f t="shared" si="2"/>
        <v/>
      </c>
      <c r="H31" s="39" t="str">
        <f t="shared" si="3"/>
        <v/>
      </c>
      <c r="I31" s="38" t="str">
        <f t="shared" si="5"/>
        <v/>
      </c>
      <c r="J31" s="32" t="str">
        <f t="shared" si="4"/>
        <v/>
      </c>
      <c r="K31" s="31"/>
      <c r="L31" s="31"/>
    </row>
    <row r="32" spans="1:12">
      <c r="A32" s="31"/>
      <c r="B32" s="31"/>
      <c r="C32" s="38"/>
      <c r="D32" s="38"/>
      <c r="E32" s="39" t="str">
        <f t="shared" si="0"/>
        <v/>
      </c>
      <c r="F32" s="39" t="str">
        <f t="shared" si="1"/>
        <v/>
      </c>
      <c r="G32" s="39" t="str">
        <f t="shared" si="2"/>
        <v/>
      </c>
      <c r="H32" s="39" t="str">
        <f t="shared" si="3"/>
        <v/>
      </c>
      <c r="I32" s="38" t="str">
        <f t="shared" si="5"/>
        <v/>
      </c>
      <c r="J32" s="32" t="str">
        <f t="shared" si="4"/>
        <v/>
      </c>
      <c r="K32" s="31"/>
      <c r="L32" s="31"/>
    </row>
    <row r="33" spans="1:12">
      <c r="A33" s="31"/>
      <c r="B33" s="31"/>
      <c r="C33" s="38"/>
      <c r="D33" s="38"/>
      <c r="E33" s="39" t="str">
        <f t="shared" si="0"/>
        <v/>
      </c>
      <c r="F33" s="39" t="str">
        <f t="shared" si="1"/>
        <v/>
      </c>
      <c r="G33" s="39" t="str">
        <f t="shared" si="2"/>
        <v/>
      </c>
      <c r="H33" s="39" t="str">
        <f t="shared" si="3"/>
        <v/>
      </c>
      <c r="I33" s="38" t="str">
        <f t="shared" si="5"/>
        <v/>
      </c>
      <c r="J33" s="32" t="str">
        <f t="shared" si="4"/>
        <v/>
      </c>
      <c r="K33" s="31"/>
      <c r="L33" s="31"/>
    </row>
    <row r="34" spans="1:12">
      <c r="A34" s="31"/>
      <c r="B34" s="31"/>
      <c r="C34" s="38"/>
      <c r="D34" s="38"/>
      <c r="E34" s="39" t="str">
        <f t="shared" si="0"/>
        <v/>
      </c>
      <c r="F34" s="39" t="str">
        <f t="shared" si="1"/>
        <v/>
      </c>
      <c r="G34" s="39" t="str">
        <f t="shared" si="2"/>
        <v/>
      </c>
      <c r="H34" s="39" t="str">
        <f t="shared" si="3"/>
        <v/>
      </c>
      <c r="I34" s="38" t="str">
        <f t="shared" si="5"/>
        <v/>
      </c>
      <c r="J34" s="32" t="str">
        <f t="shared" si="4"/>
        <v/>
      </c>
      <c r="K34" s="31"/>
      <c r="L34" s="31"/>
    </row>
    <row r="35" spans="1:12">
      <c r="A35" s="31"/>
      <c r="B35" s="31"/>
      <c r="C35" s="38"/>
      <c r="D35" s="38"/>
      <c r="E35" s="39" t="str">
        <f t="shared" si="0"/>
        <v/>
      </c>
      <c r="F35" s="39" t="str">
        <f t="shared" si="1"/>
        <v/>
      </c>
      <c r="G35" s="39" t="str">
        <f t="shared" si="2"/>
        <v/>
      </c>
      <c r="H35" s="39" t="str">
        <f t="shared" si="3"/>
        <v/>
      </c>
      <c r="I35" s="38" t="str">
        <f t="shared" si="5"/>
        <v/>
      </c>
      <c r="J35" s="32" t="str">
        <f t="shared" si="4"/>
        <v/>
      </c>
      <c r="K35" s="31"/>
      <c r="L35" s="31"/>
    </row>
    <row r="36" spans="1:12">
      <c r="A36" s="31"/>
      <c r="B36" s="31"/>
      <c r="C36" s="38"/>
      <c r="D36" s="38"/>
      <c r="E36" s="39" t="str">
        <f t="shared" si="0"/>
        <v/>
      </c>
      <c r="F36" s="39" t="str">
        <f t="shared" si="1"/>
        <v/>
      </c>
      <c r="G36" s="39" t="str">
        <f t="shared" si="2"/>
        <v/>
      </c>
      <c r="H36" s="39" t="str">
        <f t="shared" si="3"/>
        <v/>
      </c>
      <c r="I36" s="38" t="str">
        <f t="shared" si="5"/>
        <v/>
      </c>
      <c r="J36" s="32" t="str">
        <f t="shared" si="4"/>
        <v/>
      </c>
      <c r="K36" s="31"/>
      <c r="L36" s="31"/>
    </row>
    <row r="37" spans="1:12">
      <c r="A37" s="31"/>
      <c r="B37" s="31"/>
      <c r="C37" s="38"/>
      <c r="D37" s="38"/>
      <c r="E37" s="39" t="str">
        <f t="shared" si="0"/>
        <v/>
      </c>
      <c r="F37" s="39" t="str">
        <f t="shared" si="1"/>
        <v/>
      </c>
      <c r="G37" s="39" t="str">
        <f t="shared" si="2"/>
        <v/>
      </c>
      <c r="H37" s="39" t="str">
        <f t="shared" si="3"/>
        <v/>
      </c>
      <c r="I37" s="38" t="str">
        <f t="shared" si="5"/>
        <v/>
      </c>
      <c r="J37" s="32" t="str">
        <f t="shared" si="4"/>
        <v/>
      </c>
      <c r="K37" s="31"/>
      <c r="L37" s="31"/>
    </row>
    <row r="38" spans="1:12">
      <c r="A38" s="31"/>
      <c r="B38" s="31"/>
      <c r="C38" s="38"/>
      <c r="D38" s="38"/>
      <c r="E38" s="39" t="str">
        <f t="shared" si="0"/>
        <v/>
      </c>
      <c r="F38" s="39" t="str">
        <f t="shared" si="1"/>
        <v/>
      </c>
      <c r="G38" s="39" t="str">
        <f t="shared" si="2"/>
        <v/>
      </c>
      <c r="H38" s="39" t="str">
        <f t="shared" si="3"/>
        <v/>
      </c>
      <c r="I38" s="38" t="str">
        <f t="shared" si="5"/>
        <v/>
      </c>
      <c r="J38" s="32" t="str">
        <f t="shared" si="4"/>
        <v/>
      </c>
      <c r="K38" s="31"/>
      <c r="L38" s="31"/>
    </row>
    <row r="39" spans="1:12">
      <c r="A39" s="31"/>
      <c r="B39" s="31"/>
      <c r="C39" s="38"/>
      <c r="D39" s="38"/>
      <c r="E39" s="39" t="str">
        <f t="shared" si="0"/>
        <v/>
      </c>
      <c r="F39" s="39" t="str">
        <f t="shared" si="1"/>
        <v/>
      </c>
      <c r="G39" s="39" t="str">
        <f t="shared" si="2"/>
        <v/>
      </c>
      <c r="H39" s="39" t="str">
        <f t="shared" si="3"/>
        <v/>
      </c>
      <c r="I39" s="38" t="str">
        <f t="shared" si="5"/>
        <v/>
      </c>
      <c r="J39" s="32" t="str">
        <f t="shared" si="4"/>
        <v/>
      </c>
      <c r="K39" s="31"/>
      <c r="L39" s="31"/>
    </row>
    <row r="40" spans="1:12">
      <c r="A40" s="31"/>
      <c r="B40" s="31"/>
      <c r="C40" s="38"/>
      <c r="D40" s="38"/>
      <c r="E40" s="39" t="str">
        <f t="shared" si="0"/>
        <v/>
      </c>
      <c r="F40" s="39" t="str">
        <f t="shared" si="1"/>
        <v/>
      </c>
      <c r="G40" s="39" t="str">
        <f t="shared" si="2"/>
        <v/>
      </c>
      <c r="H40" s="39" t="str">
        <f t="shared" si="3"/>
        <v/>
      </c>
      <c r="I40" s="38" t="str">
        <f t="shared" si="5"/>
        <v/>
      </c>
      <c r="J40" s="32" t="str">
        <f t="shared" si="4"/>
        <v/>
      </c>
      <c r="K40" s="31"/>
      <c r="L40" s="31"/>
    </row>
    <row r="41" spans="1:12">
      <c r="A41" s="31"/>
      <c r="B41" s="31"/>
      <c r="C41" s="38"/>
      <c r="D41" s="38"/>
      <c r="E41" s="39"/>
      <c r="F41" s="39"/>
      <c r="G41" s="39"/>
      <c r="H41" s="39"/>
      <c r="I41" s="38"/>
      <c r="J41" s="32"/>
      <c r="K41" s="31"/>
      <c r="L41" s="31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21"/>
  <sheetViews>
    <sheetView workbookViewId="0"/>
  </sheetViews>
  <sheetFormatPr defaultRowHeight="13.8"/>
  <cols>
    <col min="1" max="1" width="28" customWidth="1"/>
    <col min="2" max="2" width="14" customWidth="1"/>
    <col min="3" max="6" width="16" customWidth="1"/>
    <col min="7" max="13" width="18" customWidth="1"/>
    <col min="14" max="14" width="24" customWidth="1"/>
  </cols>
  <sheetData>
    <row r="1" spans="1:14">
      <c r="A1" s="67" t="s">
        <v>486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487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30" t="s">
        <v>488</v>
      </c>
      <c r="B4" s="30" t="s">
        <v>41</v>
      </c>
      <c r="C4" s="30" t="s">
        <v>489</v>
      </c>
      <c r="D4" s="30" t="s">
        <v>490</v>
      </c>
      <c r="E4" s="30" t="s">
        <v>45</v>
      </c>
      <c r="F4" s="30" t="s">
        <v>491</v>
      </c>
      <c r="G4" s="30" t="s">
        <v>492</v>
      </c>
      <c r="H4" s="30" t="s">
        <v>493</v>
      </c>
      <c r="I4" s="30" t="s">
        <v>494</v>
      </c>
      <c r="J4" s="30" t="s">
        <v>495</v>
      </c>
      <c r="K4" s="30" t="s">
        <v>74</v>
      </c>
      <c r="L4" s="30" t="s">
        <v>496</v>
      </c>
      <c r="M4" s="30" t="s">
        <v>497</v>
      </c>
      <c r="N4" s="30" t="s">
        <v>5</v>
      </c>
    </row>
    <row r="5" spans="1:14">
      <c r="A5" s="31" t="s">
        <v>498</v>
      </c>
      <c r="B5" s="31">
        <v>33</v>
      </c>
      <c r="C5" s="31">
        <v>24000</v>
      </c>
      <c r="D5" s="31" t="s">
        <v>51</v>
      </c>
      <c r="E5" s="31" t="s">
        <v>53</v>
      </c>
      <c r="F5" s="31" t="s">
        <v>53</v>
      </c>
      <c r="G5" s="40">
        <v>55</v>
      </c>
      <c r="H5" s="40">
        <v>0</v>
      </c>
      <c r="I5" s="40">
        <v>75</v>
      </c>
      <c r="J5" s="31">
        <v>0.9</v>
      </c>
      <c r="K5" s="31">
        <v>2</v>
      </c>
      <c r="L5" s="33" t="str">
        <f t="shared" ref="L5:L20" si="0">IF(A5="","",IF(K5&gt;=4,"Tarkista",IF(K5&gt;=2,"Sopii ehdollisesti","Sopii")))</f>
        <v>Sopii ehdollisesti</v>
      </c>
      <c r="M5" s="33">
        <f t="shared" ref="M5:M20" si="1">IF(A5="","",G5+H5+I5)</f>
        <v>130</v>
      </c>
      <c r="N5" s="31" t="s">
        <v>499</v>
      </c>
    </row>
    <row r="6" spans="1:14">
      <c r="A6" s="31" t="s">
        <v>500</v>
      </c>
      <c r="B6" s="31">
        <v>33</v>
      </c>
      <c r="C6" s="31">
        <v>24000</v>
      </c>
      <c r="D6" s="31" t="s">
        <v>51</v>
      </c>
      <c r="E6" s="31" t="s">
        <v>53</v>
      </c>
      <c r="F6" s="31" t="s">
        <v>51</v>
      </c>
      <c r="G6" s="40">
        <v>50</v>
      </c>
      <c r="H6" s="40">
        <v>0</v>
      </c>
      <c r="I6" s="40">
        <v>75</v>
      </c>
      <c r="J6" s="31">
        <v>0.9</v>
      </c>
      <c r="K6" s="31">
        <v>1</v>
      </c>
      <c r="L6" s="33" t="str">
        <f t="shared" si="0"/>
        <v>Sopii</v>
      </c>
      <c r="M6" s="33">
        <f t="shared" si="1"/>
        <v>125</v>
      </c>
      <c r="N6" s="31" t="s">
        <v>501</v>
      </c>
    </row>
    <row r="7" spans="1:14">
      <c r="A7" s="31" t="s">
        <v>502</v>
      </c>
      <c r="B7" s="31">
        <v>33</v>
      </c>
      <c r="C7" s="31">
        <v>22000</v>
      </c>
      <c r="D7" s="31" t="s">
        <v>53</v>
      </c>
      <c r="E7" s="31" t="s">
        <v>51</v>
      </c>
      <c r="F7" s="31" t="s">
        <v>51</v>
      </c>
      <c r="G7" s="40">
        <v>70</v>
      </c>
      <c r="H7" s="40">
        <v>90</v>
      </c>
      <c r="I7" s="40">
        <v>0</v>
      </c>
      <c r="J7" s="31">
        <v>1.05</v>
      </c>
      <c r="K7" s="31">
        <v>2</v>
      </c>
      <c r="L7" s="33" t="str">
        <f t="shared" si="0"/>
        <v>Sopii ehdollisesti</v>
      </c>
      <c r="M7" s="33">
        <f t="shared" si="1"/>
        <v>160</v>
      </c>
      <c r="N7" s="31" t="s">
        <v>503</v>
      </c>
    </row>
    <row r="8" spans="1:14">
      <c r="A8" s="31" t="s">
        <v>504</v>
      </c>
      <c r="B8" s="31">
        <v>33</v>
      </c>
      <c r="C8" s="31">
        <v>22000</v>
      </c>
      <c r="D8" s="31" t="s">
        <v>53</v>
      </c>
      <c r="E8" s="31" t="s">
        <v>51</v>
      </c>
      <c r="F8" s="31" t="s">
        <v>53</v>
      </c>
      <c r="G8" s="40">
        <v>80</v>
      </c>
      <c r="H8" s="40">
        <v>100</v>
      </c>
      <c r="I8" s="40">
        <v>0</v>
      </c>
      <c r="J8" s="31">
        <v>1.1000000000000001</v>
      </c>
      <c r="K8" s="31">
        <v>3</v>
      </c>
      <c r="L8" s="33" t="str">
        <f t="shared" si="0"/>
        <v>Sopii ehdollisesti</v>
      </c>
      <c r="M8" s="33">
        <f t="shared" si="1"/>
        <v>180</v>
      </c>
      <c r="N8" s="31" t="s">
        <v>505</v>
      </c>
    </row>
    <row r="9" spans="1:14">
      <c r="A9" s="31" t="s">
        <v>506</v>
      </c>
      <c r="B9" s="31">
        <v>33</v>
      </c>
      <c r="C9" s="31">
        <v>21000</v>
      </c>
      <c r="D9" s="31" t="s">
        <v>53</v>
      </c>
      <c r="E9" s="31" t="s">
        <v>51</v>
      </c>
      <c r="F9" s="31" t="s">
        <v>51</v>
      </c>
      <c r="G9" s="40">
        <v>90</v>
      </c>
      <c r="H9" s="40">
        <v>130</v>
      </c>
      <c r="I9" s="40">
        <v>0</v>
      </c>
      <c r="J9" s="31">
        <v>1.1499999999999999</v>
      </c>
      <c r="K9" s="31">
        <v>4</v>
      </c>
      <c r="L9" s="33" t="str">
        <f t="shared" si="0"/>
        <v>Tarkista</v>
      </c>
      <c r="M9" s="33">
        <f t="shared" si="1"/>
        <v>220</v>
      </c>
      <c r="N9" s="31" t="s">
        <v>507</v>
      </c>
    </row>
    <row r="10" spans="1:14">
      <c r="A10" s="31"/>
      <c r="B10" s="31"/>
      <c r="C10" s="31"/>
      <c r="D10" s="31"/>
      <c r="E10" s="31"/>
      <c r="F10" s="31"/>
      <c r="G10" s="40"/>
      <c r="H10" s="40"/>
      <c r="I10" s="40"/>
      <c r="J10" s="31"/>
      <c r="K10" s="31"/>
      <c r="L10" s="33" t="str">
        <f t="shared" si="0"/>
        <v/>
      </c>
      <c r="M10" s="33" t="str">
        <f t="shared" si="1"/>
        <v/>
      </c>
      <c r="N10" s="31"/>
    </row>
    <row r="11" spans="1:14">
      <c r="A11" s="31"/>
      <c r="B11" s="31"/>
      <c r="C11" s="31"/>
      <c r="D11" s="31"/>
      <c r="E11" s="31"/>
      <c r="F11" s="31"/>
      <c r="G11" s="40"/>
      <c r="H11" s="40"/>
      <c r="I11" s="40"/>
      <c r="J11" s="31"/>
      <c r="K11" s="31"/>
      <c r="L11" s="33" t="str">
        <f t="shared" si="0"/>
        <v/>
      </c>
      <c r="M11" s="33" t="str">
        <f t="shared" si="1"/>
        <v/>
      </c>
      <c r="N11" s="31"/>
    </row>
    <row r="12" spans="1:14">
      <c r="A12" s="31"/>
      <c r="B12" s="31"/>
      <c r="C12" s="31"/>
      <c r="D12" s="31"/>
      <c r="E12" s="31"/>
      <c r="F12" s="31"/>
      <c r="G12" s="40"/>
      <c r="H12" s="40"/>
      <c r="I12" s="40"/>
      <c r="J12" s="31"/>
      <c r="K12" s="31"/>
      <c r="L12" s="33" t="str">
        <f t="shared" si="0"/>
        <v/>
      </c>
      <c r="M12" s="33" t="str">
        <f t="shared" si="1"/>
        <v/>
      </c>
      <c r="N12" s="31"/>
    </row>
    <row r="13" spans="1:14">
      <c r="A13" s="31"/>
      <c r="B13" s="31"/>
      <c r="C13" s="31"/>
      <c r="D13" s="31"/>
      <c r="E13" s="31"/>
      <c r="F13" s="31"/>
      <c r="G13" s="40"/>
      <c r="H13" s="40"/>
      <c r="I13" s="40"/>
      <c r="J13" s="31"/>
      <c r="K13" s="31"/>
      <c r="L13" s="33" t="str">
        <f t="shared" si="0"/>
        <v/>
      </c>
      <c r="M13" s="33" t="str">
        <f t="shared" si="1"/>
        <v/>
      </c>
      <c r="N13" s="31"/>
    </row>
    <row r="14" spans="1:14">
      <c r="A14" s="31"/>
      <c r="B14" s="31"/>
      <c r="C14" s="31"/>
      <c r="D14" s="31"/>
      <c r="E14" s="31"/>
      <c r="F14" s="31"/>
      <c r="G14" s="40"/>
      <c r="H14" s="40"/>
      <c r="I14" s="40"/>
      <c r="J14" s="31"/>
      <c r="K14" s="31"/>
      <c r="L14" s="33" t="str">
        <f t="shared" si="0"/>
        <v/>
      </c>
      <c r="M14" s="33" t="str">
        <f t="shared" si="1"/>
        <v/>
      </c>
      <c r="N14" s="31"/>
    </row>
    <row r="15" spans="1:14">
      <c r="A15" s="31"/>
      <c r="B15" s="31"/>
      <c r="C15" s="31"/>
      <c r="D15" s="31"/>
      <c r="E15" s="31"/>
      <c r="F15" s="31"/>
      <c r="G15" s="40"/>
      <c r="H15" s="40"/>
      <c r="I15" s="40"/>
      <c r="J15" s="31"/>
      <c r="K15" s="31"/>
      <c r="L15" s="33" t="str">
        <f t="shared" si="0"/>
        <v/>
      </c>
      <c r="M15" s="33" t="str">
        <f t="shared" si="1"/>
        <v/>
      </c>
      <c r="N15" s="31"/>
    </row>
    <row r="16" spans="1:14">
      <c r="A16" s="31"/>
      <c r="B16" s="31"/>
      <c r="C16" s="31"/>
      <c r="D16" s="31"/>
      <c r="E16" s="31"/>
      <c r="F16" s="31"/>
      <c r="G16" s="40"/>
      <c r="H16" s="40"/>
      <c r="I16" s="40"/>
      <c r="J16" s="31"/>
      <c r="K16" s="31"/>
      <c r="L16" s="33" t="str">
        <f t="shared" si="0"/>
        <v/>
      </c>
      <c r="M16" s="33" t="str">
        <f t="shared" si="1"/>
        <v/>
      </c>
      <c r="N16" s="31"/>
    </row>
    <row r="17" spans="1:14">
      <c r="A17" s="31"/>
      <c r="B17" s="31"/>
      <c r="C17" s="31"/>
      <c r="D17" s="31"/>
      <c r="E17" s="31"/>
      <c r="F17" s="31"/>
      <c r="G17" s="40"/>
      <c r="H17" s="40"/>
      <c r="I17" s="40"/>
      <c r="J17" s="31"/>
      <c r="K17" s="31"/>
      <c r="L17" s="33" t="str">
        <f t="shared" si="0"/>
        <v/>
      </c>
      <c r="M17" s="33" t="str">
        <f t="shared" si="1"/>
        <v/>
      </c>
      <c r="N17" s="31"/>
    </row>
    <row r="18" spans="1:14">
      <c r="A18" s="31"/>
      <c r="B18" s="31"/>
      <c r="C18" s="31"/>
      <c r="D18" s="31"/>
      <c r="E18" s="31"/>
      <c r="F18" s="31"/>
      <c r="G18" s="40"/>
      <c r="H18" s="40"/>
      <c r="I18" s="40"/>
      <c r="J18" s="31"/>
      <c r="K18" s="31"/>
      <c r="L18" s="33" t="str">
        <f t="shared" si="0"/>
        <v/>
      </c>
      <c r="M18" s="33" t="str">
        <f t="shared" si="1"/>
        <v/>
      </c>
      <c r="N18" s="31"/>
    </row>
    <row r="19" spans="1:14">
      <c r="A19" s="31"/>
      <c r="B19" s="31"/>
      <c r="C19" s="31"/>
      <c r="D19" s="31"/>
      <c r="E19" s="31"/>
      <c r="F19" s="31"/>
      <c r="G19" s="40"/>
      <c r="H19" s="40"/>
      <c r="I19" s="40"/>
      <c r="J19" s="31"/>
      <c r="K19" s="31"/>
      <c r="L19" s="33" t="str">
        <f t="shared" si="0"/>
        <v/>
      </c>
      <c r="M19" s="33" t="str">
        <f t="shared" si="1"/>
        <v/>
      </c>
      <c r="N19" s="31"/>
    </row>
    <row r="20" spans="1:14">
      <c r="A20" s="31"/>
      <c r="B20" s="31"/>
      <c r="C20" s="31"/>
      <c r="D20" s="31"/>
      <c r="E20" s="31"/>
      <c r="F20" s="31"/>
      <c r="G20" s="40"/>
      <c r="H20" s="40"/>
      <c r="I20" s="40"/>
      <c r="J20" s="31"/>
      <c r="K20" s="31"/>
      <c r="L20" s="33" t="str">
        <f t="shared" si="0"/>
        <v/>
      </c>
      <c r="M20" s="33" t="str">
        <f t="shared" si="1"/>
        <v/>
      </c>
      <c r="N20" s="31"/>
    </row>
    <row r="21" spans="1:14">
      <c r="A21" s="31"/>
      <c r="B21" s="31"/>
      <c r="C21" s="31"/>
      <c r="D21" s="31"/>
      <c r="E21" s="31"/>
      <c r="F21" s="31"/>
      <c r="G21" s="40"/>
      <c r="H21" s="40"/>
      <c r="I21" s="40"/>
      <c r="J21" s="31"/>
      <c r="K21" s="31"/>
      <c r="L21" s="33"/>
      <c r="M21" s="33"/>
      <c r="N21" s="3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1"/>
  <sheetViews>
    <sheetView workbookViewId="0"/>
  </sheetViews>
  <sheetFormatPr defaultRowHeight="13.8"/>
  <cols>
    <col min="1" max="1" width="16" customWidth="1"/>
    <col min="2" max="2" width="30" customWidth="1"/>
    <col min="3" max="3" width="18" customWidth="1"/>
    <col min="4" max="6" width="16" customWidth="1"/>
    <col min="7" max="11" width="18" customWidth="1"/>
    <col min="12" max="12" width="20" customWidth="1"/>
    <col min="13" max="13" width="18" customWidth="1"/>
    <col min="14" max="14" width="24" customWidth="1"/>
  </cols>
  <sheetData>
    <row r="1" spans="1:14">
      <c r="A1" s="67" t="s">
        <v>508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509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30" t="s">
        <v>436</v>
      </c>
      <c r="B4" s="30" t="s">
        <v>69</v>
      </c>
      <c r="C4" s="30" t="s">
        <v>510</v>
      </c>
      <c r="D4" s="30" t="s">
        <v>70</v>
      </c>
      <c r="E4" s="30" t="s">
        <v>511</v>
      </c>
      <c r="F4" s="30" t="s">
        <v>400</v>
      </c>
      <c r="G4" s="30" t="s">
        <v>41</v>
      </c>
      <c r="H4" s="30" t="s">
        <v>42</v>
      </c>
      <c r="I4" s="30" t="s">
        <v>512</v>
      </c>
      <c r="J4" s="30" t="s">
        <v>513</v>
      </c>
      <c r="K4" s="30" t="s">
        <v>514</v>
      </c>
      <c r="L4" s="30" t="s">
        <v>123</v>
      </c>
      <c r="M4" s="30" t="s">
        <v>515</v>
      </c>
      <c r="N4" s="30" t="s">
        <v>5</v>
      </c>
    </row>
    <row r="5" spans="1:14" ht="27.6">
      <c r="A5" s="31" t="s">
        <v>441</v>
      </c>
      <c r="B5" s="31" t="s">
        <v>77</v>
      </c>
      <c r="C5" s="31" t="s">
        <v>502</v>
      </c>
      <c r="D5" s="31">
        <v>290</v>
      </c>
      <c r="E5" s="31">
        <v>1.05</v>
      </c>
      <c r="F5" s="41">
        <f t="shared" ref="F5:F40" si="0">IF(A5="","",D5*E5)</f>
        <v>304.5</v>
      </c>
      <c r="G5" s="42">
        <v>18</v>
      </c>
      <c r="H5" s="42">
        <v>5700</v>
      </c>
      <c r="I5" s="41">
        <f t="shared" ref="I5:I40" si="1">IF(H5=0,"",H5/1000)</f>
        <v>5.7</v>
      </c>
      <c r="J5" s="41">
        <f t="shared" ref="J5:J40" si="2">IF(G5=0,"",F5/G5)</f>
        <v>16.916666666666668</v>
      </c>
      <c r="K5" s="41">
        <f t="shared" ref="K5:K40" si="3">IF(I5=0,"",F5/I5)</f>
        <v>53.421052631578945</v>
      </c>
      <c r="L5" s="41" t="str">
        <f t="shared" ref="L5:L40" si="4">IF(A5="","",IF(J5&gt;25,"Korkea/lava",IF(K5&gt;150,"Korkea/tonni","OK")))</f>
        <v>OK</v>
      </c>
      <c r="M5" s="31" t="s">
        <v>53</v>
      </c>
      <c r="N5" s="31"/>
    </row>
    <row r="6" spans="1:14">
      <c r="A6" s="31" t="s">
        <v>442</v>
      </c>
      <c r="B6" s="31" t="s">
        <v>443</v>
      </c>
      <c r="C6" s="31" t="s">
        <v>500</v>
      </c>
      <c r="D6" s="31">
        <v>600</v>
      </c>
      <c r="E6" s="31">
        <v>0.9</v>
      </c>
      <c r="F6" s="41">
        <f t="shared" si="0"/>
        <v>540</v>
      </c>
      <c r="G6" s="42">
        <v>30</v>
      </c>
      <c r="H6" s="42">
        <v>15000</v>
      </c>
      <c r="I6" s="41">
        <f t="shared" si="1"/>
        <v>15</v>
      </c>
      <c r="J6" s="41">
        <f t="shared" si="2"/>
        <v>18</v>
      </c>
      <c r="K6" s="41">
        <f t="shared" si="3"/>
        <v>36</v>
      </c>
      <c r="L6" s="41" t="str">
        <f t="shared" si="4"/>
        <v>OK</v>
      </c>
      <c r="M6" s="31" t="s">
        <v>53</v>
      </c>
      <c r="N6" s="31"/>
    </row>
    <row r="7" spans="1:14" ht="27.6">
      <c r="A7" s="31" t="s">
        <v>444</v>
      </c>
      <c r="B7" s="31" t="s">
        <v>445</v>
      </c>
      <c r="C7" s="31" t="s">
        <v>506</v>
      </c>
      <c r="D7" s="31">
        <v>590</v>
      </c>
      <c r="E7" s="31">
        <v>1.1499999999999999</v>
      </c>
      <c r="F7" s="41">
        <f t="shared" si="0"/>
        <v>678.5</v>
      </c>
      <c r="G7" s="42">
        <v>24</v>
      </c>
      <c r="H7" s="42">
        <v>12000</v>
      </c>
      <c r="I7" s="41">
        <f t="shared" si="1"/>
        <v>12</v>
      </c>
      <c r="J7" s="41">
        <f t="shared" si="2"/>
        <v>28.270833333333332</v>
      </c>
      <c r="K7" s="41">
        <f t="shared" si="3"/>
        <v>56.541666666666664</v>
      </c>
      <c r="L7" s="41" t="str">
        <f t="shared" si="4"/>
        <v>Korkea/lava</v>
      </c>
      <c r="M7" s="31" t="s">
        <v>53</v>
      </c>
      <c r="N7" s="31"/>
    </row>
    <row r="8" spans="1:14">
      <c r="A8" s="31"/>
      <c r="B8" s="31"/>
      <c r="C8" s="31"/>
      <c r="D8" s="31"/>
      <c r="E8" s="31"/>
      <c r="F8" s="41" t="str">
        <f t="shared" si="0"/>
        <v/>
      </c>
      <c r="G8" s="42" t="str">
        <f t="shared" ref="G8:G40" si="5">IF(A8="","",G8)</f>
        <v/>
      </c>
      <c r="H8" s="42" t="str">
        <f t="shared" ref="H8:H40" si="6">IF(A8="","",H8)</f>
        <v/>
      </c>
      <c r="I8" s="41" t="e">
        <f t="shared" si="1"/>
        <v>#VALUE!</v>
      </c>
      <c r="J8" s="41" t="e">
        <f t="shared" si="2"/>
        <v>#VALUE!</v>
      </c>
      <c r="K8" s="41" t="e">
        <f t="shared" si="3"/>
        <v>#VALUE!</v>
      </c>
      <c r="L8" s="41" t="str">
        <f t="shared" si="4"/>
        <v/>
      </c>
      <c r="M8" s="31"/>
      <c r="N8" s="31"/>
    </row>
    <row r="9" spans="1:14">
      <c r="A9" s="31"/>
      <c r="B9" s="31"/>
      <c r="C9" s="31"/>
      <c r="D9" s="31"/>
      <c r="E9" s="31"/>
      <c r="F9" s="41" t="str">
        <f t="shared" si="0"/>
        <v/>
      </c>
      <c r="G9" s="42" t="str">
        <f t="shared" si="5"/>
        <v/>
      </c>
      <c r="H9" s="42" t="str">
        <f t="shared" si="6"/>
        <v/>
      </c>
      <c r="I9" s="41" t="e">
        <f t="shared" si="1"/>
        <v>#VALUE!</v>
      </c>
      <c r="J9" s="41" t="e">
        <f t="shared" si="2"/>
        <v>#VALUE!</v>
      </c>
      <c r="K9" s="41" t="e">
        <f t="shared" si="3"/>
        <v>#VALUE!</v>
      </c>
      <c r="L9" s="41" t="str">
        <f t="shared" si="4"/>
        <v/>
      </c>
      <c r="M9" s="31"/>
      <c r="N9" s="31"/>
    </row>
    <row r="10" spans="1:14">
      <c r="A10" s="31"/>
      <c r="B10" s="31"/>
      <c r="C10" s="31"/>
      <c r="D10" s="31"/>
      <c r="E10" s="31"/>
      <c r="F10" s="41" t="str">
        <f t="shared" si="0"/>
        <v/>
      </c>
      <c r="G10" s="42" t="str">
        <f t="shared" si="5"/>
        <v/>
      </c>
      <c r="H10" s="42" t="str">
        <f t="shared" si="6"/>
        <v/>
      </c>
      <c r="I10" s="41" t="e">
        <f t="shared" si="1"/>
        <v>#VALUE!</v>
      </c>
      <c r="J10" s="41" t="e">
        <f t="shared" si="2"/>
        <v>#VALUE!</v>
      </c>
      <c r="K10" s="41" t="e">
        <f t="shared" si="3"/>
        <v>#VALUE!</v>
      </c>
      <c r="L10" s="41" t="str">
        <f t="shared" si="4"/>
        <v/>
      </c>
      <c r="M10" s="31"/>
      <c r="N10" s="31"/>
    </row>
    <row r="11" spans="1:14">
      <c r="A11" s="31"/>
      <c r="B11" s="31"/>
      <c r="C11" s="31"/>
      <c r="D11" s="31"/>
      <c r="E11" s="31"/>
      <c r="F11" s="41" t="str">
        <f t="shared" si="0"/>
        <v/>
      </c>
      <c r="G11" s="42" t="str">
        <f t="shared" si="5"/>
        <v/>
      </c>
      <c r="H11" s="42" t="str">
        <f t="shared" si="6"/>
        <v/>
      </c>
      <c r="I11" s="41" t="e">
        <f t="shared" si="1"/>
        <v>#VALUE!</v>
      </c>
      <c r="J11" s="41" t="e">
        <f t="shared" si="2"/>
        <v>#VALUE!</v>
      </c>
      <c r="K11" s="41" t="e">
        <f t="shared" si="3"/>
        <v>#VALUE!</v>
      </c>
      <c r="L11" s="41" t="str">
        <f t="shared" si="4"/>
        <v/>
      </c>
      <c r="M11" s="31"/>
      <c r="N11" s="31"/>
    </row>
    <row r="12" spans="1:14">
      <c r="A12" s="31"/>
      <c r="B12" s="31"/>
      <c r="C12" s="31"/>
      <c r="D12" s="31"/>
      <c r="E12" s="31"/>
      <c r="F12" s="41" t="str">
        <f t="shared" si="0"/>
        <v/>
      </c>
      <c r="G12" s="42" t="str">
        <f t="shared" si="5"/>
        <v/>
      </c>
      <c r="H12" s="42" t="str">
        <f t="shared" si="6"/>
        <v/>
      </c>
      <c r="I12" s="41" t="e">
        <f t="shared" si="1"/>
        <v>#VALUE!</v>
      </c>
      <c r="J12" s="41" t="e">
        <f t="shared" si="2"/>
        <v>#VALUE!</v>
      </c>
      <c r="K12" s="41" t="e">
        <f t="shared" si="3"/>
        <v>#VALUE!</v>
      </c>
      <c r="L12" s="41" t="str">
        <f t="shared" si="4"/>
        <v/>
      </c>
      <c r="M12" s="31"/>
      <c r="N12" s="31"/>
    </row>
    <row r="13" spans="1:14">
      <c r="A13" s="31"/>
      <c r="B13" s="31"/>
      <c r="C13" s="31"/>
      <c r="D13" s="31"/>
      <c r="E13" s="31"/>
      <c r="F13" s="41" t="str">
        <f t="shared" si="0"/>
        <v/>
      </c>
      <c r="G13" s="42" t="str">
        <f t="shared" si="5"/>
        <v/>
      </c>
      <c r="H13" s="42" t="str">
        <f t="shared" si="6"/>
        <v/>
      </c>
      <c r="I13" s="41" t="e">
        <f t="shared" si="1"/>
        <v>#VALUE!</v>
      </c>
      <c r="J13" s="41" t="e">
        <f t="shared" si="2"/>
        <v>#VALUE!</v>
      </c>
      <c r="K13" s="41" t="e">
        <f t="shared" si="3"/>
        <v>#VALUE!</v>
      </c>
      <c r="L13" s="41" t="str">
        <f t="shared" si="4"/>
        <v/>
      </c>
      <c r="M13" s="31"/>
      <c r="N13" s="31"/>
    </row>
    <row r="14" spans="1:14">
      <c r="A14" s="31"/>
      <c r="B14" s="31"/>
      <c r="C14" s="31"/>
      <c r="D14" s="31"/>
      <c r="E14" s="31"/>
      <c r="F14" s="41" t="str">
        <f t="shared" si="0"/>
        <v/>
      </c>
      <c r="G14" s="42" t="str">
        <f t="shared" si="5"/>
        <v/>
      </c>
      <c r="H14" s="42" t="str">
        <f t="shared" si="6"/>
        <v/>
      </c>
      <c r="I14" s="41" t="e">
        <f t="shared" si="1"/>
        <v>#VALUE!</v>
      </c>
      <c r="J14" s="41" t="e">
        <f t="shared" si="2"/>
        <v>#VALUE!</v>
      </c>
      <c r="K14" s="41" t="e">
        <f t="shared" si="3"/>
        <v>#VALUE!</v>
      </c>
      <c r="L14" s="41" t="str">
        <f t="shared" si="4"/>
        <v/>
      </c>
      <c r="M14" s="31"/>
      <c r="N14" s="31"/>
    </row>
    <row r="15" spans="1:14">
      <c r="A15" s="31"/>
      <c r="B15" s="31"/>
      <c r="C15" s="31"/>
      <c r="D15" s="31"/>
      <c r="E15" s="31"/>
      <c r="F15" s="41" t="str">
        <f t="shared" si="0"/>
        <v/>
      </c>
      <c r="G15" s="42" t="str">
        <f t="shared" si="5"/>
        <v/>
      </c>
      <c r="H15" s="42" t="str">
        <f t="shared" si="6"/>
        <v/>
      </c>
      <c r="I15" s="41" t="e">
        <f t="shared" si="1"/>
        <v>#VALUE!</v>
      </c>
      <c r="J15" s="41" t="e">
        <f t="shared" si="2"/>
        <v>#VALUE!</v>
      </c>
      <c r="K15" s="41" t="e">
        <f t="shared" si="3"/>
        <v>#VALUE!</v>
      </c>
      <c r="L15" s="41" t="str">
        <f t="shared" si="4"/>
        <v/>
      </c>
      <c r="M15" s="31"/>
      <c r="N15" s="31"/>
    </row>
    <row r="16" spans="1:14">
      <c r="A16" s="31"/>
      <c r="B16" s="31"/>
      <c r="C16" s="31"/>
      <c r="D16" s="31"/>
      <c r="E16" s="31"/>
      <c r="F16" s="41" t="str">
        <f t="shared" si="0"/>
        <v/>
      </c>
      <c r="G16" s="42" t="str">
        <f t="shared" si="5"/>
        <v/>
      </c>
      <c r="H16" s="42" t="str">
        <f t="shared" si="6"/>
        <v/>
      </c>
      <c r="I16" s="41" t="e">
        <f t="shared" si="1"/>
        <v>#VALUE!</v>
      </c>
      <c r="J16" s="41" t="e">
        <f t="shared" si="2"/>
        <v>#VALUE!</v>
      </c>
      <c r="K16" s="41" t="e">
        <f t="shared" si="3"/>
        <v>#VALUE!</v>
      </c>
      <c r="L16" s="41" t="str">
        <f t="shared" si="4"/>
        <v/>
      </c>
      <c r="M16" s="31"/>
      <c r="N16" s="31"/>
    </row>
    <row r="17" spans="1:14">
      <c r="A17" s="31"/>
      <c r="B17" s="31"/>
      <c r="C17" s="31"/>
      <c r="D17" s="31"/>
      <c r="E17" s="31"/>
      <c r="F17" s="41" t="str">
        <f t="shared" si="0"/>
        <v/>
      </c>
      <c r="G17" s="42" t="str">
        <f t="shared" si="5"/>
        <v/>
      </c>
      <c r="H17" s="42" t="str">
        <f t="shared" si="6"/>
        <v/>
      </c>
      <c r="I17" s="41" t="e">
        <f t="shared" si="1"/>
        <v>#VALUE!</v>
      </c>
      <c r="J17" s="41" t="e">
        <f t="shared" si="2"/>
        <v>#VALUE!</v>
      </c>
      <c r="K17" s="41" t="e">
        <f t="shared" si="3"/>
        <v>#VALUE!</v>
      </c>
      <c r="L17" s="41" t="str">
        <f t="shared" si="4"/>
        <v/>
      </c>
      <c r="M17" s="31"/>
      <c r="N17" s="31"/>
    </row>
    <row r="18" spans="1:14">
      <c r="A18" s="31"/>
      <c r="B18" s="31"/>
      <c r="C18" s="31"/>
      <c r="D18" s="31"/>
      <c r="E18" s="31"/>
      <c r="F18" s="41" t="str">
        <f t="shared" si="0"/>
        <v/>
      </c>
      <c r="G18" s="42" t="str">
        <f t="shared" si="5"/>
        <v/>
      </c>
      <c r="H18" s="42" t="str">
        <f t="shared" si="6"/>
        <v/>
      </c>
      <c r="I18" s="41" t="e">
        <f t="shared" si="1"/>
        <v>#VALUE!</v>
      </c>
      <c r="J18" s="41" t="e">
        <f t="shared" si="2"/>
        <v>#VALUE!</v>
      </c>
      <c r="K18" s="41" t="e">
        <f t="shared" si="3"/>
        <v>#VALUE!</v>
      </c>
      <c r="L18" s="41" t="str">
        <f t="shared" si="4"/>
        <v/>
      </c>
      <c r="M18" s="31"/>
      <c r="N18" s="31"/>
    </row>
    <row r="19" spans="1:14">
      <c r="A19" s="31"/>
      <c r="B19" s="31"/>
      <c r="C19" s="31"/>
      <c r="D19" s="31"/>
      <c r="E19" s="31"/>
      <c r="F19" s="41" t="str">
        <f t="shared" si="0"/>
        <v/>
      </c>
      <c r="G19" s="42" t="str">
        <f t="shared" si="5"/>
        <v/>
      </c>
      <c r="H19" s="42" t="str">
        <f t="shared" si="6"/>
        <v/>
      </c>
      <c r="I19" s="41" t="e">
        <f t="shared" si="1"/>
        <v>#VALUE!</v>
      </c>
      <c r="J19" s="41" t="e">
        <f t="shared" si="2"/>
        <v>#VALUE!</v>
      </c>
      <c r="K19" s="41" t="e">
        <f t="shared" si="3"/>
        <v>#VALUE!</v>
      </c>
      <c r="L19" s="41" t="str">
        <f t="shared" si="4"/>
        <v/>
      </c>
      <c r="M19" s="31"/>
      <c r="N19" s="31"/>
    </row>
    <row r="20" spans="1:14">
      <c r="A20" s="31"/>
      <c r="B20" s="31"/>
      <c r="C20" s="31"/>
      <c r="D20" s="31"/>
      <c r="E20" s="31"/>
      <c r="F20" s="41" t="str">
        <f t="shared" si="0"/>
        <v/>
      </c>
      <c r="G20" s="42" t="str">
        <f t="shared" si="5"/>
        <v/>
      </c>
      <c r="H20" s="42" t="str">
        <f t="shared" si="6"/>
        <v/>
      </c>
      <c r="I20" s="41" t="e">
        <f t="shared" si="1"/>
        <v>#VALUE!</v>
      </c>
      <c r="J20" s="41" t="e">
        <f t="shared" si="2"/>
        <v>#VALUE!</v>
      </c>
      <c r="K20" s="41" t="e">
        <f t="shared" si="3"/>
        <v>#VALUE!</v>
      </c>
      <c r="L20" s="41" t="str">
        <f t="shared" si="4"/>
        <v/>
      </c>
      <c r="M20" s="31"/>
      <c r="N20" s="31"/>
    </row>
    <row r="21" spans="1:14">
      <c r="A21" s="31"/>
      <c r="B21" s="31"/>
      <c r="C21" s="31"/>
      <c r="D21" s="31"/>
      <c r="E21" s="31"/>
      <c r="F21" s="41" t="str">
        <f t="shared" si="0"/>
        <v/>
      </c>
      <c r="G21" s="42" t="str">
        <f t="shared" si="5"/>
        <v/>
      </c>
      <c r="H21" s="42" t="str">
        <f t="shared" si="6"/>
        <v/>
      </c>
      <c r="I21" s="41" t="e">
        <f t="shared" si="1"/>
        <v>#VALUE!</v>
      </c>
      <c r="J21" s="41" t="e">
        <f t="shared" si="2"/>
        <v>#VALUE!</v>
      </c>
      <c r="K21" s="41" t="e">
        <f t="shared" si="3"/>
        <v>#VALUE!</v>
      </c>
      <c r="L21" s="41" t="str">
        <f t="shared" si="4"/>
        <v/>
      </c>
      <c r="M21" s="31"/>
      <c r="N21" s="31"/>
    </row>
    <row r="22" spans="1:14">
      <c r="A22" s="31"/>
      <c r="B22" s="31"/>
      <c r="C22" s="31"/>
      <c r="D22" s="31"/>
      <c r="E22" s="31"/>
      <c r="F22" s="41" t="str">
        <f t="shared" si="0"/>
        <v/>
      </c>
      <c r="G22" s="42" t="str">
        <f t="shared" si="5"/>
        <v/>
      </c>
      <c r="H22" s="42" t="str">
        <f t="shared" si="6"/>
        <v/>
      </c>
      <c r="I22" s="41" t="e">
        <f t="shared" si="1"/>
        <v>#VALUE!</v>
      </c>
      <c r="J22" s="41" t="e">
        <f t="shared" si="2"/>
        <v>#VALUE!</v>
      </c>
      <c r="K22" s="41" t="e">
        <f t="shared" si="3"/>
        <v>#VALUE!</v>
      </c>
      <c r="L22" s="41" t="str">
        <f t="shared" si="4"/>
        <v/>
      </c>
      <c r="M22" s="31"/>
      <c r="N22" s="31"/>
    </row>
    <row r="23" spans="1:14">
      <c r="A23" s="31"/>
      <c r="B23" s="31"/>
      <c r="C23" s="31"/>
      <c r="D23" s="31"/>
      <c r="E23" s="31"/>
      <c r="F23" s="41" t="str">
        <f t="shared" si="0"/>
        <v/>
      </c>
      <c r="G23" s="42" t="str">
        <f t="shared" si="5"/>
        <v/>
      </c>
      <c r="H23" s="42" t="str">
        <f t="shared" si="6"/>
        <v/>
      </c>
      <c r="I23" s="41" t="e">
        <f t="shared" si="1"/>
        <v>#VALUE!</v>
      </c>
      <c r="J23" s="41" t="e">
        <f t="shared" si="2"/>
        <v>#VALUE!</v>
      </c>
      <c r="K23" s="41" t="e">
        <f t="shared" si="3"/>
        <v>#VALUE!</v>
      </c>
      <c r="L23" s="41" t="str">
        <f t="shared" si="4"/>
        <v/>
      </c>
      <c r="M23" s="31"/>
      <c r="N23" s="31"/>
    </row>
    <row r="24" spans="1:14">
      <c r="A24" s="31"/>
      <c r="B24" s="31"/>
      <c r="C24" s="31"/>
      <c r="D24" s="31"/>
      <c r="E24" s="31"/>
      <c r="F24" s="41" t="str">
        <f t="shared" si="0"/>
        <v/>
      </c>
      <c r="G24" s="42" t="str">
        <f t="shared" si="5"/>
        <v/>
      </c>
      <c r="H24" s="42" t="str">
        <f t="shared" si="6"/>
        <v/>
      </c>
      <c r="I24" s="41" t="e">
        <f t="shared" si="1"/>
        <v>#VALUE!</v>
      </c>
      <c r="J24" s="41" t="e">
        <f t="shared" si="2"/>
        <v>#VALUE!</v>
      </c>
      <c r="K24" s="41" t="e">
        <f t="shared" si="3"/>
        <v>#VALUE!</v>
      </c>
      <c r="L24" s="41" t="str">
        <f t="shared" si="4"/>
        <v/>
      </c>
      <c r="M24" s="31"/>
      <c r="N24" s="31"/>
    </row>
    <row r="25" spans="1:14">
      <c r="A25" s="31"/>
      <c r="B25" s="31"/>
      <c r="C25" s="31"/>
      <c r="D25" s="31"/>
      <c r="E25" s="31"/>
      <c r="F25" s="41" t="str">
        <f t="shared" si="0"/>
        <v/>
      </c>
      <c r="G25" s="42" t="str">
        <f t="shared" si="5"/>
        <v/>
      </c>
      <c r="H25" s="42" t="str">
        <f t="shared" si="6"/>
        <v/>
      </c>
      <c r="I25" s="41" t="e">
        <f t="shared" si="1"/>
        <v>#VALUE!</v>
      </c>
      <c r="J25" s="41" t="e">
        <f t="shared" si="2"/>
        <v>#VALUE!</v>
      </c>
      <c r="K25" s="41" t="e">
        <f t="shared" si="3"/>
        <v>#VALUE!</v>
      </c>
      <c r="L25" s="41" t="str">
        <f t="shared" si="4"/>
        <v/>
      </c>
      <c r="M25" s="31"/>
      <c r="N25" s="31"/>
    </row>
    <row r="26" spans="1:14">
      <c r="A26" s="31"/>
      <c r="B26" s="31"/>
      <c r="C26" s="31"/>
      <c r="D26" s="31"/>
      <c r="E26" s="31"/>
      <c r="F26" s="41" t="str">
        <f t="shared" si="0"/>
        <v/>
      </c>
      <c r="G26" s="42" t="str">
        <f t="shared" si="5"/>
        <v/>
      </c>
      <c r="H26" s="42" t="str">
        <f t="shared" si="6"/>
        <v/>
      </c>
      <c r="I26" s="41" t="e">
        <f t="shared" si="1"/>
        <v>#VALUE!</v>
      </c>
      <c r="J26" s="41" t="e">
        <f t="shared" si="2"/>
        <v>#VALUE!</v>
      </c>
      <c r="K26" s="41" t="e">
        <f t="shared" si="3"/>
        <v>#VALUE!</v>
      </c>
      <c r="L26" s="41" t="str">
        <f t="shared" si="4"/>
        <v/>
      </c>
      <c r="M26" s="31"/>
      <c r="N26" s="31"/>
    </row>
    <row r="27" spans="1:14">
      <c r="A27" s="31"/>
      <c r="B27" s="31"/>
      <c r="C27" s="31"/>
      <c r="D27" s="31"/>
      <c r="E27" s="31"/>
      <c r="F27" s="41" t="str">
        <f t="shared" si="0"/>
        <v/>
      </c>
      <c r="G27" s="42" t="str">
        <f t="shared" si="5"/>
        <v/>
      </c>
      <c r="H27" s="42" t="str">
        <f t="shared" si="6"/>
        <v/>
      </c>
      <c r="I27" s="41" t="e">
        <f t="shared" si="1"/>
        <v>#VALUE!</v>
      </c>
      <c r="J27" s="41" t="e">
        <f t="shared" si="2"/>
        <v>#VALUE!</v>
      </c>
      <c r="K27" s="41" t="e">
        <f t="shared" si="3"/>
        <v>#VALUE!</v>
      </c>
      <c r="L27" s="41" t="str">
        <f t="shared" si="4"/>
        <v/>
      </c>
      <c r="M27" s="31"/>
      <c r="N27" s="31"/>
    </row>
    <row r="28" spans="1:14">
      <c r="A28" s="31"/>
      <c r="B28" s="31"/>
      <c r="C28" s="31"/>
      <c r="D28" s="31"/>
      <c r="E28" s="31"/>
      <c r="F28" s="41" t="str">
        <f t="shared" si="0"/>
        <v/>
      </c>
      <c r="G28" s="42" t="str">
        <f t="shared" si="5"/>
        <v/>
      </c>
      <c r="H28" s="42" t="str">
        <f t="shared" si="6"/>
        <v/>
      </c>
      <c r="I28" s="41" t="e">
        <f t="shared" si="1"/>
        <v>#VALUE!</v>
      </c>
      <c r="J28" s="41" t="e">
        <f t="shared" si="2"/>
        <v>#VALUE!</v>
      </c>
      <c r="K28" s="41" t="e">
        <f t="shared" si="3"/>
        <v>#VALUE!</v>
      </c>
      <c r="L28" s="41" t="str">
        <f t="shared" si="4"/>
        <v/>
      </c>
      <c r="M28" s="31"/>
      <c r="N28" s="31"/>
    </row>
    <row r="29" spans="1:14">
      <c r="A29" s="31"/>
      <c r="B29" s="31"/>
      <c r="C29" s="31"/>
      <c r="D29" s="31"/>
      <c r="E29" s="31"/>
      <c r="F29" s="41" t="str">
        <f t="shared" si="0"/>
        <v/>
      </c>
      <c r="G29" s="42" t="str">
        <f t="shared" si="5"/>
        <v/>
      </c>
      <c r="H29" s="42" t="str">
        <f t="shared" si="6"/>
        <v/>
      </c>
      <c r="I29" s="41" t="e">
        <f t="shared" si="1"/>
        <v>#VALUE!</v>
      </c>
      <c r="J29" s="41" t="e">
        <f t="shared" si="2"/>
        <v>#VALUE!</v>
      </c>
      <c r="K29" s="41" t="e">
        <f t="shared" si="3"/>
        <v>#VALUE!</v>
      </c>
      <c r="L29" s="41" t="str">
        <f t="shared" si="4"/>
        <v/>
      </c>
      <c r="M29" s="31"/>
      <c r="N29" s="31"/>
    </row>
    <row r="30" spans="1:14">
      <c r="A30" s="31"/>
      <c r="B30" s="31"/>
      <c r="C30" s="31"/>
      <c r="D30" s="31"/>
      <c r="E30" s="31"/>
      <c r="F30" s="41" t="str">
        <f t="shared" si="0"/>
        <v/>
      </c>
      <c r="G30" s="42" t="str">
        <f t="shared" si="5"/>
        <v/>
      </c>
      <c r="H30" s="42" t="str">
        <f t="shared" si="6"/>
        <v/>
      </c>
      <c r="I30" s="41" t="e">
        <f t="shared" si="1"/>
        <v>#VALUE!</v>
      </c>
      <c r="J30" s="41" t="e">
        <f t="shared" si="2"/>
        <v>#VALUE!</v>
      </c>
      <c r="K30" s="41" t="e">
        <f t="shared" si="3"/>
        <v>#VALUE!</v>
      </c>
      <c r="L30" s="41" t="str">
        <f t="shared" si="4"/>
        <v/>
      </c>
      <c r="M30" s="31"/>
      <c r="N30" s="31"/>
    </row>
    <row r="31" spans="1:14">
      <c r="A31" s="31"/>
      <c r="B31" s="31"/>
      <c r="C31" s="31"/>
      <c r="D31" s="31"/>
      <c r="E31" s="31"/>
      <c r="F31" s="41" t="str">
        <f t="shared" si="0"/>
        <v/>
      </c>
      <c r="G31" s="42" t="str">
        <f t="shared" si="5"/>
        <v/>
      </c>
      <c r="H31" s="42" t="str">
        <f t="shared" si="6"/>
        <v/>
      </c>
      <c r="I31" s="41" t="e">
        <f t="shared" si="1"/>
        <v>#VALUE!</v>
      </c>
      <c r="J31" s="41" t="e">
        <f t="shared" si="2"/>
        <v>#VALUE!</v>
      </c>
      <c r="K31" s="41" t="e">
        <f t="shared" si="3"/>
        <v>#VALUE!</v>
      </c>
      <c r="L31" s="41" t="str">
        <f t="shared" si="4"/>
        <v/>
      </c>
      <c r="M31" s="31"/>
      <c r="N31" s="31"/>
    </row>
    <row r="32" spans="1:14">
      <c r="A32" s="31"/>
      <c r="B32" s="31"/>
      <c r="C32" s="31"/>
      <c r="D32" s="31"/>
      <c r="E32" s="31"/>
      <c r="F32" s="41" t="str">
        <f t="shared" si="0"/>
        <v/>
      </c>
      <c r="G32" s="42" t="str">
        <f t="shared" si="5"/>
        <v/>
      </c>
      <c r="H32" s="42" t="str">
        <f t="shared" si="6"/>
        <v/>
      </c>
      <c r="I32" s="41" t="e">
        <f t="shared" si="1"/>
        <v>#VALUE!</v>
      </c>
      <c r="J32" s="41" t="e">
        <f t="shared" si="2"/>
        <v>#VALUE!</v>
      </c>
      <c r="K32" s="41" t="e">
        <f t="shared" si="3"/>
        <v>#VALUE!</v>
      </c>
      <c r="L32" s="41" t="str">
        <f t="shared" si="4"/>
        <v/>
      </c>
      <c r="M32" s="31"/>
      <c r="N32" s="31"/>
    </row>
    <row r="33" spans="1:14">
      <c r="A33" s="31"/>
      <c r="B33" s="31"/>
      <c r="C33" s="31"/>
      <c r="D33" s="31"/>
      <c r="E33" s="31"/>
      <c r="F33" s="41" t="str">
        <f t="shared" si="0"/>
        <v/>
      </c>
      <c r="G33" s="42" t="str">
        <f t="shared" si="5"/>
        <v/>
      </c>
      <c r="H33" s="42" t="str">
        <f t="shared" si="6"/>
        <v/>
      </c>
      <c r="I33" s="41" t="e">
        <f t="shared" si="1"/>
        <v>#VALUE!</v>
      </c>
      <c r="J33" s="41" t="e">
        <f t="shared" si="2"/>
        <v>#VALUE!</v>
      </c>
      <c r="K33" s="41" t="e">
        <f t="shared" si="3"/>
        <v>#VALUE!</v>
      </c>
      <c r="L33" s="41" t="str">
        <f t="shared" si="4"/>
        <v/>
      </c>
      <c r="M33" s="31"/>
      <c r="N33" s="31"/>
    </row>
    <row r="34" spans="1:14">
      <c r="A34" s="31"/>
      <c r="B34" s="31"/>
      <c r="C34" s="31"/>
      <c r="D34" s="31"/>
      <c r="E34" s="31"/>
      <c r="F34" s="41" t="str">
        <f t="shared" si="0"/>
        <v/>
      </c>
      <c r="G34" s="42" t="str">
        <f t="shared" si="5"/>
        <v/>
      </c>
      <c r="H34" s="42" t="str">
        <f t="shared" si="6"/>
        <v/>
      </c>
      <c r="I34" s="41" t="e">
        <f t="shared" si="1"/>
        <v>#VALUE!</v>
      </c>
      <c r="J34" s="41" t="e">
        <f t="shared" si="2"/>
        <v>#VALUE!</v>
      </c>
      <c r="K34" s="41" t="e">
        <f t="shared" si="3"/>
        <v>#VALUE!</v>
      </c>
      <c r="L34" s="41" t="str">
        <f t="shared" si="4"/>
        <v/>
      </c>
      <c r="M34" s="31"/>
      <c r="N34" s="31"/>
    </row>
    <row r="35" spans="1:14">
      <c r="A35" s="31"/>
      <c r="B35" s="31"/>
      <c r="C35" s="31"/>
      <c r="D35" s="31"/>
      <c r="E35" s="31"/>
      <c r="F35" s="41" t="str">
        <f t="shared" si="0"/>
        <v/>
      </c>
      <c r="G35" s="42" t="str">
        <f t="shared" si="5"/>
        <v/>
      </c>
      <c r="H35" s="42" t="str">
        <f t="shared" si="6"/>
        <v/>
      </c>
      <c r="I35" s="41" t="e">
        <f t="shared" si="1"/>
        <v>#VALUE!</v>
      </c>
      <c r="J35" s="41" t="e">
        <f t="shared" si="2"/>
        <v>#VALUE!</v>
      </c>
      <c r="K35" s="41" t="e">
        <f t="shared" si="3"/>
        <v>#VALUE!</v>
      </c>
      <c r="L35" s="41" t="str">
        <f t="shared" si="4"/>
        <v/>
      </c>
      <c r="M35" s="31"/>
      <c r="N35" s="31"/>
    </row>
    <row r="36" spans="1:14">
      <c r="A36" s="31"/>
      <c r="B36" s="31"/>
      <c r="C36" s="31"/>
      <c r="D36" s="31"/>
      <c r="E36" s="31"/>
      <c r="F36" s="41" t="str">
        <f t="shared" si="0"/>
        <v/>
      </c>
      <c r="G36" s="42" t="str">
        <f t="shared" si="5"/>
        <v/>
      </c>
      <c r="H36" s="42" t="str">
        <f t="shared" si="6"/>
        <v/>
      </c>
      <c r="I36" s="41" t="e">
        <f t="shared" si="1"/>
        <v>#VALUE!</v>
      </c>
      <c r="J36" s="41" t="e">
        <f t="shared" si="2"/>
        <v>#VALUE!</v>
      </c>
      <c r="K36" s="41" t="e">
        <f t="shared" si="3"/>
        <v>#VALUE!</v>
      </c>
      <c r="L36" s="41" t="str">
        <f t="shared" si="4"/>
        <v/>
      </c>
      <c r="M36" s="31"/>
      <c r="N36" s="31"/>
    </row>
    <row r="37" spans="1:14">
      <c r="A37" s="31"/>
      <c r="B37" s="31"/>
      <c r="C37" s="31"/>
      <c r="D37" s="31"/>
      <c r="E37" s="31"/>
      <c r="F37" s="41" t="str">
        <f t="shared" si="0"/>
        <v/>
      </c>
      <c r="G37" s="42" t="str">
        <f t="shared" si="5"/>
        <v/>
      </c>
      <c r="H37" s="42" t="str">
        <f t="shared" si="6"/>
        <v/>
      </c>
      <c r="I37" s="41" t="e">
        <f t="shared" si="1"/>
        <v>#VALUE!</v>
      </c>
      <c r="J37" s="41" t="e">
        <f t="shared" si="2"/>
        <v>#VALUE!</v>
      </c>
      <c r="K37" s="41" t="e">
        <f t="shared" si="3"/>
        <v>#VALUE!</v>
      </c>
      <c r="L37" s="41" t="str">
        <f t="shared" si="4"/>
        <v/>
      </c>
      <c r="M37" s="31"/>
      <c r="N37" s="31"/>
    </row>
    <row r="38" spans="1:14">
      <c r="A38" s="31"/>
      <c r="B38" s="31"/>
      <c r="C38" s="31"/>
      <c r="D38" s="31"/>
      <c r="E38" s="31"/>
      <c r="F38" s="41" t="str">
        <f t="shared" si="0"/>
        <v/>
      </c>
      <c r="G38" s="42" t="str">
        <f t="shared" si="5"/>
        <v/>
      </c>
      <c r="H38" s="42" t="str">
        <f t="shared" si="6"/>
        <v/>
      </c>
      <c r="I38" s="41" t="e">
        <f t="shared" si="1"/>
        <v>#VALUE!</v>
      </c>
      <c r="J38" s="41" t="e">
        <f t="shared" si="2"/>
        <v>#VALUE!</v>
      </c>
      <c r="K38" s="41" t="e">
        <f t="shared" si="3"/>
        <v>#VALUE!</v>
      </c>
      <c r="L38" s="41" t="str">
        <f t="shared" si="4"/>
        <v/>
      </c>
      <c r="M38" s="31"/>
      <c r="N38" s="31"/>
    </row>
    <row r="39" spans="1:14">
      <c r="A39" s="31"/>
      <c r="B39" s="31"/>
      <c r="C39" s="31"/>
      <c r="D39" s="31"/>
      <c r="E39" s="31"/>
      <c r="F39" s="41" t="str">
        <f t="shared" si="0"/>
        <v/>
      </c>
      <c r="G39" s="42" t="str">
        <f t="shared" si="5"/>
        <v/>
      </c>
      <c r="H39" s="42" t="str">
        <f t="shared" si="6"/>
        <v/>
      </c>
      <c r="I39" s="41" t="e">
        <f t="shared" si="1"/>
        <v>#VALUE!</v>
      </c>
      <c r="J39" s="41" t="e">
        <f t="shared" si="2"/>
        <v>#VALUE!</v>
      </c>
      <c r="K39" s="41" t="e">
        <f t="shared" si="3"/>
        <v>#VALUE!</v>
      </c>
      <c r="L39" s="41" t="str">
        <f t="shared" si="4"/>
        <v/>
      </c>
      <c r="M39" s="31"/>
      <c r="N39" s="31"/>
    </row>
    <row r="40" spans="1:14">
      <c r="A40" s="31"/>
      <c r="B40" s="31"/>
      <c r="C40" s="31"/>
      <c r="D40" s="31"/>
      <c r="E40" s="31"/>
      <c r="F40" s="41" t="str">
        <f t="shared" si="0"/>
        <v/>
      </c>
      <c r="G40" s="42" t="str">
        <f t="shared" si="5"/>
        <v/>
      </c>
      <c r="H40" s="42" t="str">
        <f t="shared" si="6"/>
        <v/>
      </c>
      <c r="I40" s="41" t="e">
        <f t="shared" si="1"/>
        <v>#VALUE!</v>
      </c>
      <c r="J40" s="41" t="e">
        <f t="shared" si="2"/>
        <v>#VALUE!</v>
      </c>
      <c r="K40" s="41" t="e">
        <f t="shared" si="3"/>
        <v>#VALUE!</v>
      </c>
      <c r="L40" s="41" t="str">
        <f t="shared" si="4"/>
        <v/>
      </c>
      <c r="M40" s="31"/>
      <c r="N40" s="31"/>
    </row>
    <row r="41" spans="1:14">
      <c r="A41" s="31"/>
      <c r="B41" s="31"/>
      <c r="C41" s="31"/>
      <c r="D41" s="31"/>
      <c r="E41" s="31"/>
      <c r="F41" s="41"/>
      <c r="G41" s="42"/>
      <c r="H41" s="42"/>
      <c r="I41" s="41"/>
      <c r="J41" s="41"/>
      <c r="K41" s="41"/>
      <c r="L41" s="41"/>
      <c r="M41" s="31"/>
      <c r="N41" s="3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1"/>
  <sheetViews>
    <sheetView workbookViewId="0"/>
  </sheetViews>
  <sheetFormatPr defaultRowHeight="13.8"/>
  <cols>
    <col min="1" max="1" width="22" customWidth="1"/>
    <col min="2" max="2" width="16" customWidth="1"/>
    <col min="3" max="13" width="18" customWidth="1"/>
    <col min="14" max="14" width="24" customWidth="1"/>
  </cols>
  <sheetData>
    <row r="1" spans="1:14">
      <c r="A1" s="67" t="s">
        <v>516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517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30" t="s">
        <v>258</v>
      </c>
      <c r="B4" s="30" t="s">
        <v>518</v>
      </c>
      <c r="C4" s="30" t="s">
        <v>327</v>
      </c>
      <c r="D4" s="30" t="s">
        <v>472</v>
      </c>
      <c r="E4" s="30" t="s">
        <v>331</v>
      </c>
      <c r="F4" s="30" t="s">
        <v>13</v>
      </c>
      <c r="G4" s="30" t="s">
        <v>468</v>
      </c>
      <c r="H4" s="30" t="s">
        <v>469</v>
      </c>
      <c r="I4" s="30" t="s">
        <v>471</v>
      </c>
      <c r="J4" s="30" t="s">
        <v>311</v>
      </c>
      <c r="K4" s="30" t="s">
        <v>519</v>
      </c>
      <c r="L4" s="30" t="s">
        <v>123</v>
      </c>
      <c r="M4" s="30" t="s">
        <v>343</v>
      </c>
      <c r="N4" s="30" t="s">
        <v>5</v>
      </c>
    </row>
    <row r="5" spans="1:14">
      <c r="A5" s="31" t="s">
        <v>265</v>
      </c>
      <c r="B5" s="31">
        <v>12</v>
      </c>
      <c r="C5" s="40">
        <v>24000</v>
      </c>
      <c r="D5" s="40">
        <v>19800</v>
      </c>
      <c r="E5" s="43">
        <f t="shared" ref="E5:E40" si="0">IF(A5="","",C5-D5)</f>
        <v>4200</v>
      </c>
      <c r="F5" s="37">
        <f t="shared" ref="F5:F40" si="1">IF(C5=0,"",E5/C5)</f>
        <v>0.17499999999999999</v>
      </c>
      <c r="G5" s="31">
        <v>6200</v>
      </c>
      <c r="H5" s="31">
        <v>700</v>
      </c>
      <c r="I5" s="37">
        <f t="shared" ref="I5:I40" si="2">IF(G5+H5=0,"",H5/(G5+H5))</f>
        <v>0.10144927536231885</v>
      </c>
      <c r="J5" s="44">
        <v>0.96</v>
      </c>
      <c r="K5" s="44">
        <v>0.16</v>
      </c>
      <c r="L5" s="33" t="str">
        <f t="shared" ref="L5:L40" si="3">IF(A5="","",IF(F5&lt;K5,"Alle tavoitteen",IF(I5&gt;0.18,"Liikaa tyhjää ajoa","OK")))</f>
        <v>OK</v>
      </c>
      <c r="M5" s="33" t="str">
        <f t="shared" ref="M5:M40" si="4">IF(A5="","",IF(L5="OK","Seuraa","Tarkista hinnoittelu / suunnittelu"))</f>
        <v>Seuraa</v>
      </c>
      <c r="N5" s="31"/>
    </row>
    <row r="6" spans="1:14" ht="27.6">
      <c r="A6" s="31" t="s">
        <v>269</v>
      </c>
      <c r="B6" s="31">
        <v>8</v>
      </c>
      <c r="C6" s="40">
        <v>13500</v>
      </c>
      <c r="D6" s="40">
        <v>11600</v>
      </c>
      <c r="E6" s="43">
        <f t="shared" si="0"/>
        <v>1900</v>
      </c>
      <c r="F6" s="37">
        <f t="shared" si="1"/>
        <v>0.14074074074074075</v>
      </c>
      <c r="G6" s="31">
        <v>4800</v>
      </c>
      <c r="H6" s="31">
        <v>650</v>
      </c>
      <c r="I6" s="37">
        <f t="shared" si="2"/>
        <v>0.11926605504587157</v>
      </c>
      <c r="J6" s="44">
        <v>0.92</v>
      </c>
      <c r="K6" s="44">
        <v>0.15</v>
      </c>
      <c r="L6" s="33" t="str">
        <f t="shared" si="3"/>
        <v>Alle tavoitteen</v>
      </c>
      <c r="M6" s="33" t="str">
        <f t="shared" si="4"/>
        <v>Tarkista hinnoittelu / suunnittelu</v>
      </c>
      <c r="N6" s="31"/>
    </row>
    <row r="7" spans="1:14" ht="27.6">
      <c r="A7" s="31" t="s">
        <v>520</v>
      </c>
      <c r="B7" s="31">
        <v>5</v>
      </c>
      <c r="C7" s="40">
        <v>6200</v>
      </c>
      <c r="D7" s="40">
        <v>5700</v>
      </c>
      <c r="E7" s="43">
        <f t="shared" si="0"/>
        <v>500</v>
      </c>
      <c r="F7" s="37">
        <f t="shared" si="1"/>
        <v>8.0645161290322578E-2</v>
      </c>
      <c r="G7" s="31">
        <v>2100</v>
      </c>
      <c r="H7" s="31">
        <v>420</v>
      </c>
      <c r="I7" s="37">
        <f t="shared" si="2"/>
        <v>0.16666666666666666</v>
      </c>
      <c r="J7" s="44">
        <v>0.84</v>
      </c>
      <c r="K7" s="44">
        <v>0.18</v>
      </c>
      <c r="L7" s="33" t="str">
        <f t="shared" si="3"/>
        <v>Alle tavoitteen</v>
      </c>
      <c r="M7" s="33" t="str">
        <f t="shared" si="4"/>
        <v>Tarkista hinnoittelu / suunnittelu</v>
      </c>
      <c r="N7" s="31"/>
    </row>
    <row r="8" spans="1:14">
      <c r="A8" s="31" t="s">
        <v>272</v>
      </c>
      <c r="B8" s="31">
        <v>4</v>
      </c>
      <c r="C8" s="40">
        <v>5400</v>
      </c>
      <c r="D8" s="40">
        <v>4300</v>
      </c>
      <c r="E8" s="43">
        <f t="shared" si="0"/>
        <v>1100</v>
      </c>
      <c r="F8" s="37">
        <f t="shared" si="1"/>
        <v>0.20370370370370369</v>
      </c>
      <c r="G8" s="31">
        <v>1600</v>
      </c>
      <c r="H8" s="31">
        <v>200</v>
      </c>
      <c r="I8" s="37">
        <f t="shared" si="2"/>
        <v>0.1111111111111111</v>
      </c>
      <c r="J8" s="44">
        <v>0.95</v>
      </c>
      <c r="K8" s="44">
        <v>0.2</v>
      </c>
      <c r="L8" s="33" t="str">
        <f t="shared" si="3"/>
        <v>OK</v>
      </c>
      <c r="M8" s="33" t="str">
        <f t="shared" si="4"/>
        <v>Seuraa</v>
      </c>
      <c r="N8" s="31" t="s">
        <v>273</v>
      </c>
    </row>
    <row r="9" spans="1:14">
      <c r="A9" s="31"/>
      <c r="B9" s="31"/>
      <c r="C9" s="40"/>
      <c r="D9" s="40"/>
      <c r="E9" s="43" t="str">
        <f t="shared" si="0"/>
        <v/>
      </c>
      <c r="F9" s="37" t="str">
        <f t="shared" si="1"/>
        <v/>
      </c>
      <c r="G9" s="31" t="str">
        <f t="shared" ref="G9:G40" si="5">IF(A9="","",G9)</f>
        <v/>
      </c>
      <c r="H9" s="31" t="str">
        <f t="shared" ref="H9:H40" si="6">IF(A9="","",H9)</f>
        <v/>
      </c>
      <c r="I9" s="37" t="e">
        <f t="shared" si="2"/>
        <v>#VALUE!</v>
      </c>
      <c r="J9" s="44" t="str">
        <f t="shared" ref="J9:J40" si="7">IF(A9="","",J9)</f>
        <v/>
      </c>
      <c r="K9" s="44" t="str">
        <f t="shared" ref="K9:K40" si="8">IF(A9="","",K9)</f>
        <v/>
      </c>
      <c r="L9" s="33" t="str">
        <f t="shared" si="3"/>
        <v/>
      </c>
      <c r="M9" s="33" t="str">
        <f t="shared" si="4"/>
        <v/>
      </c>
      <c r="N9" s="31"/>
    </row>
    <row r="10" spans="1:14">
      <c r="A10" s="31"/>
      <c r="B10" s="31"/>
      <c r="C10" s="40"/>
      <c r="D10" s="40"/>
      <c r="E10" s="43" t="str">
        <f t="shared" si="0"/>
        <v/>
      </c>
      <c r="F10" s="37" t="str">
        <f t="shared" si="1"/>
        <v/>
      </c>
      <c r="G10" s="31" t="str">
        <f t="shared" si="5"/>
        <v/>
      </c>
      <c r="H10" s="31" t="str">
        <f t="shared" si="6"/>
        <v/>
      </c>
      <c r="I10" s="37" t="e">
        <f t="shared" si="2"/>
        <v>#VALUE!</v>
      </c>
      <c r="J10" s="44" t="str">
        <f t="shared" si="7"/>
        <v/>
      </c>
      <c r="K10" s="44" t="str">
        <f t="shared" si="8"/>
        <v/>
      </c>
      <c r="L10" s="33" t="str">
        <f t="shared" si="3"/>
        <v/>
      </c>
      <c r="M10" s="33" t="str">
        <f t="shared" si="4"/>
        <v/>
      </c>
      <c r="N10" s="31"/>
    </row>
    <row r="11" spans="1:14">
      <c r="A11" s="31"/>
      <c r="B11" s="31"/>
      <c r="C11" s="40"/>
      <c r="D11" s="40"/>
      <c r="E11" s="43" t="str">
        <f t="shared" si="0"/>
        <v/>
      </c>
      <c r="F11" s="37" t="str">
        <f t="shared" si="1"/>
        <v/>
      </c>
      <c r="G11" s="31" t="str">
        <f t="shared" si="5"/>
        <v/>
      </c>
      <c r="H11" s="31" t="str">
        <f t="shared" si="6"/>
        <v/>
      </c>
      <c r="I11" s="37" t="e">
        <f t="shared" si="2"/>
        <v>#VALUE!</v>
      </c>
      <c r="J11" s="44" t="str">
        <f t="shared" si="7"/>
        <v/>
      </c>
      <c r="K11" s="44" t="str">
        <f t="shared" si="8"/>
        <v/>
      </c>
      <c r="L11" s="33" t="str">
        <f t="shared" si="3"/>
        <v/>
      </c>
      <c r="M11" s="33" t="str">
        <f t="shared" si="4"/>
        <v/>
      </c>
      <c r="N11" s="31"/>
    </row>
    <row r="12" spans="1:14">
      <c r="A12" s="31"/>
      <c r="B12" s="31"/>
      <c r="C12" s="40"/>
      <c r="D12" s="40"/>
      <c r="E12" s="43" t="str">
        <f t="shared" si="0"/>
        <v/>
      </c>
      <c r="F12" s="37" t="str">
        <f t="shared" si="1"/>
        <v/>
      </c>
      <c r="G12" s="31" t="str">
        <f t="shared" si="5"/>
        <v/>
      </c>
      <c r="H12" s="31" t="str">
        <f t="shared" si="6"/>
        <v/>
      </c>
      <c r="I12" s="37" t="e">
        <f t="shared" si="2"/>
        <v>#VALUE!</v>
      </c>
      <c r="J12" s="44" t="str">
        <f t="shared" si="7"/>
        <v/>
      </c>
      <c r="K12" s="44" t="str">
        <f t="shared" si="8"/>
        <v/>
      </c>
      <c r="L12" s="33" t="str">
        <f t="shared" si="3"/>
        <v/>
      </c>
      <c r="M12" s="33" t="str">
        <f t="shared" si="4"/>
        <v/>
      </c>
      <c r="N12" s="31"/>
    </row>
    <row r="13" spans="1:14">
      <c r="A13" s="31"/>
      <c r="B13" s="31"/>
      <c r="C13" s="40"/>
      <c r="D13" s="40"/>
      <c r="E13" s="43" t="str">
        <f t="shared" si="0"/>
        <v/>
      </c>
      <c r="F13" s="37" t="str">
        <f t="shared" si="1"/>
        <v/>
      </c>
      <c r="G13" s="31" t="str">
        <f t="shared" si="5"/>
        <v/>
      </c>
      <c r="H13" s="31" t="str">
        <f t="shared" si="6"/>
        <v/>
      </c>
      <c r="I13" s="37" t="e">
        <f t="shared" si="2"/>
        <v>#VALUE!</v>
      </c>
      <c r="J13" s="44" t="str">
        <f t="shared" si="7"/>
        <v/>
      </c>
      <c r="K13" s="44" t="str">
        <f t="shared" si="8"/>
        <v/>
      </c>
      <c r="L13" s="33" t="str">
        <f t="shared" si="3"/>
        <v/>
      </c>
      <c r="M13" s="33" t="str">
        <f t="shared" si="4"/>
        <v/>
      </c>
      <c r="N13" s="31"/>
    </row>
    <row r="14" spans="1:14">
      <c r="A14" s="31"/>
      <c r="B14" s="31"/>
      <c r="C14" s="40"/>
      <c r="D14" s="40"/>
      <c r="E14" s="43" t="str">
        <f t="shared" si="0"/>
        <v/>
      </c>
      <c r="F14" s="37" t="str">
        <f t="shared" si="1"/>
        <v/>
      </c>
      <c r="G14" s="31" t="str">
        <f t="shared" si="5"/>
        <v/>
      </c>
      <c r="H14" s="31" t="str">
        <f t="shared" si="6"/>
        <v/>
      </c>
      <c r="I14" s="37" t="e">
        <f t="shared" si="2"/>
        <v>#VALUE!</v>
      </c>
      <c r="J14" s="44" t="str">
        <f t="shared" si="7"/>
        <v/>
      </c>
      <c r="K14" s="44" t="str">
        <f t="shared" si="8"/>
        <v/>
      </c>
      <c r="L14" s="33" t="str">
        <f t="shared" si="3"/>
        <v/>
      </c>
      <c r="M14" s="33" t="str">
        <f t="shared" si="4"/>
        <v/>
      </c>
      <c r="N14" s="31"/>
    </row>
    <row r="15" spans="1:14">
      <c r="A15" s="31"/>
      <c r="B15" s="31"/>
      <c r="C15" s="40"/>
      <c r="D15" s="40"/>
      <c r="E15" s="43" t="str">
        <f t="shared" si="0"/>
        <v/>
      </c>
      <c r="F15" s="37" t="str">
        <f t="shared" si="1"/>
        <v/>
      </c>
      <c r="G15" s="31" t="str">
        <f t="shared" si="5"/>
        <v/>
      </c>
      <c r="H15" s="31" t="str">
        <f t="shared" si="6"/>
        <v/>
      </c>
      <c r="I15" s="37" t="e">
        <f t="shared" si="2"/>
        <v>#VALUE!</v>
      </c>
      <c r="J15" s="44" t="str">
        <f t="shared" si="7"/>
        <v/>
      </c>
      <c r="K15" s="44" t="str">
        <f t="shared" si="8"/>
        <v/>
      </c>
      <c r="L15" s="33" t="str">
        <f t="shared" si="3"/>
        <v/>
      </c>
      <c r="M15" s="33" t="str">
        <f t="shared" si="4"/>
        <v/>
      </c>
      <c r="N15" s="31"/>
    </row>
    <row r="16" spans="1:14">
      <c r="A16" s="31"/>
      <c r="B16" s="31"/>
      <c r="C16" s="40"/>
      <c r="D16" s="40"/>
      <c r="E16" s="43" t="str">
        <f t="shared" si="0"/>
        <v/>
      </c>
      <c r="F16" s="37" t="str">
        <f t="shared" si="1"/>
        <v/>
      </c>
      <c r="G16" s="31" t="str">
        <f t="shared" si="5"/>
        <v/>
      </c>
      <c r="H16" s="31" t="str">
        <f t="shared" si="6"/>
        <v/>
      </c>
      <c r="I16" s="37" t="e">
        <f t="shared" si="2"/>
        <v>#VALUE!</v>
      </c>
      <c r="J16" s="44" t="str">
        <f t="shared" si="7"/>
        <v/>
      </c>
      <c r="K16" s="44" t="str">
        <f t="shared" si="8"/>
        <v/>
      </c>
      <c r="L16" s="33" t="str">
        <f t="shared" si="3"/>
        <v/>
      </c>
      <c r="M16" s="33" t="str">
        <f t="shared" si="4"/>
        <v/>
      </c>
      <c r="N16" s="31"/>
    </row>
    <row r="17" spans="1:14">
      <c r="A17" s="31"/>
      <c r="B17" s="31"/>
      <c r="C17" s="40"/>
      <c r="D17" s="40"/>
      <c r="E17" s="43" t="str">
        <f t="shared" si="0"/>
        <v/>
      </c>
      <c r="F17" s="37" t="str">
        <f t="shared" si="1"/>
        <v/>
      </c>
      <c r="G17" s="31" t="str">
        <f t="shared" si="5"/>
        <v/>
      </c>
      <c r="H17" s="31" t="str">
        <f t="shared" si="6"/>
        <v/>
      </c>
      <c r="I17" s="37" t="e">
        <f t="shared" si="2"/>
        <v>#VALUE!</v>
      </c>
      <c r="J17" s="44" t="str">
        <f t="shared" si="7"/>
        <v/>
      </c>
      <c r="K17" s="44" t="str">
        <f t="shared" si="8"/>
        <v/>
      </c>
      <c r="L17" s="33" t="str">
        <f t="shared" si="3"/>
        <v/>
      </c>
      <c r="M17" s="33" t="str">
        <f t="shared" si="4"/>
        <v/>
      </c>
      <c r="N17" s="31"/>
    </row>
    <row r="18" spans="1:14">
      <c r="A18" s="31"/>
      <c r="B18" s="31"/>
      <c r="C18" s="40"/>
      <c r="D18" s="40"/>
      <c r="E18" s="43" t="str">
        <f t="shared" si="0"/>
        <v/>
      </c>
      <c r="F18" s="37" t="str">
        <f t="shared" si="1"/>
        <v/>
      </c>
      <c r="G18" s="31" t="str">
        <f t="shared" si="5"/>
        <v/>
      </c>
      <c r="H18" s="31" t="str">
        <f t="shared" si="6"/>
        <v/>
      </c>
      <c r="I18" s="37" t="e">
        <f t="shared" si="2"/>
        <v>#VALUE!</v>
      </c>
      <c r="J18" s="44" t="str">
        <f t="shared" si="7"/>
        <v/>
      </c>
      <c r="K18" s="44" t="str">
        <f t="shared" si="8"/>
        <v/>
      </c>
      <c r="L18" s="33" t="str">
        <f t="shared" si="3"/>
        <v/>
      </c>
      <c r="M18" s="33" t="str">
        <f t="shared" si="4"/>
        <v/>
      </c>
      <c r="N18" s="31"/>
    </row>
    <row r="19" spans="1:14">
      <c r="A19" s="31"/>
      <c r="B19" s="31"/>
      <c r="C19" s="40"/>
      <c r="D19" s="40"/>
      <c r="E19" s="43" t="str">
        <f t="shared" si="0"/>
        <v/>
      </c>
      <c r="F19" s="37" t="str">
        <f t="shared" si="1"/>
        <v/>
      </c>
      <c r="G19" s="31" t="str">
        <f t="shared" si="5"/>
        <v/>
      </c>
      <c r="H19" s="31" t="str">
        <f t="shared" si="6"/>
        <v/>
      </c>
      <c r="I19" s="37" t="e">
        <f t="shared" si="2"/>
        <v>#VALUE!</v>
      </c>
      <c r="J19" s="44" t="str">
        <f t="shared" si="7"/>
        <v/>
      </c>
      <c r="K19" s="44" t="str">
        <f t="shared" si="8"/>
        <v/>
      </c>
      <c r="L19" s="33" t="str">
        <f t="shared" si="3"/>
        <v/>
      </c>
      <c r="M19" s="33" t="str">
        <f t="shared" si="4"/>
        <v/>
      </c>
      <c r="N19" s="31"/>
    </row>
    <row r="20" spans="1:14">
      <c r="A20" s="31"/>
      <c r="B20" s="31"/>
      <c r="C20" s="40"/>
      <c r="D20" s="40"/>
      <c r="E20" s="43" t="str">
        <f t="shared" si="0"/>
        <v/>
      </c>
      <c r="F20" s="37" t="str">
        <f t="shared" si="1"/>
        <v/>
      </c>
      <c r="G20" s="31" t="str">
        <f t="shared" si="5"/>
        <v/>
      </c>
      <c r="H20" s="31" t="str">
        <f t="shared" si="6"/>
        <v/>
      </c>
      <c r="I20" s="37" t="e">
        <f t="shared" si="2"/>
        <v>#VALUE!</v>
      </c>
      <c r="J20" s="44" t="str">
        <f t="shared" si="7"/>
        <v/>
      </c>
      <c r="K20" s="44" t="str">
        <f t="shared" si="8"/>
        <v/>
      </c>
      <c r="L20" s="33" t="str">
        <f t="shared" si="3"/>
        <v/>
      </c>
      <c r="M20" s="33" t="str">
        <f t="shared" si="4"/>
        <v/>
      </c>
      <c r="N20" s="31"/>
    </row>
    <row r="21" spans="1:14">
      <c r="A21" s="31"/>
      <c r="B21" s="31"/>
      <c r="C21" s="40"/>
      <c r="D21" s="40"/>
      <c r="E21" s="43" t="str">
        <f t="shared" si="0"/>
        <v/>
      </c>
      <c r="F21" s="37" t="str">
        <f t="shared" si="1"/>
        <v/>
      </c>
      <c r="G21" s="31" t="str">
        <f t="shared" si="5"/>
        <v/>
      </c>
      <c r="H21" s="31" t="str">
        <f t="shared" si="6"/>
        <v/>
      </c>
      <c r="I21" s="37" t="e">
        <f t="shared" si="2"/>
        <v>#VALUE!</v>
      </c>
      <c r="J21" s="44" t="str">
        <f t="shared" si="7"/>
        <v/>
      </c>
      <c r="K21" s="44" t="str">
        <f t="shared" si="8"/>
        <v/>
      </c>
      <c r="L21" s="33" t="str">
        <f t="shared" si="3"/>
        <v/>
      </c>
      <c r="M21" s="33" t="str">
        <f t="shared" si="4"/>
        <v/>
      </c>
      <c r="N21" s="31"/>
    </row>
    <row r="22" spans="1:14">
      <c r="A22" s="31"/>
      <c r="B22" s="31"/>
      <c r="C22" s="40"/>
      <c r="D22" s="40"/>
      <c r="E22" s="43" t="str">
        <f t="shared" si="0"/>
        <v/>
      </c>
      <c r="F22" s="37" t="str">
        <f t="shared" si="1"/>
        <v/>
      </c>
      <c r="G22" s="31" t="str">
        <f t="shared" si="5"/>
        <v/>
      </c>
      <c r="H22" s="31" t="str">
        <f t="shared" si="6"/>
        <v/>
      </c>
      <c r="I22" s="37" t="e">
        <f t="shared" si="2"/>
        <v>#VALUE!</v>
      </c>
      <c r="J22" s="44" t="str">
        <f t="shared" si="7"/>
        <v/>
      </c>
      <c r="K22" s="44" t="str">
        <f t="shared" si="8"/>
        <v/>
      </c>
      <c r="L22" s="33" t="str">
        <f t="shared" si="3"/>
        <v/>
      </c>
      <c r="M22" s="33" t="str">
        <f t="shared" si="4"/>
        <v/>
      </c>
      <c r="N22" s="31"/>
    </row>
    <row r="23" spans="1:14">
      <c r="A23" s="31"/>
      <c r="B23" s="31"/>
      <c r="C23" s="40"/>
      <c r="D23" s="40"/>
      <c r="E23" s="43" t="str">
        <f t="shared" si="0"/>
        <v/>
      </c>
      <c r="F23" s="37" t="str">
        <f t="shared" si="1"/>
        <v/>
      </c>
      <c r="G23" s="31" t="str">
        <f t="shared" si="5"/>
        <v/>
      </c>
      <c r="H23" s="31" t="str">
        <f t="shared" si="6"/>
        <v/>
      </c>
      <c r="I23" s="37" t="e">
        <f t="shared" si="2"/>
        <v>#VALUE!</v>
      </c>
      <c r="J23" s="44" t="str">
        <f t="shared" si="7"/>
        <v/>
      </c>
      <c r="K23" s="44" t="str">
        <f t="shared" si="8"/>
        <v/>
      </c>
      <c r="L23" s="33" t="str">
        <f t="shared" si="3"/>
        <v/>
      </c>
      <c r="M23" s="33" t="str">
        <f t="shared" si="4"/>
        <v/>
      </c>
      <c r="N23" s="31"/>
    </row>
    <row r="24" spans="1:14">
      <c r="A24" s="31"/>
      <c r="B24" s="31"/>
      <c r="C24" s="40"/>
      <c r="D24" s="40"/>
      <c r="E24" s="43" t="str">
        <f t="shared" si="0"/>
        <v/>
      </c>
      <c r="F24" s="37" t="str">
        <f t="shared" si="1"/>
        <v/>
      </c>
      <c r="G24" s="31" t="str">
        <f t="shared" si="5"/>
        <v/>
      </c>
      <c r="H24" s="31" t="str">
        <f t="shared" si="6"/>
        <v/>
      </c>
      <c r="I24" s="37" t="e">
        <f t="shared" si="2"/>
        <v>#VALUE!</v>
      </c>
      <c r="J24" s="44" t="str">
        <f t="shared" si="7"/>
        <v/>
      </c>
      <c r="K24" s="44" t="str">
        <f t="shared" si="8"/>
        <v/>
      </c>
      <c r="L24" s="33" t="str">
        <f t="shared" si="3"/>
        <v/>
      </c>
      <c r="M24" s="33" t="str">
        <f t="shared" si="4"/>
        <v/>
      </c>
      <c r="N24" s="31"/>
    </row>
    <row r="25" spans="1:14">
      <c r="A25" s="31"/>
      <c r="B25" s="31"/>
      <c r="C25" s="40"/>
      <c r="D25" s="40"/>
      <c r="E25" s="43" t="str">
        <f t="shared" si="0"/>
        <v/>
      </c>
      <c r="F25" s="37" t="str">
        <f t="shared" si="1"/>
        <v/>
      </c>
      <c r="G25" s="31" t="str">
        <f t="shared" si="5"/>
        <v/>
      </c>
      <c r="H25" s="31" t="str">
        <f t="shared" si="6"/>
        <v/>
      </c>
      <c r="I25" s="37" t="e">
        <f t="shared" si="2"/>
        <v>#VALUE!</v>
      </c>
      <c r="J25" s="44" t="str">
        <f t="shared" si="7"/>
        <v/>
      </c>
      <c r="K25" s="44" t="str">
        <f t="shared" si="8"/>
        <v/>
      </c>
      <c r="L25" s="33" t="str">
        <f t="shared" si="3"/>
        <v/>
      </c>
      <c r="M25" s="33" t="str">
        <f t="shared" si="4"/>
        <v/>
      </c>
      <c r="N25" s="31"/>
    </row>
    <row r="26" spans="1:14">
      <c r="A26" s="31"/>
      <c r="B26" s="31"/>
      <c r="C26" s="40"/>
      <c r="D26" s="40"/>
      <c r="E26" s="43" t="str">
        <f t="shared" si="0"/>
        <v/>
      </c>
      <c r="F26" s="37" t="str">
        <f t="shared" si="1"/>
        <v/>
      </c>
      <c r="G26" s="31" t="str">
        <f t="shared" si="5"/>
        <v/>
      </c>
      <c r="H26" s="31" t="str">
        <f t="shared" si="6"/>
        <v/>
      </c>
      <c r="I26" s="37" t="e">
        <f t="shared" si="2"/>
        <v>#VALUE!</v>
      </c>
      <c r="J26" s="44" t="str">
        <f t="shared" si="7"/>
        <v/>
      </c>
      <c r="K26" s="44" t="str">
        <f t="shared" si="8"/>
        <v/>
      </c>
      <c r="L26" s="33" t="str">
        <f t="shared" si="3"/>
        <v/>
      </c>
      <c r="M26" s="33" t="str">
        <f t="shared" si="4"/>
        <v/>
      </c>
      <c r="N26" s="31"/>
    </row>
    <row r="27" spans="1:14">
      <c r="A27" s="31"/>
      <c r="B27" s="31"/>
      <c r="C27" s="40"/>
      <c r="D27" s="40"/>
      <c r="E27" s="43" t="str">
        <f t="shared" si="0"/>
        <v/>
      </c>
      <c r="F27" s="37" t="str">
        <f t="shared" si="1"/>
        <v/>
      </c>
      <c r="G27" s="31" t="str">
        <f t="shared" si="5"/>
        <v/>
      </c>
      <c r="H27" s="31" t="str">
        <f t="shared" si="6"/>
        <v/>
      </c>
      <c r="I27" s="37" t="e">
        <f t="shared" si="2"/>
        <v>#VALUE!</v>
      </c>
      <c r="J27" s="44" t="str">
        <f t="shared" si="7"/>
        <v/>
      </c>
      <c r="K27" s="44" t="str">
        <f t="shared" si="8"/>
        <v/>
      </c>
      <c r="L27" s="33" t="str">
        <f t="shared" si="3"/>
        <v/>
      </c>
      <c r="M27" s="33" t="str">
        <f t="shared" si="4"/>
        <v/>
      </c>
      <c r="N27" s="31"/>
    </row>
    <row r="28" spans="1:14">
      <c r="A28" s="31"/>
      <c r="B28" s="31"/>
      <c r="C28" s="40"/>
      <c r="D28" s="40"/>
      <c r="E28" s="43" t="str">
        <f t="shared" si="0"/>
        <v/>
      </c>
      <c r="F28" s="37" t="str">
        <f t="shared" si="1"/>
        <v/>
      </c>
      <c r="G28" s="31" t="str">
        <f t="shared" si="5"/>
        <v/>
      </c>
      <c r="H28" s="31" t="str">
        <f t="shared" si="6"/>
        <v/>
      </c>
      <c r="I28" s="37" t="e">
        <f t="shared" si="2"/>
        <v>#VALUE!</v>
      </c>
      <c r="J28" s="44" t="str">
        <f t="shared" si="7"/>
        <v/>
      </c>
      <c r="K28" s="44" t="str">
        <f t="shared" si="8"/>
        <v/>
      </c>
      <c r="L28" s="33" t="str">
        <f t="shared" si="3"/>
        <v/>
      </c>
      <c r="M28" s="33" t="str">
        <f t="shared" si="4"/>
        <v/>
      </c>
      <c r="N28" s="31"/>
    </row>
    <row r="29" spans="1:14">
      <c r="A29" s="31"/>
      <c r="B29" s="31"/>
      <c r="C29" s="40"/>
      <c r="D29" s="40"/>
      <c r="E29" s="43" t="str">
        <f t="shared" si="0"/>
        <v/>
      </c>
      <c r="F29" s="37" t="str">
        <f t="shared" si="1"/>
        <v/>
      </c>
      <c r="G29" s="31" t="str">
        <f t="shared" si="5"/>
        <v/>
      </c>
      <c r="H29" s="31" t="str">
        <f t="shared" si="6"/>
        <v/>
      </c>
      <c r="I29" s="37" t="e">
        <f t="shared" si="2"/>
        <v>#VALUE!</v>
      </c>
      <c r="J29" s="44" t="str">
        <f t="shared" si="7"/>
        <v/>
      </c>
      <c r="K29" s="44" t="str">
        <f t="shared" si="8"/>
        <v/>
      </c>
      <c r="L29" s="33" t="str">
        <f t="shared" si="3"/>
        <v/>
      </c>
      <c r="M29" s="33" t="str">
        <f t="shared" si="4"/>
        <v/>
      </c>
      <c r="N29" s="31"/>
    </row>
    <row r="30" spans="1:14">
      <c r="A30" s="31"/>
      <c r="B30" s="31"/>
      <c r="C30" s="40"/>
      <c r="D30" s="40"/>
      <c r="E30" s="43" t="str">
        <f t="shared" si="0"/>
        <v/>
      </c>
      <c r="F30" s="37" t="str">
        <f t="shared" si="1"/>
        <v/>
      </c>
      <c r="G30" s="31" t="str">
        <f t="shared" si="5"/>
        <v/>
      </c>
      <c r="H30" s="31" t="str">
        <f t="shared" si="6"/>
        <v/>
      </c>
      <c r="I30" s="37" t="e">
        <f t="shared" si="2"/>
        <v>#VALUE!</v>
      </c>
      <c r="J30" s="44" t="str">
        <f t="shared" si="7"/>
        <v/>
      </c>
      <c r="K30" s="44" t="str">
        <f t="shared" si="8"/>
        <v/>
      </c>
      <c r="L30" s="33" t="str">
        <f t="shared" si="3"/>
        <v/>
      </c>
      <c r="M30" s="33" t="str">
        <f t="shared" si="4"/>
        <v/>
      </c>
      <c r="N30" s="31"/>
    </row>
    <row r="31" spans="1:14">
      <c r="A31" s="31"/>
      <c r="B31" s="31"/>
      <c r="C31" s="40"/>
      <c r="D31" s="40"/>
      <c r="E31" s="43" t="str">
        <f t="shared" si="0"/>
        <v/>
      </c>
      <c r="F31" s="37" t="str">
        <f t="shared" si="1"/>
        <v/>
      </c>
      <c r="G31" s="31" t="str">
        <f t="shared" si="5"/>
        <v/>
      </c>
      <c r="H31" s="31" t="str">
        <f t="shared" si="6"/>
        <v/>
      </c>
      <c r="I31" s="37" t="e">
        <f t="shared" si="2"/>
        <v>#VALUE!</v>
      </c>
      <c r="J31" s="44" t="str">
        <f t="shared" si="7"/>
        <v/>
      </c>
      <c r="K31" s="44" t="str">
        <f t="shared" si="8"/>
        <v/>
      </c>
      <c r="L31" s="33" t="str">
        <f t="shared" si="3"/>
        <v/>
      </c>
      <c r="M31" s="33" t="str">
        <f t="shared" si="4"/>
        <v/>
      </c>
      <c r="N31" s="31"/>
    </row>
    <row r="32" spans="1:14">
      <c r="A32" s="31"/>
      <c r="B32" s="31"/>
      <c r="C32" s="40"/>
      <c r="D32" s="40"/>
      <c r="E32" s="43" t="str">
        <f t="shared" si="0"/>
        <v/>
      </c>
      <c r="F32" s="37" t="str">
        <f t="shared" si="1"/>
        <v/>
      </c>
      <c r="G32" s="31" t="str">
        <f t="shared" si="5"/>
        <v/>
      </c>
      <c r="H32" s="31" t="str">
        <f t="shared" si="6"/>
        <v/>
      </c>
      <c r="I32" s="37" t="e">
        <f t="shared" si="2"/>
        <v>#VALUE!</v>
      </c>
      <c r="J32" s="44" t="str">
        <f t="shared" si="7"/>
        <v/>
      </c>
      <c r="K32" s="44" t="str">
        <f t="shared" si="8"/>
        <v/>
      </c>
      <c r="L32" s="33" t="str">
        <f t="shared" si="3"/>
        <v/>
      </c>
      <c r="M32" s="33" t="str">
        <f t="shared" si="4"/>
        <v/>
      </c>
      <c r="N32" s="31"/>
    </row>
    <row r="33" spans="1:14">
      <c r="A33" s="31"/>
      <c r="B33" s="31"/>
      <c r="C33" s="40"/>
      <c r="D33" s="40"/>
      <c r="E33" s="43" t="str">
        <f t="shared" si="0"/>
        <v/>
      </c>
      <c r="F33" s="37" t="str">
        <f t="shared" si="1"/>
        <v/>
      </c>
      <c r="G33" s="31" t="str">
        <f t="shared" si="5"/>
        <v/>
      </c>
      <c r="H33" s="31" t="str">
        <f t="shared" si="6"/>
        <v/>
      </c>
      <c r="I33" s="37" t="e">
        <f t="shared" si="2"/>
        <v>#VALUE!</v>
      </c>
      <c r="J33" s="44" t="str">
        <f t="shared" si="7"/>
        <v/>
      </c>
      <c r="K33" s="44" t="str">
        <f t="shared" si="8"/>
        <v/>
      </c>
      <c r="L33" s="33" t="str">
        <f t="shared" si="3"/>
        <v/>
      </c>
      <c r="M33" s="33" t="str">
        <f t="shared" si="4"/>
        <v/>
      </c>
      <c r="N33" s="31"/>
    </row>
    <row r="34" spans="1:14">
      <c r="A34" s="31"/>
      <c r="B34" s="31"/>
      <c r="C34" s="40"/>
      <c r="D34" s="40"/>
      <c r="E34" s="43" t="str">
        <f t="shared" si="0"/>
        <v/>
      </c>
      <c r="F34" s="37" t="str">
        <f t="shared" si="1"/>
        <v/>
      </c>
      <c r="G34" s="31" t="str">
        <f t="shared" si="5"/>
        <v/>
      </c>
      <c r="H34" s="31" t="str">
        <f t="shared" si="6"/>
        <v/>
      </c>
      <c r="I34" s="37" t="e">
        <f t="shared" si="2"/>
        <v>#VALUE!</v>
      </c>
      <c r="J34" s="44" t="str">
        <f t="shared" si="7"/>
        <v/>
      </c>
      <c r="K34" s="44" t="str">
        <f t="shared" si="8"/>
        <v/>
      </c>
      <c r="L34" s="33" t="str">
        <f t="shared" si="3"/>
        <v/>
      </c>
      <c r="M34" s="33" t="str">
        <f t="shared" si="4"/>
        <v/>
      </c>
      <c r="N34" s="31"/>
    </row>
    <row r="35" spans="1:14">
      <c r="A35" s="31"/>
      <c r="B35" s="31"/>
      <c r="C35" s="40"/>
      <c r="D35" s="40"/>
      <c r="E35" s="43" t="str">
        <f t="shared" si="0"/>
        <v/>
      </c>
      <c r="F35" s="37" t="str">
        <f t="shared" si="1"/>
        <v/>
      </c>
      <c r="G35" s="31" t="str">
        <f t="shared" si="5"/>
        <v/>
      </c>
      <c r="H35" s="31" t="str">
        <f t="shared" si="6"/>
        <v/>
      </c>
      <c r="I35" s="37" t="e">
        <f t="shared" si="2"/>
        <v>#VALUE!</v>
      </c>
      <c r="J35" s="44" t="str">
        <f t="shared" si="7"/>
        <v/>
      </c>
      <c r="K35" s="44" t="str">
        <f t="shared" si="8"/>
        <v/>
      </c>
      <c r="L35" s="33" t="str">
        <f t="shared" si="3"/>
        <v/>
      </c>
      <c r="M35" s="33" t="str">
        <f t="shared" si="4"/>
        <v/>
      </c>
      <c r="N35" s="31"/>
    </row>
    <row r="36" spans="1:14">
      <c r="A36" s="31"/>
      <c r="B36" s="31"/>
      <c r="C36" s="40"/>
      <c r="D36" s="40"/>
      <c r="E36" s="43" t="str">
        <f t="shared" si="0"/>
        <v/>
      </c>
      <c r="F36" s="37" t="str">
        <f t="shared" si="1"/>
        <v/>
      </c>
      <c r="G36" s="31" t="str">
        <f t="shared" si="5"/>
        <v/>
      </c>
      <c r="H36" s="31" t="str">
        <f t="shared" si="6"/>
        <v/>
      </c>
      <c r="I36" s="37" t="e">
        <f t="shared" si="2"/>
        <v>#VALUE!</v>
      </c>
      <c r="J36" s="44" t="str">
        <f t="shared" si="7"/>
        <v/>
      </c>
      <c r="K36" s="44" t="str">
        <f t="shared" si="8"/>
        <v/>
      </c>
      <c r="L36" s="33" t="str">
        <f t="shared" si="3"/>
        <v/>
      </c>
      <c r="M36" s="33" t="str">
        <f t="shared" si="4"/>
        <v/>
      </c>
      <c r="N36" s="31"/>
    </row>
    <row r="37" spans="1:14">
      <c r="A37" s="31"/>
      <c r="B37" s="31"/>
      <c r="C37" s="40"/>
      <c r="D37" s="40"/>
      <c r="E37" s="43" t="str">
        <f t="shared" si="0"/>
        <v/>
      </c>
      <c r="F37" s="37" t="str">
        <f t="shared" si="1"/>
        <v/>
      </c>
      <c r="G37" s="31" t="str">
        <f t="shared" si="5"/>
        <v/>
      </c>
      <c r="H37" s="31" t="str">
        <f t="shared" si="6"/>
        <v/>
      </c>
      <c r="I37" s="37" t="e">
        <f t="shared" si="2"/>
        <v>#VALUE!</v>
      </c>
      <c r="J37" s="44" t="str">
        <f t="shared" si="7"/>
        <v/>
      </c>
      <c r="K37" s="44" t="str">
        <f t="shared" si="8"/>
        <v/>
      </c>
      <c r="L37" s="33" t="str">
        <f t="shared" si="3"/>
        <v/>
      </c>
      <c r="M37" s="33" t="str">
        <f t="shared" si="4"/>
        <v/>
      </c>
      <c r="N37" s="31"/>
    </row>
    <row r="38" spans="1:14">
      <c r="A38" s="31"/>
      <c r="B38" s="31"/>
      <c r="C38" s="40"/>
      <c r="D38" s="40"/>
      <c r="E38" s="43" t="str">
        <f t="shared" si="0"/>
        <v/>
      </c>
      <c r="F38" s="37" t="str">
        <f t="shared" si="1"/>
        <v/>
      </c>
      <c r="G38" s="31" t="str">
        <f t="shared" si="5"/>
        <v/>
      </c>
      <c r="H38" s="31" t="str">
        <f t="shared" si="6"/>
        <v/>
      </c>
      <c r="I38" s="37" t="e">
        <f t="shared" si="2"/>
        <v>#VALUE!</v>
      </c>
      <c r="J38" s="44" t="str">
        <f t="shared" si="7"/>
        <v/>
      </c>
      <c r="K38" s="44" t="str">
        <f t="shared" si="8"/>
        <v/>
      </c>
      <c r="L38" s="33" t="str">
        <f t="shared" si="3"/>
        <v/>
      </c>
      <c r="M38" s="33" t="str">
        <f t="shared" si="4"/>
        <v/>
      </c>
      <c r="N38" s="31"/>
    </row>
    <row r="39" spans="1:14">
      <c r="A39" s="31"/>
      <c r="B39" s="31"/>
      <c r="C39" s="40"/>
      <c r="D39" s="40"/>
      <c r="E39" s="43" t="str">
        <f t="shared" si="0"/>
        <v/>
      </c>
      <c r="F39" s="37" t="str">
        <f t="shared" si="1"/>
        <v/>
      </c>
      <c r="G39" s="31" t="str">
        <f t="shared" si="5"/>
        <v/>
      </c>
      <c r="H39" s="31" t="str">
        <f t="shared" si="6"/>
        <v/>
      </c>
      <c r="I39" s="37" t="e">
        <f t="shared" si="2"/>
        <v>#VALUE!</v>
      </c>
      <c r="J39" s="44" t="str">
        <f t="shared" si="7"/>
        <v/>
      </c>
      <c r="K39" s="44" t="str">
        <f t="shared" si="8"/>
        <v/>
      </c>
      <c r="L39" s="33" t="str">
        <f t="shared" si="3"/>
        <v/>
      </c>
      <c r="M39" s="33" t="str">
        <f t="shared" si="4"/>
        <v/>
      </c>
      <c r="N39" s="31"/>
    </row>
    <row r="40" spans="1:14">
      <c r="A40" s="31"/>
      <c r="B40" s="31"/>
      <c r="C40" s="40"/>
      <c r="D40" s="40"/>
      <c r="E40" s="43" t="str">
        <f t="shared" si="0"/>
        <v/>
      </c>
      <c r="F40" s="37" t="str">
        <f t="shared" si="1"/>
        <v/>
      </c>
      <c r="G40" s="31" t="str">
        <f t="shared" si="5"/>
        <v/>
      </c>
      <c r="H40" s="31" t="str">
        <f t="shared" si="6"/>
        <v/>
      </c>
      <c r="I40" s="37" t="e">
        <f t="shared" si="2"/>
        <v>#VALUE!</v>
      </c>
      <c r="J40" s="44" t="str">
        <f t="shared" si="7"/>
        <v/>
      </c>
      <c r="K40" s="44" t="str">
        <f t="shared" si="8"/>
        <v/>
      </c>
      <c r="L40" s="33" t="str">
        <f t="shared" si="3"/>
        <v/>
      </c>
      <c r="M40" s="33" t="str">
        <f t="shared" si="4"/>
        <v/>
      </c>
      <c r="N40" s="31"/>
    </row>
    <row r="41" spans="1:14">
      <c r="A41" s="31"/>
      <c r="B41" s="31"/>
      <c r="C41" s="40"/>
      <c r="D41" s="40"/>
      <c r="E41" s="43"/>
      <c r="F41" s="37"/>
      <c r="G41" s="31"/>
      <c r="H41" s="31"/>
      <c r="I41" s="37"/>
      <c r="J41" s="44"/>
      <c r="K41" s="44"/>
      <c r="L41" s="33"/>
      <c r="M41" s="33"/>
      <c r="N41" s="3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N101"/>
  <sheetViews>
    <sheetView workbookViewId="0"/>
  </sheetViews>
  <sheetFormatPr defaultRowHeight="13.8"/>
  <cols>
    <col min="1" max="1" width="14" customWidth="1"/>
    <col min="2" max="2" width="18" customWidth="1"/>
    <col min="3" max="3" width="28" customWidth="1"/>
    <col min="4" max="4" width="22" customWidth="1"/>
    <col min="5" max="5" width="18" customWidth="1"/>
    <col min="6" max="9" width="16" customWidth="1"/>
    <col min="10" max="13" width="18" customWidth="1"/>
    <col min="14" max="14" width="24" customWidth="1"/>
  </cols>
  <sheetData>
    <row r="1" spans="1:14">
      <c r="A1" s="67" t="s">
        <v>521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522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30" t="s">
        <v>257</v>
      </c>
      <c r="B4" s="30" t="s">
        <v>258</v>
      </c>
      <c r="C4" s="30" t="s">
        <v>69</v>
      </c>
      <c r="D4" s="30" t="s">
        <v>510</v>
      </c>
      <c r="E4" s="30" t="s">
        <v>260</v>
      </c>
      <c r="F4" s="30" t="s">
        <v>468</v>
      </c>
      <c r="G4" s="30" t="s">
        <v>469</v>
      </c>
      <c r="H4" s="30" t="s">
        <v>327</v>
      </c>
      <c r="I4" s="30" t="s">
        <v>472</v>
      </c>
      <c r="J4" s="30" t="s">
        <v>331</v>
      </c>
      <c r="K4" s="30" t="s">
        <v>13</v>
      </c>
      <c r="L4" s="30" t="s">
        <v>339</v>
      </c>
      <c r="M4" s="30" t="s">
        <v>523</v>
      </c>
      <c r="N4" s="30" t="s">
        <v>5</v>
      </c>
    </row>
    <row r="5" spans="1:14">
      <c r="A5" s="45">
        <v>46143</v>
      </c>
      <c r="B5" s="31" t="s">
        <v>265</v>
      </c>
      <c r="C5" s="31" t="s">
        <v>524</v>
      </c>
      <c r="D5" s="31" t="s">
        <v>484</v>
      </c>
      <c r="E5" s="31" t="s">
        <v>318</v>
      </c>
      <c r="F5" s="31">
        <v>180</v>
      </c>
      <c r="G5" s="31">
        <v>20</v>
      </c>
      <c r="H5" s="40">
        <v>520</v>
      </c>
      <c r="I5" s="40">
        <v>405</v>
      </c>
      <c r="J5" s="43">
        <f t="shared" ref="J5:J36" si="0">IF(A5="","",H5-I5)</f>
        <v>115</v>
      </c>
      <c r="K5" s="37">
        <f t="shared" ref="K5:K36" si="1">IF(H5=0,"",J5/H5)</f>
        <v>0.22115384615384615</v>
      </c>
      <c r="L5" s="31" t="s">
        <v>53</v>
      </c>
      <c r="M5" s="31"/>
      <c r="N5" s="31"/>
    </row>
    <row r="6" spans="1:14">
      <c r="A6" s="45">
        <v>46144</v>
      </c>
      <c r="B6" s="31" t="s">
        <v>269</v>
      </c>
      <c r="C6" s="31" t="s">
        <v>443</v>
      </c>
      <c r="D6" s="31" t="s">
        <v>500</v>
      </c>
      <c r="E6" s="31" t="s">
        <v>320</v>
      </c>
      <c r="F6" s="31">
        <v>600</v>
      </c>
      <c r="G6" s="31">
        <v>80</v>
      </c>
      <c r="H6" s="40">
        <v>1380</v>
      </c>
      <c r="I6" s="40">
        <v>1120</v>
      </c>
      <c r="J6" s="43">
        <f t="shared" si="0"/>
        <v>260</v>
      </c>
      <c r="K6" s="37">
        <f t="shared" si="1"/>
        <v>0.18840579710144928</v>
      </c>
      <c r="L6" s="31" t="s">
        <v>53</v>
      </c>
      <c r="M6" s="31"/>
      <c r="N6" s="31"/>
    </row>
    <row r="7" spans="1:14">
      <c r="A7" s="45">
        <v>46145</v>
      </c>
      <c r="B7" s="31" t="s">
        <v>520</v>
      </c>
      <c r="C7" s="31" t="s">
        <v>525</v>
      </c>
      <c r="D7" s="31" t="s">
        <v>526</v>
      </c>
      <c r="E7" s="31" t="s">
        <v>318</v>
      </c>
      <c r="F7" s="31">
        <v>95</v>
      </c>
      <c r="G7" s="31">
        <v>15</v>
      </c>
      <c r="H7" s="40">
        <v>330</v>
      </c>
      <c r="I7" s="40">
        <v>250</v>
      </c>
      <c r="J7" s="43">
        <f t="shared" si="0"/>
        <v>80</v>
      </c>
      <c r="K7" s="37">
        <f t="shared" si="1"/>
        <v>0.24242424242424243</v>
      </c>
      <c r="L7" s="31" t="s">
        <v>51</v>
      </c>
      <c r="M7" s="31" t="s">
        <v>527</v>
      </c>
      <c r="N7" s="31"/>
    </row>
    <row r="8" spans="1:14">
      <c r="A8" s="45">
        <v>46146</v>
      </c>
      <c r="B8" s="31" t="s">
        <v>272</v>
      </c>
      <c r="C8" s="31" t="s">
        <v>528</v>
      </c>
      <c r="D8" s="31" t="s">
        <v>273</v>
      </c>
      <c r="E8" s="31" t="s">
        <v>322</v>
      </c>
      <c r="F8" s="31">
        <v>110</v>
      </c>
      <c r="G8" s="31">
        <v>25</v>
      </c>
      <c r="H8" s="40">
        <v>430</v>
      </c>
      <c r="I8" s="40">
        <v>330</v>
      </c>
      <c r="J8" s="43">
        <f t="shared" si="0"/>
        <v>100</v>
      </c>
      <c r="K8" s="37">
        <f t="shared" si="1"/>
        <v>0.23255813953488372</v>
      </c>
      <c r="L8" s="31" t="s">
        <v>53</v>
      </c>
      <c r="M8" s="31"/>
      <c r="N8" s="31"/>
    </row>
    <row r="9" spans="1:14">
      <c r="A9" s="45"/>
      <c r="B9" s="31"/>
      <c r="C9" s="31"/>
      <c r="D9" s="31"/>
      <c r="E9" s="31"/>
      <c r="F9" s="31"/>
      <c r="G9" s="31"/>
      <c r="H9" s="40"/>
      <c r="I9" s="40"/>
      <c r="J9" s="43" t="str">
        <f t="shared" si="0"/>
        <v/>
      </c>
      <c r="K9" s="37" t="str">
        <f t="shared" si="1"/>
        <v/>
      </c>
      <c r="L9" s="31"/>
      <c r="M9" s="31"/>
      <c r="N9" s="31"/>
    </row>
    <row r="10" spans="1:14">
      <c r="A10" s="45"/>
      <c r="B10" s="31"/>
      <c r="C10" s="31"/>
      <c r="D10" s="31"/>
      <c r="E10" s="31"/>
      <c r="F10" s="31"/>
      <c r="G10" s="31"/>
      <c r="H10" s="40"/>
      <c r="I10" s="40"/>
      <c r="J10" s="43" t="str">
        <f t="shared" si="0"/>
        <v/>
      </c>
      <c r="K10" s="37" t="str">
        <f t="shared" si="1"/>
        <v/>
      </c>
      <c r="L10" s="31"/>
      <c r="M10" s="31"/>
      <c r="N10" s="31"/>
    </row>
    <row r="11" spans="1:14">
      <c r="A11" s="45"/>
      <c r="B11" s="31"/>
      <c r="C11" s="31"/>
      <c r="D11" s="31"/>
      <c r="E11" s="31"/>
      <c r="F11" s="31"/>
      <c r="G11" s="31"/>
      <c r="H11" s="40"/>
      <c r="I11" s="40"/>
      <c r="J11" s="43" t="str">
        <f t="shared" si="0"/>
        <v/>
      </c>
      <c r="K11" s="37" t="str">
        <f t="shared" si="1"/>
        <v/>
      </c>
      <c r="L11" s="31"/>
      <c r="M11" s="31"/>
      <c r="N11" s="31"/>
    </row>
    <row r="12" spans="1:14">
      <c r="A12" s="45"/>
      <c r="B12" s="31"/>
      <c r="C12" s="31"/>
      <c r="D12" s="31"/>
      <c r="E12" s="31"/>
      <c r="F12" s="31"/>
      <c r="G12" s="31"/>
      <c r="H12" s="40"/>
      <c r="I12" s="40"/>
      <c r="J12" s="43" t="str">
        <f t="shared" si="0"/>
        <v/>
      </c>
      <c r="K12" s="37" t="str">
        <f t="shared" si="1"/>
        <v/>
      </c>
      <c r="L12" s="31"/>
      <c r="M12" s="31"/>
      <c r="N12" s="31"/>
    </row>
    <row r="13" spans="1:14">
      <c r="A13" s="45"/>
      <c r="B13" s="31"/>
      <c r="C13" s="31"/>
      <c r="D13" s="31"/>
      <c r="E13" s="31"/>
      <c r="F13" s="31"/>
      <c r="G13" s="31"/>
      <c r="H13" s="40"/>
      <c r="I13" s="40"/>
      <c r="J13" s="43" t="str">
        <f t="shared" si="0"/>
        <v/>
      </c>
      <c r="K13" s="37" t="str">
        <f t="shared" si="1"/>
        <v/>
      </c>
      <c r="L13" s="31"/>
      <c r="M13" s="31"/>
      <c r="N13" s="31"/>
    </row>
    <row r="14" spans="1:14">
      <c r="A14" s="45"/>
      <c r="B14" s="31"/>
      <c r="C14" s="31"/>
      <c r="D14" s="31"/>
      <c r="E14" s="31"/>
      <c r="F14" s="31"/>
      <c r="G14" s="31"/>
      <c r="H14" s="40"/>
      <c r="I14" s="40"/>
      <c r="J14" s="43" t="str">
        <f t="shared" si="0"/>
        <v/>
      </c>
      <c r="K14" s="37" t="str">
        <f t="shared" si="1"/>
        <v/>
      </c>
      <c r="L14" s="31"/>
      <c r="M14" s="31"/>
      <c r="N14" s="31"/>
    </row>
    <row r="15" spans="1:14">
      <c r="A15" s="45"/>
      <c r="B15" s="31"/>
      <c r="C15" s="31"/>
      <c r="D15" s="31"/>
      <c r="E15" s="31"/>
      <c r="F15" s="31"/>
      <c r="G15" s="31"/>
      <c r="H15" s="40"/>
      <c r="I15" s="40"/>
      <c r="J15" s="43" t="str">
        <f t="shared" si="0"/>
        <v/>
      </c>
      <c r="K15" s="37" t="str">
        <f t="shared" si="1"/>
        <v/>
      </c>
      <c r="L15" s="31"/>
      <c r="M15" s="31"/>
      <c r="N15" s="31"/>
    </row>
    <row r="16" spans="1:14">
      <c r="A16" s="45"/>
      <c r="B16" s="31"/>
      <c r="C16" s="31"/>
      <c r="D16" s="31"/>
      <c r="E16" s="31"/>
      <c r="F16" s="31"/>
      <c r="G16" s="31"/>
      <c r="H16" s="40"/>
      <c r="I16" s="40"/>
      <c r="J16" s="43" t="str">
        <f t="shared" si="0"/>
        <v/>
      </c>
      <c r="K16" s="37" t="str">
        <f t="shared" si="1"/>
        <v/>
      </c>
      <c r="L16" s="31"/>
      <c r="M16" s="31"/>
      <c r="N16" s="31"/>
    </row>
    <row r="17" spans="1:14">
      <c r="A17" s="45"/>
      <c r="B17" s="31"/>
      <c r="C17" s="31"/>
      <c r="D17" s="31"/>
      <c r="E17" s="31"/>
      <c r="F17" s="31"/>
      <c r="G17" s="31"/>
      <c r="H17" s="40"/>
      <c r="I17" s="40"/>
      <c r="J17" s="43" t="str">
        <f t="shared" si="0"/>
        <v/>
      </c>
      <c r="K17" s="37" t="str">
        <f t="shared" si="1"/>
        <v/>
      </c>
      <c r="L17" s="31"/>
      <c r="M17" s="31"/>
      <c r="N17" s="31"/>
    </row>
    <row r="18" spans="1:14">
      <c r="A18" s="45"/>
      <c r="B18" s="31"/>
      <c r="C18" s="31"/>
      <c r="D18" s="31"/>
      <c r="E18" s="31"/>
      <c r="F18" s="31"/>
      <c r="G18" s="31"/>
      <c r="H18" s="40"/>
      <c r="I18" s="40"/>
      <c r="J18" s="43" t="str">
        <f t="shared" si="0"/>
        <v/>
      </c>
      <c r="K18" s="37" t="str">
        <f t="shared" si="1"/>
        <v/>
      </c>
      <c r="L18" s="31"/>
      <c r="M18" s="31"/>
      <c r="N18" s="31"/>
    </row>
    <row r="19" spans="1:14">
      <c r="A19" s="45"/>
      <c r="B19" s="31"/>
      <c r="C19" s="31"/>
      <c r="D19" s="31"/>
      <c r="E19" s="31"/>
      <c r="F19" s="31"/>
      <c r="G19" s="31"/>
      <c r="H19" s="40"/>
      <c r="I19" s="40"/>
      <c r="J19" s="43" t="str">
        <f t="shared" si="0"/>
        <v/>
      </c>
      <c r="K19" s="37" t="str">
        <f t="shared" si="1"/>
        <v/>
      </c>
      <c r="L19" s="31"/>
      <c r="M19" s="31"/>
      <c r="N19" s="31"/>
    </row>
    <row r="20" spans="1:14">
      <c r="A20" s="45"/>
      <c r="B20" s="31"/>
      <c r="C20" s="31"/>
      <c r="D20" s="31"/>
      <c r="E20" s="31"/>
      <c r="F20" s="31"/>
      <c r="G20" s="31"/>
      <c r="H20" s="40"/>
      <c r="I20" s="40"/>
      <c r="J20" s="43" t="str">
        <f t="shared" si="0"/>
        <v/>
      </c>
      <c r="K20" s="37" t="str">
        <f t="shared" si="1"/>
        <v/>
      </c>
      <c r="L20" s="31"/>
      <c r="M20" s="31"/>
      <c r="N20" s="31"/>
    </row>
    <row r="21" spans="1:14">
      <c r="A21" s="45"/>
      <c r="B21" s="31"/>
      <c r="C21" s="31"/>
      <c r="D21" s="31"/>
      <c r="E21" s="31"/>
      <c r="F21" s="31"/>
      <c r="G21" s="31"/>
      <c r="H21" s="40"/>
      <c r="I21" s="40"/>
      <c r="J21" s="43" t="str">
        <f t="shared" si="0"/>
        <v/>
      </c>
      <c r="K21" s="37" t="str">
        <f t="shared" si="1"/>
        <v/>
      </c>
      <c r="L21" s="31"/>
      <c r="M21" s="31"/>
      <c r="N21" s="31"/>
    </row>
    <row r="22" spans="1:14">
      <c r="A22" s="45"/>
      <c r="B22" s="31"/>
      <c r="C22" s="31"/>
      <c r="D22" s="31"/>
      <c r="E22" s="31"/>
      <c r="F22" s="31"/>
      <c r="G22" s="31"/>
      <c r="H22" s="40"/>
      <c r="I22" s="40"/>
      <c r="J22" s="43" t="str">
        <f t="shared" si="0"/>
        <v/>
      </c>
      <c r="K22" s="37" t="str">
        <f t="shared" si="1"/>
        <v/>
      </c>
      <c r="L22" s="31"/>
      <c r="M22" s="31"/>
      <c r="N22" s="31"/>
    </row>
    <row r="23" spans="1:14">
      <c r="A23" s="45"/>
      <c r="B23" s="31"/>
      <c r="C23" s="31"/>
      <c r="D23" s="31"/>
      <c r="E23" s="31"/>
      <c r="F23" s="31"/>
      <c r="G23" s="31"/>
      <c r="H23" s="40"/>
      <c r="I23" s="40"/>
      <c r="J23" s="43" t="str">
        <f t="shared" si="0"/>
        <v/>
      </c>
      <c r="K23" s="37" t="str">
        <f t="shared" si="1"/>
        <v/>
      </c>
      <c r="L23" s="31"/>
      <c r="M23" s="31"/>
      <c r="N23" s="31"/>
    </row>
    <row r="24" spans="1:14">
      <c r="A24" s="45"/>
      <c r="B24" s="31"/>
      <c r="C24" s="31"/>
      <c r="D24" s="31"/>
      <c r="E24" s="31"/>
      <c r="F24" s="31"/>
      <c r="G24" s="31"/>
      <c r="H24" s="40"/>
      <c r="I24" s="40"/>
      <c r="J24" s="43" t="str">
        <f t="shared" si="0"/>
        <v/>
      </c>
      <c r="K24" s="37" t="str">
        <f t="shared" si="1"/>
        <v/>
      </c>
      <c r="L24" s="31"/>
      <c r="M24" s="31"/>
      <c r="N24" s="31"/>
    </row>
    <row r="25" spans="1:14">
      <c r="A25" s="45"/>
      <c r="B25" s="31"/>
      <c r="C25" s="31"/>
      <c r="D25" s="31"/>
      <c r="E25" s="31"/>
      <c r="F25" s="31"/>
      <c r="G25" s="31"/>
      <c r="H25" s="40"/>
      <c r="I25" s="40"/>
      <c r="J25" s="43" t="str">
        <f t="shared" si="0"/>
        <v/>
      </c>
      <c r="K25" s="37" t="str">
        <f t="shared" si="1"/>
        <v/>
      </c>
      <c r="L25" s="31"/>
      <c r="M25" s="31"/>
      <c r="N25" s="31"/>
    </row>
    <row r="26" spans="1:14">
      <c r="A26" s="45"/>
      <c r="B26" s="31"/>
      <c r="C26" s="31"/>
      <c r="D26" s="31"/>
      <c r="E26" s="31"/>
      <c r="F26" s="31"/>
      <c r="G26" s="31"/>
      <c r="H26" s="40"/>
      <c r="I26" s="40"/>
      <c r="J26" s="43" t="str">
        <f t="shared" si="0"/>
        <v/>
      </c>
      <c r="K26" s="37" t="str">
        <f t="shared" si="1"/>
        <v/>
      </c>
      <c r="L26" s="31"/>
      <c r="M26" s="31"/>
      <c r="N26" s="31"/>
    </row>
    <row r="27" spans="1:14">
      <c r="A27" s="45"/>
      <c r="B27" s="31"/>
      <c r="C27" s="31"/>
      <c r="D27" s="31"/>
      <c r="E27" s="31"/>
      <c r="F27" s="31"/>
      <c r="G27" s="31"/>
      <c r="H27" s="40"/>
      <c r="I27" s="40"/>
      <c r="J27" s="43" t="str">
        <f t="shared" si="0"/>
        <v/>
      </c>
      <c r="K27" s="37" t="str">
        <f t="shared" si="1"/>
        <v/>
      </c>
      <c r="L27" s="31"/>
      <c r="M27" s="31"/>
      <c r="N27" s="31"/>
    </row>
    <row r="28" spans="1:14">
      <c r="A28" s="45"/>
      <c r="B28" s="31"/>
      <c r="C28" s="31"/>
      <c r="D28" s="31"/>
      <c r="E28" s="31"/>
      <c r="F28" s="31"/>
      <c r="G28" s="31"/>
      <c r="H28" s="40"/>
      <c r="I28" s="40"/>
      <c r="J28" s="43" t="str">
        <f t="shared" si="0"/>
        <v/>
      </c>
      <c r="K28" s="37" t="str">
        <f t="shared" si="1"/>
        <v/>
      </c>
      <c r="L28" s="31"/>
      <c r="M28" s="31"/>
      <c r="N28" s="31"/>
    </row>
    <row r="29" spans="1:14">
      <c r="A29" s="45"/>
      <c r="B29" s="31"/>
      <c r="C29" s="31"/>
      <c r="D29" s="31"/>
      <c r="E29" s="31"/>
      <c r="F29" s="31"/>
      <c r="G29" s="31"/>
      <c r="H29" s="40"/>
      <c r="I29" s="40"/>
      <c r="J29" s="43" t="str">
        <f t="shared" si="0"/>
        <v/>
      </c>
      <c r="K29" s="37" t="str">
        <f t="shared" si="1"/>
        <v/>
      </c>
      <c r="L29" s="31"/>
      <c r="M29" s="31"/>
      <c r="N29" s="31"/>
    </row>
    <row r="30" spans="1:14">
      <c r="A30" s="45"/>
      <c r="B30" s="31"/>
      <c r="C30" s="31"/>
      <c r="D30" s="31"/>
      <c r="E30" s="31"/>
      <c r="F30" s="31"/>
      <c r="G30" s="31"/>
      <c r="H30" s="40"/>
      <c r="I30" s="40"/>
      <c r="J30" s="43" t="str">
        <f t="shared" si="0"/>
        <v/>
      </c>
      <c r="K30" s="37" t="str">
        <f t="shared" si="1"/>
        <v/>
      </c>
      <c r="L30" s="31"/>
      <c r="M30" s="31"/>
      <c r="N30" s="31"/>
    </row>
    <row r="31" spans="1:14">
      <c r="A31" s="45"/>
      <c r="B31" s="31"/>
      <c r="C31" s="31"/>
      <c r="D31" s="31"/>
      <c r="E31" s="31"/>
      <c r="F31" s="31"/>
      <c r="G31" s="31"/>
      <c r="H31" s="40"/>
      <c r="I31" s="40"/>
      <c r="J31" s="43" t="str">
        <f t="shared" si="0"/>
        <v/>
      </c>
      <c r="K31" s="37" t="str">
        <f t="shared" si="1"/>
        <v/>
      </c>
      <c r="L31" s="31"/>
      <c r="M31" s="31"/>
      <c r="N31" s="31"/>
    </row>
    <row r="32" spans="1:14">
      <c r="A32" s="45"/>
      <c r="B32" s="31"/>
      <c r="C32" s="31"/>
      <c r="D32" s="31"/>
      <c r="E32" s="31"/>
      <c r="F32" s="31"/>
      <c r="G32" s="31"/>
      <c r="H32" s="40"/>
      <c r="I32" s="40"/>
      <c r="J32" s="43" t="str">
        <f t="shared" si="0"/>
        <v/>
      </c>
      <c r="K32" s="37" t="str">
        <f t="shared" si="1"/>
        <v/>
      </c>
      <c r="L32" s="31"/>
      <c r="M32" s="31"/>
      <c r="N32" s="31"/>
    </row>
    <row r="33" spans="1:14">
      <c r="A33" s="45"/>
      <c r="B33" s="31"/>
      <c r="C33" s="31"/>
      <c r="D33" s="31"/>
      <c r="E33" s="31"/>
      <c r="F33" s="31"/>
      <c r="G33" s="31"/>
      <c r="H33" s="40"/>
      <c r="I33" s="40"/>
      <c r="J33" s="43" t="str">
        <f t="shared" si="0"/>
        <v/>
      </c>
      <c r="K33" s="37" t="str">
        <f t="shared" si="1"/>
        <v/>
      </c>
      <c r="L33" s="31"/>
      <c r="M33" s="31"/>
      <c r="N33" s="31"/>
    </row>
    <row r="34" spans="1:14">
      <c r="A34" s="45"/>
      <c r="B34" s="31"/>
      <c r="C34" s="31"/>
      <c r="D34" s="31"/>
      <c r="E34" s="31"/>
      <c r="F34" s="31"/>
      <c r="G34" s="31"/>
      <c r="H34" s="40"/>
      <c r="I34" s="40"/>
      <c r="J34" s="43" t="str">
        <f t="shared" si="0"/>
        <v/>
      </c>
      <c r="K34" s="37" t="str">
        <f t="shared" si="1"/>
        <v/>
      </c>
      <c r="L34" s="31"/>
      <c r="M34" s="31"/>
      <c r="N34" s="31"/>
    </row>
    <row r="35" spans="1:14">
      <c r="A35" s="45"/>
      <c r="B35" s="31"/>
      <c r="C35" s="31"/>
      <c r="D35" s="31"/>
      <c r="E35" s="31"/>
      <c r="F35" s="31"/>
      <c r="G35" s="31"/>
      <c r="H35" s="40"/>
      <c r="I35" s="40"/>
      <c r="J35" s="43" t="str">
        <f t="shared" si="0"/>
        <v/>
      </c>
      <c r="K35" s="37" t="str">
        <f t="shared" si="1"/>
        <v/>
      </c>
      <c r="L35" s="31"/>
      <c r="M35" s="31"/>
      <c r="N35" s="31"/>
    </row>
    <row r="36" spans="1:14">
      <c r="A36" s="45"/>
      <c r="B36" s="31"/>
      <c r="C36" s="31"/>
      <c r="D36" s="31"/>
      <c r="E36" s="31"/>
      <c r="F36" s="31"/>
      <c r="G36" s="31"/>
      <c r="H36" s="40"/>
      <c r="I36" s="40"/>
      <c r="J36" s="43" t="str">
        <f t="shared" si="0"/>
        <v/>
      </c>
      <c r="K36" s="37" t="str">
        <f t="shared" si="1"/>
        <v/>
      </c>
      <c r="L36" s="31"/>
      <c r="M36" s="31"/>
      <c r="N36" s="31"/>
    </row>
    <row r="37" spans="1:14">
      <c r="A37" s="45"/>
      <c r="B37" s="31"/>
      <c r="C37" s="31"/>
      <c r="D37" s="31"/>
      <c r="E37" s="31"/>
      <c r="F37" s="31"/>
      <c r="G37" s="31"/>
      <c r="H37" s="40"/>
      <c r="I37" s="40"/>
      <c r="J37" s="43" t="str">
        <f t="shared" ref="J37:J68" si="2">IF(A37="","",H37-I37)</f>
        <v/>
      </c>
      <c r="K37" s="37" t="str">
        <f t="shared" ref="K37:K68" si="3">IF(H37=0,"",J37/H37)</f>
        <v/>
      </c>
      <c r="L37" s="31"/>
      <c r="M37" s="31"/>
      <c r="N37" s="31"/>
    </row>
    <row r="38" spans="1:14">
      <c r="A38" s="45"/>
      <c r="B38" s="31"/>
      <c r="C38" s="31"/>
      <c r="D38" s="31"/>
      <c r="E38" s="31"/>
      <c r="F38" s="31"/>
      <c r="G38" s="31"/>
      <c r="H38" s="40"/>
      <c r="I38" s="40"/>
      <c r="J38" s="43" t="str">
        <f t="shared" si="2"/>
        <v/>
      </c>
      <c r="K38" s="37" t="str">
        <f t="shared" si="3"/>
        <v/>
      </c>
      <c r="L38" s="31"/>
      <c r="M38" s="31"/>
      <c r="N38" s="31"/>
    </row>
    <row r="39" spans="1:14">
      <c r="A39" s="45"/>
      <c r="B39" s="31"/>
      <c r="C39" s="31"/>
      <c r="D39" s="31"/>
      <c r="E39" s="31"/>
      <c r="F39" s="31"/>
      <c r="G39" s="31"/>
      <c r="H39" s="40"/>
      <c r="I39" s="40"/>
      <c r="J39" s="43" t="str">
        <f t="shared" si="2"/>
        <v/>
      </c>
      <c r="K39" s="37" t="str">
        <f t="shared" si="3"/>
        <v/>
      </c>
      <c r="L39" s="31"/>
      <c r="M39" s="31"/>
      <c r="N39" s="31"/>
    </row>
    <row r="40" spans="1:14">
      <c r="A40" s="45"/>
      <c r="B40" s="31"/>
      <c r="C40" s="31"/>
      <c r="D40" s="31"/>
      <c r="E40" s="31"/>
      <c r="F40" s="31"/>
      <c r="G40" s="31"/>
      <c r="H40" s="40"/>
      <c r="I40" s="40"/>
      <c r="J40" s="43" t="str">
        <f t="shared" si="2"/>
        <v/>
      </c>
      <c r="K40" s="37" t="str">
        <f t="shared" si="3"/>
        <v/>
      </c>
      <c r="L40" s="31"/>
      <c r="M40" s="31"/>
      <c r="N40" s="31"/>
    </row>
    <row r="41" spans="1:14">
      <c r="A41" s="45"/>
      <c r="B41" s="31"/>
      <c r="C41" s="31"/>
      <c r="D41" s="31"/>
      <c r="E41" s="31"/>
      <c r="F41" s="31"/>
      <c r="G41" s="31"/>
      <c r="H41" s="40"/>
      <c r="I41" s="40"/>
      <c r="J41" s="43" t="str">
        <f t="shared" si="2"/>
        <v/>
      </c>
      <c r="K41" s="37" t="str">
        <f t="shared" si="3"/>
        <v/>
      </c>
      <c r="L41" s="31"/>
      <c r="M41" s="31"/>
      <c r="N41" s="31"/>
    </row>
    <row r="42" spans="1:14">
      <c r="A42" s="45"/>
      <c r="B42" s="31"/>
      <c r="C42" s="31"/>
      <c r="D42" s="31"/>
      <c r="E42" s="31"/>
      <c r="F42" s="31"/>
      <c r="G42" s="31"/>
      <c r="H42" s="40"/>
      <c r="I42" s="40"/>
      <c r="J42" s="43" t="str">
        <f t="shared" si="2"/>
        <v/>
      </c>
      <c r="K42" s="37" t="str">
        <f t="shared" si="3"/>
        <v/>
      </c>
      <c r="L42" s="31"/>
      <c r="M42" s="31"/>
      <c r="N42" s="31"/>
    </row>
    <row r="43" spans="1:14">
      <c r="A43" s="45"/>
      <c r="B43" s="31"/>
      <c r="C43" s="31"/>
      <c r="D43" s="31"/>
      <c r="E43" s="31"/>
      <c r="F43" s="31"/>
      <c r="G43" s="31"/>
      <c r="H43" s="40"/>
      <c r="I43" s="40"/>
      <c r="J43" s="43" t="str">
        <f t="shared" si="2"/>
        <v/>
      </c>
      <c r="K43" s="37" t="str">
        <f t="shared" si="3"/>
        <v/>
      </c>
      <c r="L43" s="31"/>
      <c r="M43" s="31"/>
      <c r="N43" s="31"/>
    </row>
    <row r="44" spans="1:14">
      <c r="A44" s="45"/>
      <c r="B44" s="31"/>
      <c r="C44" s="31"/>
      <c r="D44" s="31"/>
      <c r="E44" s="31"/>
      <c r="F44" s="31"/>
      <c r="G44" s="31"/>
      <c r="H44" s="40"/>
      <c r="I44" s="40"/>
      <c r="J44" s="43" t="str">
        <f t="shared" si="2"/>
        <v/>
      </c>
      <c r="K44" s="37" t="str">
        <f t="shared" si="3"/>
        <v/>
      </c>
      <c r="L44" s="31"/>
      <c r="M44" s="31"/>
      <c r="N44" s="31"/>
    </row>
    <row r="45" spans="1:14">
      <c r="A45" s="45"/>
      <c r="B45" s="31"/>
      <c r="C45" s="31"/>
      <c r="D45" s="31"/>
      <c r="E45" s="31"/>
      <c r="F45" s="31"/>
      <c r="G45" s="31"/>
      <c r="H45" s="40"/>
      <c r="I45" s="40"/>
      <c r="J45" s="43" t="str">
        <f t="shared" si="2"/>
        <v/>
      </c>
      <c r="K45" s="37" t="str">
        <f t="shared" si="3"/>
        <v/>
      </c>
      <c r="L45" s="31"/>
      <c r="M45" s="31"/>
      <c r="N45" s="31"/>
    </row>
    <row r="46" spans="1:14">
      <c r="A46" s="45"/>
      <c r="B46" s="31"/>
      <c r="C46" s="31"/>
      <c r="D46" s="31"/>
      <c r="E46" s="31"/>
      <c r="F46" s="31"/>
      <c r="G46" s="31"/>
      <c r="H46" s="40"/>
      <c r="I46" s="40"/>
      <c r="J46" s="43" t="str">
        <f t="shared" si="2"/>
        <v/>
      </c>
      <c r="K46" s="37" t="str">
        <f t="shared" si="3"/>
        <v/>
      </c>
      <c r="L46" s="31"/>
      <c r="M46" s="31"/>
      <c r="N46" s="31"/>
    </row>
    <row r="47" spans="1:14">
      <c r="A47" s="45"/>
      <c r="B47" s="31"/>
      <c r="C47" s="31"/>
      <c r="D47" s="31"/>
      <c r="E47" s="31"/>
      <c r="F47" s="31"/>
      <c r="G47" s="31"/>
      <c r="H47" s="40"/>
      <c r="I47" s="40"/>
      <c r="J47" s="43" t="str">
        <f t="shared" si="2"/>
        <v/>
      </c>
      <c r="K47" s="37" t="str">
        <f t="shared" si="3"/>
        <v/>
      </c>
      <c r="L47" s="31"/>
      <c r="M47" s="31"/>
      <c r="N47" s="31"/>
    </row>
    <row r="48" spans="1:14">
      <c r="A48" s="45"/>
      <c r="B48" s="31"/>
      <c r="C48" s="31"/>
      <c r="D48" s="31"/>
      <c r="E48" s="31"/>
      <c r="F48" s="31"/>
      <c r="G48" s="31"/>
      <c r="H48" s="40"/>
      <c r="I48" s="40"/>
      <c r="J48" s="43" t="str">
        <f t="shared" si="2"/>
        <v/>
      </c>
      <c r="K48" s="37" t="str">
        <f t="shared" si="3"/>
        <v/>
      </c>
      <c r="L48" s="31"/>
      <c r="M48" s="31"/>
      <c r="N48" s="31"/>
    </row>
    <row r="49" spans="1:14">
      <c r="A49" s="45"/>
      <c r="B49" s="31"/>
      <c r="C49" s="31"/>
      <c r="D49" s="31"/>
      <c r="E49" s="31"/>
      <c r="F49" s="31"/>
      <c r="G49" s="31"/>
      <c r="H49" s="40"/>
      <c r="I49" s="40"/>
      <c r="J49" s="43" t="str">
        <f t="shared" si="2"/>
        <v/>
      </c>
      <c r="K49" s="37" t="str">
        <f t="shared" si="3"/>
        <v/>
      </c>
      <c r="L49" s="31"/>
      <c r="M49" s="31"/>
      <c r="N49" s="31"/>
    </row>
    <row r="50" spans="1:14">
      <c r="A50" s="45"/>
      <c r="B50" s="31"/>
      <c r="C50" s="31"/>
      <c r="D50" s="31"/>
      <c r="E50" s="31"/>
      <c r="F50" s="31"/>
      <c r="G50" s="31"/>
      <c r="H50" s="40"/>
      <c r="I50" s="40"/>
      <c r="J50" s="43" t="str">
        <f t="shared" si="2"/>
        <v/>
      </c>
      <c r="K50" s="37" t="str">
        <f t="shared" si="3"/>
        <v/>
      </c>
      <c r="L50" s="31"/>
      <c r="M50" s="31"/>
      <c r="N50" s="31"/>
    </row>
    <row r="51" spans="1:14">
      <c r="A51" s="45"/>
      <c r="B51" s="31"/>
      <c r="C51" s="31"/>
      <c r="D51" s="31"/>
      <c r="E51" s="31"/>
      <c r="F51" s="31"/>
      <c r="G51" s="31"/>
      <c r="H51" s="40"/>
      <c r="I51" s="40"/>
      <c r="J51" s="43" t="str">
        <f t="shared" si="2"/>
        <v/>
      </c>
      <c r="K51" s="37" t="str">
        <f t="shared" si="3"/>
        <v/>
      </c>
      <c r="L51" s="31"/>
      <c r="M51" s="31"/>
      <c r="N51" s="31"/>
    </row>
    <row r="52" spans="1:14">
      <c r="A52" s="45"/>
      <c r="B52" s="31"/>
      <c r="C52" s="31"/>
      <c r="D52" s="31"/>
      <c r="E52" s="31"/>
      <c r="F52" s="31"/>
      <c r="G52" s="31"/>
      <c r="H52" s="40"/>
      <c r="I52" s="40"/>
      <c r="J52" s="43" t="str">
        <f t="shared" si="2"/>
        <v/>
      </c>
      <c r="K52" s="37" t="str">
        <f t="shared" si="3"/>
        <v/>
      </c>
      <c r="L52" s="31"/>
      <c r="M52" s="31"/>
      <c r="N52" s="31"/>
    </row>
    <row r="53" spans="1:14">
      <c r="A53" s="45"/>
      <c r="B53" s="31"/>
      <c r="C53" s="31"/>
      <c r="D53" s="31"/>
      <c r="E53" s="31"/>
      <c r="F53" s="31"/>
      <c r="G53" s="31"/>
      <c r="H53" s="40"/>
      <c r="I53" s="40"/>
      <c r="J53" s="43" t="str">
        <f t="shared" si="2"/>
        <v/>
      </c>
      <c r="K53" s="37" t="str">
        <f t="shared" si="3"/>
        <v/>
      </c>
      <c r="L53" s="31"/>
      <c r="M53" s="31"/>
      <c r="N53" s="31"/>
    </row>
    <row r="54" spans="1:14">
      <c r="A54" s="45"/>
      <c r="B54" s="31"/>
      <c r="C54" s="31"/>
      <c r="D54" s="31"/>
      <c r="E54" s="31"/>
      <c r="F54" s="31"/>
      <c r="G54" s="31"/>
      <c r="H54" s="40"/>
      <c r="I54" s="40"/>
      <c r="J54" s="43" t="str">
        <f t="shared" si="2"/>
        <v/>
      </c>
      <c r="K54" s="37" t="str">
        <f t="shared" si="3"/>
        <v/>
      </c>
      <c r="L54" s="31"/>
      <c r="M54" s="31"/>
      <c r="N54" s="31"/>
    </row>
    <row r="55" spans="1:14">
      <c r="A55" s="45"/>
      <c r="B55" s="31"/>
      <c r="C55" s="31"/>
      <c r="D55" s="31"/>
      <c r="E55" s="31"/>
      <c r="F55" s="31"/>
      <c r="G55" s="31"/>
      <c r="H55" s="40"/>
      <c r="I55" s="40"/>
      <c r="J55" s="43" t="str">
        <f t="shared" si="2"/>
        <v/>
      </c>
      <c r="K55" s="37" t="str">
        <f t="shared" si="3"/>
        <v/>
      </c>
      <c r="L55" s="31"/>
      <c r="M55" s="31"/>
      <c r="N55" s="31"/>
    </row>
    <row r="56" spans="1:14">
      <c r="A56" s="45"/>
      <c r="B56" s="31"/>
      <c r="C56" s="31"/>
      <c r="D56" s="31"/>
      <c r="E56" s="31"/>
      <c r="F56" s="31"/>
      <c r="G56" s="31"/>
      <c r="H56" s="40"/>
      <c r="I56" s="40"/>
      <c r="J56" s="43" t="str">
        <f t="shared" si="2"/>
        <v/>
      </c>
      <c r="K56" s="37" t="str">
        <f t="shared" si="3"/>
        <v/>
      </c>
      <c r="L56" s="31"/>
      <c r="M56" s="31"/>
      <c r="N56" s="31"/>
    </row>
    <row r="57" spans="1:14">
      <c r="A57" s="45"/>
      <c r="B57" s="31"/>
      <c r="C57" s="31"/>
      <c r="D57" s="31"/>
      <c r="E57" s="31"/>
      <c r="F57" s="31"/>
      <c r="G57" s="31"/>
      <c r="H57" s="40"/>
      <c r="I57" s="40"/>
      <c r="J57" s="43" t="str">
        <f t="shared" si="2"/>
        <v/>
      </c>
      <c r="K57" s="37" t="str">
        <f t="shared" si="3"/>
        <v/>
      </c>
      <c r="L57" s="31"/>
      <c r="M57" s="31"/>
      <c r="N57" s="31"/>
    </row>
    <row r="58" spans="1:14">
      <c r="A58" s="45"/>
      <c r="B58" s="31"/>
      <c r="C58" s="31"/>
      <c r="D58" s="31"/>
      <c r="E58" s="31"/>
      <c r="F58" s="31"/>
      <c r="G58" s="31"/>
      <c r="H58" s="40"/>
      <c r="I58" s="40"/>
      <c r="J58" s="43" t="str">
        <f t="shared" si="2"/>
        <v/>
      </c>
      <c r="K58" s="37" t="str">
        <f t="shared" si="3"/>
        <v/>
      </c>
      <c r="L58" s="31"/>
      <c r="M58" s="31"/>
      <c r="N58" s="31"/>
    </row>
    <row r="59" spans="1:14">
      <c r="A59" s="45"/>
      <c r="B59" s="31"/>
      <c r="C59" s="31"/>
      <c r="D59" s="31"/>
      <c r="E59" s="31"/>
      <c r="F59" s="31"/>
      <c r="G59" s="31"/>
      <c r="H59" s="40"/>
      <c r="I59" s="40"/>
      <c r="J59" s="43" t="str">
        <f t="shared" si="2"/>
        <v/>
      </c>
      <c r="K59" s="37" t="str">
        <f t="shared" si="3"/>
        <v/>
      </c>
      <c r="L59" s="31"/>
      <c r="M59" s="31"/>
      <c r="N59" s="31"/>
    </row>
    <row r="60" spans="1:14">
      <c r="A60" s="45"/>
      <c r="B60" s="31"/>
      <c r="C60" s="31"/>
      <c r="D60" s="31"/>
      <c r="E60" s="31"/>
      <c r="F60" s="31"/>
      <c r="G60" s="31"/>
      <c r="H60" s="40"/>
      <c r="I60" s="40"/>
      <c r="J60" s="43" t="str">
        <f t="shared" si="2"/>
        <v/>
      </c>
      <c r="K60" s="37" t="str">
        <f t="shared" si="3"/>
        <v/>
      </c>
      <c r="L60" s="31"/>
      <c r="M60" s="31"/>
      <c r="N60" s="31"/>
    </row>
    <row r="61" spans="1:14">
      <c r="A61" s="45"/>
      <c r="B61" s="31"/>
      <c r="C61" s="31"/>
      <c r="D61" s="31"/>
      <c r="E61" s="31"/>
      <c r="F61" s="31"/>
      <c r="G61" s="31"/>
      <c r="H61" s="40"/>
      <c r="I61" s="40"/>
      <c r="J61" s="43" t="str">
        <f t="shared" si="2"/>
        <v/>
      </c>
      <c r="K61" s="37" t="str">
        <f t="shared" si="3"/>
        <v/>
      </c>
      <c r="L61" s="31"/>
      <c r="M61" s="31"/>
      <c r="N61" s="31"/>
    </row>
    <row r="62" spans="1:14">
      <c r="A62" s="45"/>
      <c r="B62" s="31"/>
      <c r="C62" s="31"/>
      <c r="D62" s="31"/>
      <c r="E62" s="31"/>
      <c r="F62" s="31"/>
      <c r="G62" s="31"/>
      <c r="H62" s="40"/>
      <c r="I62" s="40"/>
      <c r="J62" s="43" t="str">
        <f t="shared" si="2"/>
        <v/>
      </c>
      <c r="K62" s="37" t="str">
        <f t="shared" si="3"/>
        <v/>
      </c>
      <c r="L62" s="31"/>
      <c r="M62" s="31"/>
      <c r="N62" s="31"/>
    </row>
    <row r="63" spans="1:14">
      <c r="A63" s="45"/>
      <c r="B63" s="31"/>
      <c r="C63" s="31"/>
      <c r="D63" s="31"/>
      <c r="E63" s="31"/>
      <c r="F63" s="31"/>
      <c r="G63" s="31"/>
      <c r="H63" s="40"/>
      <c r="I63" s="40"/>
      <c r="J63" s="43" t="str">
        <f t="shared" si="2"/>
        <v/>
      </c>
      <c r="K63" s="37" t="str">
        <f t="shared" si="3"/>
        <v/>
      </c>
      <c r="L63" s="31"/>
      <c r="M63" s="31"/>
      <c r="N63" s="31"/>
    </row>
    <row r="64" spans="1:14">
      <c r="A64" s="45"/>
      <c r="B64" s="31"/>
      <c r="C64" s="31"/>
      <c r="D64" s="31"/>
      <c r="E64" s="31"/>
      <c r="F64" s="31"/>
      <c r="G64" s="31"/>
      <c r="H64" s="40"/>
      <c r="I64" s="40"/>
      <c r="J64" s="43" t="str">
        <f t="shared" si="2"/>
        <v/>
      </c>
      <c r="K64" s="37" t="str">
        <f t="shared" si="3"/>
        <v/>
      </c>
      <c r="L64" s="31"/>
      <c r="M64" s="31"/>
      <c r="N64" s="31"/>
    </row>
    <row r="65" spans="1:14">
      <c r="A65" s="45"/>
      <c r="B65" s="31"/>
      <c r="C65" s="31"/>
      <c r="D65" s="31"/>
      <c r="E65" s="31"/>
      <c r="F65" s="31"/>
      <c r="G65" s="31"/>
      <c r="H65" s="40"/>
      <c r="I65" s="40"/>
      <c r="J65" s="43" t="str">
        <f t="shared" si="2"/>
        <v/>
      </c>
      <c r="K65" s="37" t="str">
        <f t="shared" si="3"/>
        <v/>
      </c>
      <c r="L65" s="31"/>
      <c r="M65" s="31"/>
      <c r="N65" s="31"/>
    </row>
    <row r="66" spans="1:14">
      <c r="A66" s="45"/>
      <c r="B66" s="31"/>
      <c r="C66" s="31"/>
      <c r="D66" s="31"/>
      <c r="E66" s="31"/>
      <c r="F66" s="31"/>
      <c r="G66" s="31"/>
      <c r="H66" s="40"/>
      <c r="I66" s="40"/>
      <c r="J66" s="43" t="str">
        <f t="shared" si="2"/>
        <v/>
      </c>
      <c r="K66" s="37" t="str">
        <f t="shared" si="3"/>
        <v/>
      </c>
      <c r="L66" s="31"/>
      <c r="M66" s="31"/>
      <c r="N66" s="31"/>
    </row>
    <row r="67" spans="1:14">
      <c r="A67" s="45"/>
      <c r="B67" s="31"/>
      <c r="C67" s="31"/>
      <c r="D67" s="31"/>
      <c r="E67" s="31"/>
      <c r="F67" s="31"/>
      <c r="G67" s="31"/>
      <c r="H67" s="40"/>
      <c r="I67" s="40"/>
      <c r="J67" s="43" t="str">
        <f t="shared" si="2"/>
        <v/>
      </c>
      <c r="K67" s="37" t="str">
        <f t="shared" si="3"/>
        <v/>
      </c>
      <c r="L67" s="31"/>
      <c r="M67" s="31"/>
      <c r="N67" s="31"/>
    </row>
    <row r="68" spans="1:14">
      <c r="A68" s="45"/>
      <c r="B68" s="31"/>
      <c r="C68" s="31"/>
      <c r="D68" s="31"/>
      <c r="E68" s="31"/>
      <c r="F68" s="31"/>
      <c r="G68" s="31"/>
      <c r="H68" s="40"/>
      <c r="I68" s="40"/>
      <c r="J68" s="43" t="str">
        <f t="shared" si="2"/>
        <v/>
      </c>
      <c r="K68" s="37" t="str">
        <f t="shared" si="3"/>
        <v/>
      </c>
      <c r="L68" s="31"/>
      <c r="M68" s="31"/>
      <c r="N68" s="31"/>
    </row>
    <row r="69" spans="1:14">
      <c r="A69" s="45"/>
      <c r="B69" s="31"/>
      <c r="C69" s="31"/>
      <c r="D69" s="31"/>
      <c r="E69" s="31"/>
      <c r="F69" s="31"/>
      <c r="G69" s="31"/>
      <c r="H69" s="40"/>
      <c r="I69" s="40"/>
      <c r="J69" s="43" t="str">
        <f t="shared" ref="J69:J100" si="4">IF(A69="","",H69-I69)</f>
        <v/>
      </c>
      <c r="K69" s="37" t="str">
        <f t="shared" ref="K69:K100" si="5">IF(H69=0,"",J69/H69)</f>
        <v/>
      </c>
      <c r="L69" s="31"/>
      <c r="M69" s="31"/>
      <c r="N69" s="31"/>
    </row>
    <row r="70" spans="1:14">
      <c r="A70" s="45"/>
      <c r="B70" s="31"/>
      <c r="C70" s="31"/>
      <c r="D70" s="31"/>
      <c r="E70" s="31"/>
      <c r="F70" s="31"/>
      <c r="G70" s="31"/>
      <c r="H70" s="40"/>
      <c r="I70" s="40"/>
      <c r="J70" s="43" t="str">
        <f t="shared" si="4"/>
        <v/>
      </c>
      <c r="K70" s="37" t="str">
        <f t="shared" si="5"/>
        <v/>
      </c>
      <c r="L70" s="31"/>
      <c r="M70" s="31"/>
      <c r="N70" s="31"/>
    </row>
    <row r="71" spans="1:14">
      <c r="A71" s="45"/>
      <c r="B71" s="31"/>
      <c r="C71" s="31"/>
      <c r="D71" s="31"/>
      <c r="E71" s="31"/>
      <c r="F71" s="31"/>
      <c r="G71" s="31"/>
      <c r="H71" s="40"/>
      <c r="I71" s="40"/>
      <c r="J71" s="43" t="str">
        <f t="shared" si="4"/>
        <v/>
      </c>
      <c r="K71" s="37" t="str">
        <f t="shared" si="5"/>
        <v/>
      </c>
      <c r="L71" s="31"/>
      <c r="M71" s="31"/>
      <c r="N71" s="31"/>
    </row>
    <row r="72" spans="1:14">
      <c r="A72" s="45"/>
      <c r="B72" s="31"/>
      <c r="C72" s="31"/>
      <c r="D72" s="31"/>
      <c r="E72" s="31"/>
      <c r="F72" s="31"/>
      <c r="G72" s="31"/>
      <c r="H72" s="40"/>
      <c r="I72" s="40"/>
      <c r="J72" s="43" t="str">
        <f t="shared" si="4"/>
        <v/>
      </c>
      <c r="K72" s="37" t="str">
        <f t="shared" si="5"/>
        <v/>
      </c>
      <c r="L72" s="31"/>
      <c r="M72" s="31"/>
      <c r="N72" s="31"/>
    </row>
    <row r="73" spans="1:14">
      <c r="A73" s="45"/>
      <c r="B73" s="31"/>
      <c r="C73" s="31"/>
      <c r="D73" s="31"/>
      <c r="E73" s="31"/>
      <c r="F73" s="31"/>
      <c r="G73" s="31"/>
      <c r="H73" s="40"/>
      <c r="I73" s="40"/>
      <c r="J73" s="43" t="str">
        <f t="shared" si="4"/>
        <v/>
      </c>
      <c r="K73" s="37" t="str">
        <f t="shared" si="5"/>
        <v/>
      </c>
      <c r="L73" s="31"/>
      <c r="M73" s="31"/>
      <c r="N73" s="31"/>
    </row>
    <row r="74" spans="1:14">
      <c r="A74" s="45"/>
      <c r="B74" s="31"/>
      <c r="C74" s="31"/>
      <c r="D74" s="31"/>
      <c r="E74" s="31"/>
      <c r="F74" s="31"/>
      <c r="G74" s="31"/>
      <c r="H74" s="40"/>
      <c r="I74" s="40"/>
      <c r="J74" s="43" t="str">
        <f t="shared" si="4"/>
        <v/>
      </c>
      <c r="K74" s="37" t="str">
        <f t="shared" si="5"/>
        <v/>
      </c>
      <c r="L74" s="31"/>
      <c r="M74" s="31"/>
      <c r="N74" s="31"/>
    </row>
    <row r="75" spans="1:14">
      <c r="A75" s="45"/>
      <c r="B75" s="31"/>
      <c r="C75" s="31"/>
      <c r="D75" s="31"/>
      <c r="E75" s="31"/>
      <c r="F75" s="31"/>
      <c r="G75" s="31"/>
      <c r="H75" s="40"/>
      <c r="I75" s="40"/>
      <c r="J75" s="43" t="str">
        <f t="shared" si="4"/>
        <v/>
      </c>
      <c r="K75" s="37" t="str">
        <f t="shared" si="5"/>
        <v/>
      </c>
      <c r="L75" s="31"/>
      <c r="M75" s="31"/>
      <c r="N75" s="31"/>
    </row>
    <row r="76" spans="1:14">
      <c r="A76" s="45"/>
      <c r="B76" s="31"/>
      <c r="C76" s="31"/>
      <c r="D76" s="31"/>
      <c r="E76" s="31"/>
      <c r="F76" s="31"/>
      <c r="G76" s="31"/>
      <c r="H76" s="40"/>
      <c r="I76" s="40"/>
      <c r="J76" s="43" t="str">
        <f t="shared" si="4"/>
        <v/>
      </c>
      <c r="K76" s="37" t="str">
        <f t="shared" si="5"/>
        <v/>
      </c>
      <c r="L76" s="31"/>
      <c r="M76" s="31"/>
      <c r="N76" s="31"/>
    </row>
    <row r="77" spans="1:14">
      <c r="A77" s="45"/>
      <c r="B77" s="31"/>
      <c r="C77" s="31"/>
      <c r="D77" s="31"/>
      <c r="E77" s="31"/>
      <c r="F77" s="31"/>
      <c r="G77" s="31"/>
      <c r="H77" s="40"/>
      <c r="I77" s="40"/>
      <c r="J77" s="43" t="str">
        <f t="shared" si="4"/>
        <v/>
      </c>
      <c r="K77" s="37" t="str">
        <f t="shared" si="5"/>
        <v/>
      </c>
      <c r="L77" s="31"/>
      <c r="M77" s="31"/>
      <c r="N77" s="31"/>
    </row>
    <row r="78" spans="1:14">
      <c r="A78" s="45"/>
      <c r="B78" s="31"/>
      <c r="C78" s="31"/>
      <c r="D78" s="31"/>
      <c r="E78" s="31"/>
      <c r="F78" s="31"/>
      <c r="G78" s="31"/>
      <c r="H78" s="40"/>
      <c r="I78" s="40"/>
      <c r="J78" s="43" t="str">
        <f t="shared" si="4"/>
        <v/>
      </c>
      <c r="K78" s="37" t="str">
        <f t="shared" si="5"/>
        <v/>
      </c>
      <c r="L78" s="31"/>
      <c r="M78" s="31"/>
      <c r="N78" s="31"/>
    </row>
    <row r="79" spans="1:14">
      <c r="A79" s="45"/>
      <c r="B79" s="31"/>
      <c r="C79" s="31"/>
      <c r="D79" s="31"/>
      <c r="E79" s="31"/>
      <c r="F79" s="31"/>
      <c r="G79" s="31"/>
      <c r="H79" s="40"/>
      <c r="I79" s="40"/>
      <c r="J79" s="43" t="str">
        <f t="shared" si="4"/>
        <v/>
      </c>
      <c r="K79" s="37" t="str">
        <f t="shared" si="5"/>
        <v/>
      </c>
      <c r="L79" s="31"/>
      <c r="M79" s="31"/>
      <c r="N79" s="31"/>
    </row>
    <row r="80" spans="1:14">
      <c r="A80" s="45"/>
      <c r="B80" s="31"/>
      <c r="C80" s="31"/>
      <c r="D80" s="31"/>
      <c r="E80" s="31"/>
      <c r="F80" s="31"/>
      <c r="G80" s="31"/>
      <c r="H80" s="40"/>
      <c r="I80" s="40"/>
      <c r="J80" s="43" t="str">
        <f t="shared" si="4"/>
        <v/>
      </c>
      <c r="K80" s="37" t="str">
        <f t="shared" si="5"/>
        <v/>
      </c>
      <c r="L80" s="31"/>
      <c r="M80" s="31"/>
      <c r="N80" s="31"/>
    </row>
    <row r="81" spans="1:14">
      <c r="A81" s="45"/>
      <c r="B81" s="31"/>
      <c r="C81" s="31"/>
      <c r="D81" s="31"/>
      <c r="E81" s="31"/>
      <c r="F81" s="31"/>
      <c r="G81" s="31"/>
      <c r="H81" s="40"/>
      <c r="I81" s="40"/>
      <c r="J81" s="43" t="str">
        <f t="shared" si="4"/>
        <v/>
      </c>
      <c r="K81" s="37" t="str">
        <f t="shared" si="5"/>
        <v/>
      </c>
      <c r="L81" s="31"/>
      <c r="M81" s="31"/>
      <c r="N81" s="31"/>
    </row>
    <row r="82" spans="1:14">
      <c r="A82" s="45"/>
      <c r="B82" s="31"/>
      <c r="C82" s="31"/>
      <c r="D82" s="31"/>
      <c r="E82" s="31"/>
      <c r="F82" s="31"/>
      <c r="G82" s="31"/>
      <c r="H82" s="40"/>
      <c r="I82" s="40"/>
      <c r="J82" s="43" t="str">
        <f t="shared" si="4"/>
        <v/>
      </c>
      <c r="K82" s="37" t="str">
        <f t="shared" si="5"/>
        <v/>
      </c>
      <c r="L82" s="31"/>
      <c r="M82" s="31"/>
      <c r="N82" s="31"/>
    </row>
    <row r="83" spans="1:14">
      <c r="A83" s="45"/>
      <c r="B83" s="31"/>
      <c r="C83" s="31"/>
      <c r="D83" s="31"/>
      <c r="E83" s="31"/>
      <c r="F83" s="31"/>
      <c r="G83" s="31"/>
      <c r="H83" s="40"/>
      <c r="I83" s="40"/>
      <c r="J83" s="43" t="str">
        <f t="shared" si="4"/>
        <v/>
      </c>
      <c r="K83" s="37" t="str">
        <f t="shared" si="5"/>
        <v/>
      </c>
      <c r="L83" s="31"/>
      <c r="M83" s="31"/>
      <c r="N83" s="31"/>
    </row>
    <row r="84" spans="1:14">
      <c r="A84" s="45"/>
      <c r="B84" s="31"/>
      <c r="C84" s="31"/>
      <c r="D84" s="31"/>
      <c r="E84" s="31"/>
      <c r="F84" s="31"/>
      <c r="G84" s="31"/>
      <c r="H84" s="40"/>
      <c r="I84" s="40"/>
      <c r="J84" s="43" t="str">
        <f t="shared" si="4"/>
        <v/>
      </c>
      <c r="K84" s="37" t="str">
        <f t="shared" si="5"/>
        <v/>
      </c>
      <c r="L84" s="31"/>
      <c r="M84" s="31"/>
      <c r="N84" s="31"/>
    </row>
    <row r="85" spans="1:14">
      <c r="A85" s="45"/>
      <c r="B85" s="31"/>
      <c r="C85" s="31"/>
      <c r="D85" s="31"/>
      <c r="E85" s="31"/>
      <c r="F85" s="31"/>
      <c r="G85" s="31"/>
      <c r="H85" s="40"/>
      <c r="I85" s="40"/>
      <c r="J85" s="43" t="str">
        <f t="shared" si="4"/>
        <v/>
      </c>
      <c r="K85" s="37" t="str">
        <f t="shared" si="5"/>
        <v/>
      </c>
      <c r="L85" s="31"/>
      <c r="M85" s="31"/>
      <c r="N85" s="31"/>
    </row>
    <row r="86" spans="1:14">
      <c r="A86" s="45"/>
      <c r="B86" s="31"/>
      <c r="C86" s="31"/>
      <c r="D86" s="31"/>
      <c r="E86" s="31"/>
      <c r="F86" s="31"/>
      <c r="G86" s="31"/>
      <c r="H86" s="40"/>
      <c r="I86" s="40"/>
      <c r="J86" s="43" t="str">
        <f t="shared" si="4"/>
        <v/>
      </c>
      <c r="K86" s="37" t="str">
        <f t="shared" si="5"/>
        <v/>
      </c>
      <c r="L86" s="31"/>
      <c r="M86" s="31"/>
      <c r="N86" s="31"/>
    </row>
    <row r="87" spans="1:14">
      <c r="A87" s="45"/>
      <c r="B87" s="31"/>
      <c r="C87" s="31"/>
      <c r="D87" s="31"/>
      <c r="E87" s="31"/>
      <c r="F87" s="31"/>
      <c r="G87" s="31"/>
      <c r="H87" s="40"/>
      <c r="I87" s="40"/>
      <c r="J87" s="43" t="str">
        <f t="shared" si="4"/>
        <v/>
      </c>
      <c r="K87" s="37" t="str">
        <f t="shared" si="5"/>
        <v/>
      </c>
      <c r="L87" s="31"/>
      <c r="M87" s="31"/>
      <c r="N87" s="31"/>
    </row>
    <row r="88" spans="1:14">
      <c r="A88" s="45"/>
      <c r="B88" s="31"/>
      <c r="C88" s="31"/>
      <c r="D88" s="31"/>
      <c r="E88" s="31"/>
      <c r="F88" s="31"/>
      <c r="G88" s="31"/>
      <c r="H88" s="40"/>
      <c r="I88" s="40"/>
      <c r="J88" s="43" t="str">
        <f t="shared" si="4"/>
        <v/>
      </c>
      <c r="K88" s="37" t="str">
        <f t="shared" si="5"/>
        <v/>
      </c>
      <c r="L88" s="31"/>
      <c r="M88" s="31"/>
      <c r="N88" s="31"/>
    </row>
    <row r="89" spans="1:14">
      <c r="A89" s="45"/>
      <c r="B89" s="31"/>
      <c r="C89" s="31"/>
      <c r="D89" s="31"/>
      <c r="E89" s="31"/>
      <c r="F89" s="31"/>
      <c r="G89" s="31"/>
      <c r="H89" s="40"/>
      <c r="I89" s="40"/>
      <c r="J89" s="43" t="str">
        <f t="shared" si="4"/>
        <v/>
      </c>
      <c r="K89" s="37" t="str">
        <f t="shared" si="5"/>
        <v/>
      </c>
      <c r="L89" s="31"/>
      <c r="M89" s="31"/>
      <c r="N89" s="31"/>
    </row>
    <row r="90" spans="1:14">
      <c r="A90" s="45"/>
      <c r="B90" s="31"/>
      <c r="C90" s="31"/>
      <c r="D90" s="31"/>
      <c r="E90" s="31"/>
      <c r="F90" s="31"/>
      <c r="G90" s="31"/>
      <c r="H90" s="40"/>
      <c r="I90" s="40"/>
      <c r="J90" s="43" t="str">
        <f t="shared" si="4"/>
        <v/>
      </c>
      <c r="K90" s="37" t="str">
        <f t="shared" si="5"/>
        <v/>
      </c>
      <c r="L90" s="31"/>
      <c r="M90" s="31"/>
      <c r="N90" s="31"/>
    </row>
    <row r="91" spans="1:14">
      <c r="A91" s="45"/>
      <c r="B91" s="31"/>
      <c r="C91" s="31"/>
      <c r="D91" s="31"/>
      <c r="E91" s="31"/>
      <c r="F91" s="31"/>
      <c r="G91" s="31"/>
      <c r="H91" s="40"/>
      <c r="I91" s="40"/>
      <c r="J91" s="43" t="str">
        <f t="shared" si="4"/>
        <v/>
      </c>
      <c r="K91" s="37" t="str">
        <f t="shared" si="5"/>
        <v/>
      </c>
      <c r="L91" s="31"/>
      <c r="M91" s="31"/>
      <c r="N91" s="31"/>
    </row>
    <row r="92" spans="1:14">
      <c r="A92" s="45"/>
      <c r="B92" s="31"/>
      <c r="C92" s="31"/>
      <c r="D92" s="31"/>
      <c r="E92" s="31"/>
      <c r="F92" s="31"/>
      <c r="G92" s="31"/>
      <c r="H92" s="40"/>
      <c r="I92" s="40"/>
      <c r="J92" s="43" t="str">
        <f t="shared" si="4"/>
        <v/>
      </c>
      <c r="K92" s="37" t="str">
        <f t="shared" si="5"/>
        <v/>
      </c>
      <c r="L92" s="31"/>
      <c r="M92" s="31"/>
      <c r="N92" s="31"/>
    </row>
    <row r="93" spans="1:14">
      <c r="A93" s="45"/>
      <c r="B93" s="31"/>
      <c r="C93" s="31"/>
      <c r="D93" s="31"/>
      <c r="E93" s="31"/>
      <c r="F93" s="31"/>
      <c r="G93" s="31"/>
      <c r="H93" s="40"/>
      <c r="I93" s="40"/>
      <c r="J93" s="43" t="str">
        <f t="shared" si="4"/>
        <v/>
      </c>
      <c r="K93" s="37" t="str">
        <f t="shared" si="5"/>
        <v/>
      </c>
      <c r="L93" s="31"/>
      <c r="M93" s="31"/>
      <c r="N93" s="31"/>
    </row>
    <row r="94" spans="1:14">
      <c r="A94" s="45"/>
      <c r="B94" s="31"/>
      <c r="C94" s="31"/>
      <c r="D94" s="31"/>
      <c r="E94" s="31"/>
      <c r="F94" s="31"/>
      <c r="G94" s="31"/>
      <c r="H94" s="40"/>
      <c r="I94" s="40"/>
      <c r="J94" s="43" t="str">
        <f t="shared" si="4"/>
        <v/>
      </c>
      <c r="K94" s="37" t="str">
        <f t="shared" si="5"/>
        <v/>
      </c>
      <c r="L94" s="31"/>
      <c r="M94" s="31"/>
      <c r="N94" s="31"/>
    </row>
    <row r="95" spans="1:14">
      <c r="A95" s="45"/>
      <c r="B95" s="31"/>
      <c r="C95" s="31"/>
      <c r="D95" s="31"/>
      <c r="E95" s="31"/>
      <c r="F95" s="31"/>
      <c r="G95" s="31"/>
      <c r="H95" s="40"/>
      <c r="I95" s="40"/>
      <c r="J95" s="43" t="str">
        <f t="shared" si="4"/>
        <v/>
      </c>
      <c r="K95" s="37" t="str">
        <f t="shared" si="5"/>
        <v/>
      </c>
      <c r="L95" s="31"/>
      <c r="M95" s="31"/>
      <c r="N95" s="31"/>
    </row>
    <row r="96" spans="1:14">
      <c r="A96" s="45"/>
      <c r="B96" s="31"/>
      <c r="C96" s="31"/>
      <c r="D96" s="31"/>
      <c r="E96" s="31"/>
      <c r="F96" s="31"/>
      <c r="G96" s="31"/>
      <c r="H96" s="40"/>
      <c r="I96" s="40"/>
      <c r="J96" s="43" t="str">
        <f t="shared" si="4"/>
        <v/>
      </c>
      <c r="K96" s="37" t="str">
        <f t="shared" si="5"/>
        <v/>
      </c>
      <c r="L96" s="31"/>
      <c r="M96" s="31"/>
      <c r="N96" s="31"/>
    </row>
    <row r="97" spans="1:14">
      <c r="A97" s="45"/>
      <c r="B97" s="31"/>
      <c r="C97" s="31"/>
      <c r="D97" s="31"/>
      <c r="E97" s="31"/>
      <c r="F97" s="31"/>
      <c r="G97" s="31"/>
      <c r="H97" s="40"/>
      <c r="I97" s="40"/>
      <c r="J97" s="43" t="str">
        <f t="shared" si="4"/>
        <v/>
      </c>
      <c r="K97" s="37" t="str">
        <f t="shared" si="5"/>
        <v/>
      </c>
      <c r="L97" s="31"/>
      <c r="M97" s="31"/>
      <c r="N97" s="31"/>
    </row>
    <row r="98" spans="1:14">
      <c r="A98" s="45"/>
      <c r="B98" s="31"/>
      <c r="C98" s="31"/>
      <c r="D98" s="31"/>
      <c r="E98" s="31"/>
      <c r="F98" s="31"/>
      <c r="G98" s="31"/>
      <c r="H98" s="40"/>
      <c r="I98" s="40"/>
      <c r="J98" s="43" t="str">
        <f t="shared" si="4"/>
        <v/>
      </c>
      <c r="K98" s="37" t="str">
        <f t="shared" si="5"/>
        <v/>
      </c>
      <c r="L98" s="31"/>
      <c r="M98" s="31"/>
      <c r="N98" s="31"/>
    </row>
    <row r="99" spans="1:14">
      <c r="A99" s="45"/>
      <c r="B99" s="31"/>
      <c r="C99" s="31"/>
      <c r="D99" s="31"/>
      <c r="E99" s="31"/>
      <c r="F99" s="31"/>
      <c r="G99" s="31"/>
      <c r="H99" s="40"/>
      <c r="I99" s="40"/>
      <c r="J99" s="43" t="str">
        <f t="shared" si="4"/>
        <v/>
      </c>
      <c r="K99" s="37" t="str">
        <f t="shared" si="5"/>
        <v/>
      </c>
      <c r="L99" s="31"/>
      <c r="M99" s="31"/>
      <c r="N99" s="31"/>
    </row>
    <row r="100" spans="1:14">
      <c r="A100" s="45"/>
      <c r="B100" s="31"/>
      <c r="C100" s="31"/>
      <c r="D100" s="31"/>
      <c r="E100" s="31"/>
      <c r="F100" s="31"/>
      <c r="G100" s="31"/>
      <c r="H100" s="40"/>
      <c r="I100" s="40"/>
      <c r="J100" s="43" t="str">
        <f t="shared" si="4"/>
        <v/>
      </c>
      <c r="K100" s="37" t="str">
        <f t="shared" si="5"/>
        <v/>
      </c>
      <c r="L100" s="31"/>
      <c r="M100" s="31"/>
      <c r="N100" s="31"/>
    </row>
    <row r="101" spans="1:14">
      <c r="A101" s="45"/>
      <c r="B101" s="31"/>
      <c r="C101" s="31"/>
      <c r="D101" s="31"/>
      <c r="E101" s="31"/>
      <c r="F101" s="31"/>
      <c r="G101" s="31"/>
      <c r="H101" s="40"/>
      <c r="I101" s="40"/>
      <c r="J101" s="43"/>
      <c r="K101" s="37"/>
      <c r="L101" s="31"/>
      <c r="M101" s="31"/>
      <c r="N101" s="3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N41"/>
  <sheetViews>
    <sheetView workbookViewId="0"/>
  </sheetViews>
  <sheetFormatPr defaultRowHeight="13.8"/>
  <cols>
    <col min="1" max="1" width="18" customWidth="1"/>
    <col min="2" max="2" width="28" customWidth="1"/>
    <col min="3" max="8" width="16" customWidth="1"/>
    <col min="9" max="13" width="18" customWidth="1"/>
    <col min="14" max="14" width="24" customWidth="1"/>
  </cols>
  <sheetData>
    <row r="1" spans="1:14">
      <c r="A1" s="67" t="s">
        <v>529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530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30" t="s">
        <v>436</v>
      </c>
      <c r="B4" s="30" t="s">
        <v>69</v>
      </c>
      <c r="C4" s="30" t="s">
        <v>11</v>
      </c>
      <c r="D4" s="30" t="s">
        <v>12</v>
      </c>
      <c r="E4" s="30" t="s">
        <v>13</v>
      </c>
      <c r="F4" s="30" t="s">
        <v>471</v>
      </c>
      <c r="G4" s="30" t="s">
        <v>439</v>
      </c>
      <c r="H4" s="30" t="s">
        <v>74</v>
      </c>
      <c r="I4" s="30" t="s">
        <v>531</v>
      </c>
      <c r="J4" s="30" t="s">
        <v>532</v>
      </c>
      <c r="K4" s="30" t="s">
        <v>533</v>
      </c>
      <c r="L4" s="30" t="s">
        <v>534</v>
      </c>
      <c r="M4" s="30" t="s">
        <v>535</v>
      </c>
      <c r="N4" s="30" t="s">
        <v>343</v>
      </c>
    </row>
    <row r="5" spans="1:14">
      <c r="A5" s="31" t="s">
        <v>441</v>
      </c>
      <c r="B5" s="31" t="s">
        <v>77</v>
      </c>
      <c r="C5" s="31">
        <v>3.9</v>
      </c>
      <c r="D5" s="46">
        <v>0.55000000000000004</v>
      </c>
      <c r="E5" s="46">
        <v>0.18</v>
      </c>
      <c r="F5" s="46">
        <v>0.12</v>
      </c>
      <c r="G5" s="31" t="s">
        <v>536</v>
      </c>
      <c r="H5" s="31">
        <v>2</v>
      </c>
      <c r="I5" s="33" t="str">
        <f t="shared" ref="I5:I40" si="0">IF(A5="","",IF(C5&gt;10,"Punainen",IF(C5&gt;9,"Keltainen","OK")))</f>
        <v>OK</v>
      </c>
      <c r="J5" s="33" t="str">
        <f t="shared" ref="J5:J40" si="1">IF(A5="","",IF(D5&lt;0.7,"Keltainen",IF(D5&gt;0.95,"Keltainen","OK")))</f>
        <v>Keltainen</v>
      </c>
      <c r="K5" s="33" t="str">
        <f t="shared" ref="K5:K40" si="2">IF(A5="","",IF(E5&lt;0.12,"Punainen",IF(E5&lt;0.15,"Keltainen","OK")))</f>
        <v>OK</v>
      </c>
      <c r="L5" s="33" t="str">
        <f t="shared" ref="L5:L40" si="3">IF(A5="","",IF(F5&gt;0.18,"Punainen",IF(F5&gt;0.15,"Keltainen","OK")))</f>
        <v>OK</v>
      </c>
      <c r="M5" s="33" t="str">
        <f t="shared" ref="M5:M40" si="4">IF(A5="","",IF(OR(I5="Punainen",K5="Punainen",L5="Punainen",G5="Myöhässä",H5&gt;=6),"Punainen",IF(OR(I5="Keltainen",J5="Keltainen",K5="Keltainen",L5="Keltainen"),"Keltainen","OK")))</f>
        <v>Keltainen</v>
      </c>
      <c r="N5" s="33" t="str">
        <f t="shared" ref="N5:N40" si="5">IF(A5="","",IF(M5="Punainen","Tarkista ennen ajoon vapautusta",IF(M5="Keltainen","Seuraa / varmista","OK")))</f>
        <v>Seuraa / varmista</v>
      </c>
    </row>
    <row r="6" spans="1:14" ht="27.6">
      <c r="A6" s="31" t="s">
        <v>442</v>
      </c>
      <c r="B6" s="31" t="s">
        <v>443</v>
      </c>
      <c r="C6" s="31">
        <v>8</v>
      </c>
      <c r="D6" s="46">
        <v>0.91</v>
      </c>
      <c r="E6" s="46">
        <v>0.16</v>
      </c>
      <c r="F6" s="46">
        <v>0.19</v>
      </c>
      <c r="G6" s="31" t="s">
        <v>536</v>
      </c>
      <c r="H6" s="31">
        <v>4</v>
      </c>
      <c r="I6" s="33" t="str">
        <f t="shared" si="0"/>
        <v>OK</v>
      </c>
      <c r="J6" s="33" t="str">
        <f t="shared" si="1"/>
        <v>OK</v>
      </c>
      <c r="K6" s="33" t="str">
        <f t="shared" si="2"/>
        <v>OK</v>
      </c>
      <c r="L6" s="33" t="str">
        <f t="shared" si="3"/>
        <v>Punainen</v>
      </c>
      <c r="M6" s="33" t="str">
        <f t="shared" si="4"/>
        <v>Punainen</v>
      </c>
      <c r="N6" s="33" t="str">
        <f t="shared" si="5"/>
        <v>Tarkista ennen ajoon vapautusta</v>
      </c>
    </row>
    <row r="7" spans="1:14" ht="27.6">
      <c r="A7" s="31" t="s">
        <v>444</v>
      </c>
      <c r="B7" s="31" t="s">
        <v>445</v>
      </c>
      <c r="C7" s="31">
        <v>10.5</v>
      </c>
      <c r="D7" s="46">
        <v>0.72</v>
      </c>
      <c r="E7" s="46">
        <v>0.11</v>
      </c>
      <c r="F7" s="46">
        <v>0.22</v>
      </c>
      <c r="G7" s="31" t="s">
        <v>537</v>
      </c>
      <c r="H7" s="31">
        <v>6</v>
      </c>
      <c r="I7" s="33" t="str">
        <f t="shared" si="0"/>
        <v>Punainen</v>
      </c>
      <c r="J7" s="33" t="str">
        <f t="shared" si="1"/>
        <v>OK</v>
      </c>
      <c r="K7" s="33" t="str">
        <f t="shared" si="2"/>
        <v>Punainen</v>
      </c>
      <c r="L7" s="33" t="str">
        <f t="shared" si="3"/>
        <v>Punainen</v>
      </c>
      <c r="M7" s="33" t="str">
        <f t="shared" si="4"/>
        <v>Punainen</v>
      </c>
      <c r="N7" s="33" t="str">
        <f t="shared" si="5"/>
        <v>Tarkista ennen ajoon vapautusta</v>
      </c>
    </row>
    <row r="8" spans="1:14">
      <c r="A8" s="31"/>
      <c r="B8" s="31"/>
      <c r="C8" s="31"/>
      <c r="D8" s="46"/>
      <c r="E8" s="46"/>
      <c r="F8" s="46"/>
      <c r="G8" s="31"/>
      <c r="H8" s="31"/>
      <c r="I8" s="33" t="str">
        <f t="shared" si="0"/>
        <v/>
      </c>
      <c r="J8" s="33" t="str">
        <f t="shared" si="1"/>
        <v/>
      </c>
      <c r="K8" s="33" t="str">
        <f t="shared" si="2"/>
        <v/>
      </c>
      <c r="L8" s="33" t="str">
        <f t="shared" si="3"/>
        <v/>
      </c>
      <c r="M8" s="33" t="str">
        <f t="shared" si="4"/>
        <v/>
      </c>
      <c r="N8" s="33" t="str">
        <f t="shared" si="5"/>
        <v/>
      </c>
    </row>
    <row r="9" spans="1:14">
      <c r="A9" s="31"/>
      <c r="B9" s="31"/>
      <c r="C9" s="31"/>
      <c r="D9" s="46"/>
      <c r="E9" s="46"/>
      <c r="F9" s="46"/>
      <c r="G9" s="31"/>
      <c r="H9" s="31"/>
      <c r="I9" s="33" t="str">
        <f t="shared" si="0"/>
        <v/>
      </c>
      <c r="J9" s="33" t="str">
        <f t="shared" si="1"/>
        <v/>
      </c>
      <c r="K9" s="33" t="str">
        <f t="shared" si="2"/>
        <v/>
      </c>
      <c r="L9" s="33" t="str">
        <f t="shared" si="3"/>
        <v/>
      </c>
      <c r="M9" s="33" t="str">
        <f t="shared" si="4"/>
        <v/>
      </c>
      <c r="N9" s="33" t="str">
        <f t="shared" si="5"/>
        <v/>
      </c>
    </row>
    <row r="10" spans="1:14">
      <c r="A10" s="31"/>
      <c r="B10" s="31"/>
      <c r="C10" s="31"/>
      <c r="D10" s="46"/>
      <c r="E10" s="46"/>
      <c r="F10" s="46"/>
      <c r="G10" s="31"/>
      <c r="H10" s="31"/>
      <c r="I10" s="33" t="str">
        <f t="shared" si="0"/>
        <v/>
      </c>
      <c r="J10" s="33" t="str">
        <f t="shared" si="1"/>
        <v/>
      </c>
      <c r="K10" s="33" t="str">
        <f t="shared" si="2"/>
        <v/>
      </c>
      <c r="L10" s="33" t="str">
        <f t="shared" si="3"/>
        <v/>
      </c>
      <c r="M10" s="33" t="str">
        <f t="shared" si="4"/>
        <v/>
      </c>
      <c r="N10" s="33" t="str">
        <f t="shared" si="5"/>
        <v/>
      </c>
    </row>
    <row r="11" spans="1:14">
      <c r="A11" s="31"/>
      <c r="B11" s="31"/>
      <c r="C11" s="31"/>
      <c r="D11" s="46"/>
      <c r="E11" s="46"/>
      <c r="F11" s="46"/>
      <c r="G11" s="31"/>
      <c r="H11" s="31"/>
      <c r="I11" s="33" t="str">
        <f t="shared" si="0"/>
        <v/>
      </c>
      <c r="J11" s="33" t="str">
        <f t="shared" si="1"/>
        <v/>
      </c>
      <c r="K11" s="33" t="str">
        <f t="shared" si="2"/>
        <v/>
      </c>
      <c r="L11" s="33" t="str">
        <f t="shared" si="3"/>
        <v/>
      </c>
      <c r="M11" s="33" t="str">
        <f t="shared" si="4"/>
        <v/>
      </c>
      <c r="N11" s="33" t="str">
        <f t="shared" si="5"/>
        <v/>
      </c>
    </row>
    <row r="12" spans="1:14">
      <c r="A12" s="31"/>
      <c r="B12" s="31"/>
      <c r="C12" s="31"/>
      <c r="D12" s="46"/>
      <c r="E12" s="46"/>
      <c r="F12" s="46"/>
      <c r="G12" s="31"/>
      <c r="H12" s="31"/>
      <c r="I12" s="33" t="str">
        <f t="shared" si="0"/>
        <v/>
      </c>
      <c r="J12" s="33" t="str">
        <f t="shared" si="1"/>
        <v/>
      </c>
      <c r="K12" s="33" t="str">
        <f t="shared" si="2"/>
        <v/>
      </c>
      <c r="L12" s="33" t="str">
        <f t="shared" si="3"/>
        <v/>
      </c>
      <c r="M12" s="33" t="str">
        <f t="shared" si="4"/>
        <v/>
      </c>
      <c r="N12" s="33" t="str">
        <f t="shared" si="5"/>
        <v/>
      </c>
    </row>
    <row r="13" spans="1:14">
      <c r="A13" s="31"/>
      <c r="B13" s="31"/>
      <c r="C13" s="31"/>
      <c r="D13" s="46"/>
      <c r="E13" s="46"/>
      <c r="F13" s="46"/>
      <c r="G13" s="31"/>
      <c r="H13" s="31"/>
      <c r="I13" s="33" t="str">
        <f t="shared" si="0"/>
        <v/>
      </c>
      <c r="J13" s="33" t="str">
        <f t="shared" si="1"/>
        <v/>
      </c>
      <c r="K13" s="33" t="str">
        <f t="shared" si="2"/>
        <v/>
      </c>
      <c r="L13" s="33" t="str">
        <f t="shared" si="3"/>
        <v/>
      </c>
      <c r="M13" s="33" t="str">
        <f t="shared" si="4"/>
        <v/>
      </c>
      <c r="N13" s="33" t="str">
        <f t="shared" si="5"/>
        <v/>
      </c>
    </row>
    <row r="14" spans="1:14">
      <c r="A14" s="31"/>
      <c r="B14" s="31"/>
      <c r="C14" s="31"/>
      <c r="D14" s="46"/>
      <c r="E14" s="46"/>
      <c r="F14" s="46"/>
      <c r="G14" s="31"/>
      <c r="H14" s="31"/>
      <c r="I14" s="33" t="str">
        <f t="shared" si="0"/>
        <v/>
      </c>
      <c r="J14" s="33" t="str">
        <f t="shared" si="1"/>
        <v/>
      </c>
      <c r="K14" s="33" t="str">
        <f t="shared" si="2"/>
        <v/>
      </c>
      <c r="L14" s="33" t="str">
        <f t="shared" si="3"/>
        <v/>
      </c>
      <c r="M14" s="33" t="str">
        <f t="shared" si="4"/>
        <v/>
      </c>
      <c r="N14" s="33" t="str">
        <f t="shared" si="5"/>
        <v/>
      </c>
    </row>
    <row r="15" spans="1:14">
      <c r="A15" s="31"/>
      <c r="B15" s="31"/>
      <c r="C15" s="31"/>
      <c r="D15" s="46"/>
      <c r="E15" s="46"/>
      <c r="F15" s="46"/>
      <c r="G15" s="31"/>
      <c r="H15" s="31"/>
      <c r="I15" s="33" t="str">
        <f t="shared" si="0"/>
        <v/>
      </c>
      <c r="J15" s="33" t="str">
        <f t="shared" si="1"/>
        <v/>
      </c>
      <c r="K15" s="33" t="str">
        <f t="shared" si="2"/>
        <v/>
      </c>
      <c r="L15" s="33" t="str">
        <f t="shared" si="3"/>
        <v/>
      </c>
      <c r="M15" s="33" t="str">
        <f t="shared" si="4"/>
        <v/>
      </c>
      <c r="N15" s="33" t="str">
        <f t="shared" si="5"/>
        <v/>
      </c>
    </row>
    <row r="16" spans="1:14">
      <c r="A16" s="31"/>
      <c r="B16" s="31"/>
      <c r="C16" s="31"/>
      <c r="D16" s="46"/>
      <c r="E16" s="46"/>
      <c r="F16" s="46"/>
      <c r="G16" s="31"/>
      <c r="H16" s="31"/>
      <c r="I16" s="33" t="str">
        <f t="shared" si="0"/>
        <v/>
      </c>
      <c r="J16" s="33" t="str">
        <f t="shared" si="1"/>
        <v/>
      </c>
      <c r="K16" s="33" t="str">
        <f t="shared" si="2"/>
        <v/>
      </c>
      <c r="L16" s="33" t="str">
        <f t="shared" si="3"/>
        <v/>
      </c>
      <c r="M16" s="33" t="str">
        <f t="shared" si="4"/>
        <v/>
      </c>
      <c r="N16" s="33" t="str">
        <f t="shared" si="5"/>
        <v/>
      </c>
    </row>
    <row r="17" spans="1:14">
      <c r="A17" s="31"/>
      <c r="B17" s="31"/>
      <c r="C17" s="31"/>
      <c r="D17" s="46"/>
      <c r="E17" s="46"/>
      <c r="F17" s="46"/>
      <c r="G17" s="31"/>
      <c r="H17" s="31"/>
      <c r="I17" s="33" t="str">
        <f t="shared" si="0"/>
        <v/>
      </c>
      <c r="J17" s="33" t="str">
        <f t="shared" si="1"/>
        <v/>
      </c>
      <c r="K17" s="33" t="str">
        <f t="shared" si="2"/>
        <v/>
      </c>
      <c r="L17" s="33" t="str">
        <f t="shared" si="3"/>
        <v/>
      </c>
      <c r="M17" s="33" t="str">
        <f t="shared" si="4"/>
        <v/>
      </c>
      <c r="N17" s="33" t="str">
        <f t="shared" si="5"/>
        <v/>
      </c>
    </row>
    <row r="18" spans="1:14">
      <c r="A18" s="31"/>
      <c r="B18" s="31"/>
      <c r="C18" s="31"/>
      <c r="D18" s="46"/>
      <c r="E18" s="46"/>
      <c r="F18" s="46"/>
      <c r="G18" s="31"/>
      <c r="H18" s="31"/>
      <c r="I18" s="33" t="str">
        <f t="shared" si="0"/>
        <v/>
      </c>
      <c r="J18" s="33" t="str">
        <f t="shared" si="1"/>
        <v/>
      </c>
      <c r="K18" s="33" t="str">
        <f t="shared" si="2"/>
        <v/>
      </c>
      <c r="L18" s="33" t="str">
        <f t="shared" si="3"/>
        <v/>
      </c>
      <c r="M18" s="33" t="str">
        <f t="shared" si="4"/>
        <v/>
      </c>
      <c r="N18" s="33" t="str">
        <f t="shared" si="5"/>
        <v/>
      </c>
    </row>
    <row r="19" spans="1:14">
      <c r="A19" s="31"/>
      <c r="B19" s="31"/>
      <c r="C19" s="31"/>
      <c r="D19" s="46"/>
      <c r="E19" s="46"/>
      <c r="F19" s="46"/>
      <c r="G19" s="31"/>
      <c r="H19" s="31"/>
      <c r="I19" s="33" t="str">
        <f t="shared" si="0"/>
        <v/>
      </c>
      <c r="J19" s="33" t="str">
        <f t="shared" si="1"/>
        <v/>
      </c>
      <c r="K19" s="33" t="str">
        <f t="shared" si="2"/>
        <v/>
      </c>
      <c r="L19" s="33" t="str">
        <f t="shared" si="3"/>
        <v/>
      </c>
      <c r="M19" s="33" t="str">
        <f t="shared" si="4"/>
        <v/>
      </c>
      <c r="N19" s="33" t="str">
        <f t="shared" si="5"/>
        <v/>
      </c>
    </row>
    <row r="20" spans="1:14">
      <c r="A20" s="31"/>
      <c r="B20" s="31"/>
      <c r="C20" s="31"/>
      <c r="D20" s="46"/>
      <c r="E20" s="46"/>
      <c r="F20" s="46"/>
      <c r="G20" s="31"/>
      <c r="H20" s="31"/>
      <c r="I20" s="33" t="str">
        <f t="shared" si="0"/>
        <v/>
      </c>
      <c r="J20" s="33" t="str">
        <f t="shared" si="1"/>
        <v/>
      </c>
      <c r="K20" s="33" t="str">
        <f t="shared" si="2"/>
        <v/>
      </c>
      <c r="L20" s="33" t="str">
        <f t="shared" si="3"/>
        <v/>
      </c>
      <c r="M20" s="33" t="str">
        <f t="shared" si="4"/>
        <v/>
      </c>
      <c r="N20" s="33" t="str">
        <f t="shared" si="5"/>
        <v/>
      </c>
    </row>
    <row r="21" spans="1:14">
      <c r="A21" s="31"/>
      <c r="B21" s="31"/>
      <c r="C21" s="31"/>
      <c r="D21" s="46"/>
      <c r="E21" s="46"/>
      <c r="F21" s="46"/>
      <c r="G21" s="31"/>
      <c r="H21" s="31"/>
      <c r="I21" s="33" t="str">
        <f t="shared" si="0"/>
        <v/>
      </c>
      <c r="J21" s="33" t="str">
        <f t="shared" si="1"/>
        <v/>
      </c>
      <c r="K21" s="33" t="str">
        <f t="shared" si="2"/>
        <v/>
      </c>
      <c r="L21" s="33" t="str">
        <f t="shared" si="3"/>
        <v/>
      </c>
      <c r="M21" s="33" t="str">
        <f t="shared" si="4"/>
        <v/>
      </c>
      <c r="N21" s="33" t="str">
        <f t="shared" si="5"/>
        <v/>
      </c>
    </row>
    <row r="22" spans="1:14">
      <c r="A22" s="31"/>
      <c r="B22" s="31"/>
      <c r="C22" s="31"/>
      <c r="D22" s="46"/>
      <c r="E22" s="46"/>
      <c r="F22" s="46"/>
      <c r="G22" s="31"/>
      <c r="H22" s="31"/>
      <c r="I22" s="33" t="str">
        <f t="shared" si="0"/>
        <v/>
      </c>
      <c r="J22" s="33" t="str">
        <f t="shared" si="1"/>
        <v/>
      </c>
      <c r="K22" s="33" t="str">
        <f t="shared" si="2"/>
        <v/>
      </c>
      <c r="L22" s="33" t="str">
        <f t="shared" si="3"/>
        <v/>
      </c>
      <c r="M22" s="33" t="str">
        <f t="shared" si="4"/>
        <v/>
      </c>
      <c r="N22" s="33" t="str">
        <f t="shared" si="5"/>
        <v/>
      </c>
    </row>
    <row r="23" spans="1:14">
      <c r="A23" s="31"/>
      <c r="B23" s="31"/>
      <c r="C23" s="31"/>
      <c r="D23" s="46"/>
      <c r="E23" s="46"/>
      <c r="F23" s="46"/>
      <c r="G23" s="31"/>
      <c r="H23" s="31"/>
      <c r="I23" s="33" t="str">
        <f t="shared" si="0"/>
        <v/>
      </c>
      <c r="J23" s="33" t="str">
        <f t="shared" si="1"/>
        <v/>
      </c>
      <c r="K23" s="33" t="str">
        <f t="shared" si="2"/>
        <v/>
      </c>
      <c r="L23" s="33" t="str">
        <f t="shared" si="3"/>
        <v/>
      </c>
      <c r="M23" s="33" t="str">
        <f t="shared" si="4"/>
        <v/>
      </c>
      <c r="N23" s="33" t="str">
        <f t="shared" si="5"/>
        <v/>
      </c>
    </row>
    <row r="24" spans="1:14">
      <c r="A24" s="31"/>
      <c r="B24" s="31"/>
      <c r="C24" s="31"/>
      <c r="D24" s="46"/>
      <c r="E24" s="46"/>
      <c r="F24" s="46"/>
      <c r="G24" s="31"/>
      <c r="H24" s="31"/>
      <c r="I24" s="33" t="str">
        <f t="shared" si="0"/>
        <v/>
      </c>
      <c r="J24" s="33" t="str">
        <f t="shared" si="1"/>
        <v/>
      </c>
      <c r="K24" s="33" t="str">
        <f t="shared" si="2"/>
        <v/>
      </c>
      <c r="L24" s="33" t="str">
        <f t="shared" si="3"/>
        <v/>
      </c>
      <c r="M24" s="33" t="str">
        <f t="shared" si="4"/>
        <v/>
      </c>
      <c r="N24" s="33" t="str">
        <f t="shared" si="5"/>
        <v/>
      </c>
    </row>
    <row r="25" spans="1:14">
      <c r="A25" s="31"/>
      <c r="B25" s="31"/>
      <c r="C25" s="31"/>
      <c r="D25" s="46"/>
      <c r="E25" s="46"/>
      <c r="F25" s="46"/>
      <c r="G25" s="31"/>
      <c r="H25" s="31"/>
      <c r="I25" s="33" t="str">
        <f t="shared" si="0"/>
        <v/>
      </c>
      <c r="J25" s="33" t="str">
        <f t="shared" si="1"/>
        <v/>
      </c>
      <c r="K25" s="33" t="str">
        <f t="shared" si="2"/>
        <v/>
      </c>
      <c r="L25" s="33" t="str">
        <f t="shared" si="3"/>
        <v/>
      </c>
      <c r="M25" s="33" t="str">
        <f t="shared" si="4"/>
        <v/>
      </c>
      <c r="N25" s="33" t="str">
        <f t="shared" si="5"/>
        <v/>
      </c>
    </row>
    <row r="26" spans="1:14">
      <c r="A26" s="31"/>
      <c r="B26" s="31"/>
      <c r="C26" s="31"/>
      <c r="D26" s="46"/>
      <c r="E26" s="46"/>
      <c r="F26" s="46"/>
      <c r="G26" s="31"/>
      <c r="H26" s="31"/>
      <c r="I26" s="33" t="str">
        <f t="shared" si="0"/>
        <v/>
      </c>
      <c r="J26" s="33" t="str">
        <f t="shared" si="1"/>
        <v/>
      </c>
      <c r="K26" s="33" t="str">
        <f t="shared" si="2"/>
        <v/>
      </c>
      <c r="L26" s="33" t="str">
        <f t="shared" si="3"/>
        <v/>
      </c>
      <c r="M26" s="33" t="str">
        <f t="shared" si="4"/>
        <v/>
      </c>
      <c r="N26" s="33" t="str">
        <f t="shared" si="5"/>
        <v/>
      </c>
    </row>
    <row r="27" spans="1:14">
      <c r="A27" s="31"/>
      <c r="B27" s="31"/>
      <c r="C27" s="31"/>
      <c r="D27" s="46"/>
      <c r="E27" s="46"/>
      <c r="F27" s="46"/>
      <c r="G27" s="31"/>
      <c r="H27" s="31"/>
      <c r="I27" s="33" t="str">
        <f t="shared" si="0"/>
        <v/>
      </c>
      <c r="J27" s="33" t="str">
        <f t="shared" si="1"/>
        <v/>
      </c>
      <c r="K27" s="33" t="str">
        <f t="shared" si="2"/>
        <v/>
      </c>
      <c r="L27" s="33" t="str">
        <f t="shared" si="3"/>
        <v/>
      </c>
      <c r="M27" s="33" t="str">
        <f t="shared" si="4"/>
        <v/>
      </c>
      <c r="N27" s="33" t="str">
        <f t="shared" si="5"/>
        <v/>
      </c>
    </row>
    <row r="28" spans="1:14">
      <c r="A28" s="31"/>
      <c r="B28" s="31"/>
      <c r="C28" s="31"/>
      <c r="D28" s="46"/>
      <c r="E28" s="46"/>
      <c r="F28" s="46"/>
      <c r="G28" s="31"/>
      <c r="H28" s="31"/>
      <c r="I28" s="33" t="str">
        <f t="shared" si="0"/>
        <v/>
      </c>
      <c r="J28" s="33" t="str">
        <f t="shared" si="1"/>
        <v/>
      </c>
      <c r="K28" s="33" t="str">
        <f t="shared" si="2"/>
        <v/>
      </c>
      <c r="L28" s="33" t="str">
        <f t="shared" si="3"/>
        <v/>
      </c>
      <c r="M28" s="33" t="str">
        <f t="shared" si="4"/>
        <v/>
      </c>
      <c r="N28" s="33" t="str">
        <f t="shared" si="5"/>
        <v/>
      </c>
    </row>
    <row r="29" spans="1:14">
      <c r="A29" s="31"/>
      <c r="B29" s="31"/>
      <c r="C29" s="31"/>
      <c r="D29" s="46"/>
      <c r="E29" s="46"/>
      <c r="F29" s="46"/>
      <c r="G29" s="31"/>
      <c r="H29" s="31"/>
      <c r="I29" s="33" t="str">
        <f t="shared" si="0"/>
        <v/>
      </c>
      <c r="J29" s="33" t="str">
        <f t="shared" si="1"/>
        <v/>
      </c>
      <c r="K29" s="33" t="str">
        <f t="shared" si="2"/>
        <v/>
      </c>
      <c r="L29" s="33" t="str">
        <f t="shared" si="3"/>
        <v/>
      </c>
      <c r="M29" s="33" t="str">
        <f t="shared" si="4"/>
        <v/>
      </c>
      <c r="N29" s="33" t="str">
        <f t="shared" si="5"/>
        <v/>
      </c>
    </row>
    <row r="30" spans="1:14">
      <c r="A30" s="31"/>
      <c r="B30" s="31"/>
      <c r="C30" s="31"/>
      <c r="D30" s="46"/>
      <c r="E30" s="46"/>
      <c r="F30" s="46"/>
      <c r="G30" s="31"/>
      <c r="H30" s="31"/>
      <c r="I30" s="33" t="str">
        <f t="shared" si="0"/>
        <v/>
      </c>
      <c r="J30" s="33" t="str">
        <f t="shared" si="1"/>
        <v/>
      </c>
      <c r="K30" s="33" t="str">
        <f t="shared" si="2"/>
        <v/>
      </c>
      <c r="L30" s="33" t="str">
        <f t="shared" si="3"/>
        <v/>
      </c>
      <c r="M30" s="33" t="str">
        <f t="shared" si="4"/>
        <v/>
      </c>
      <c r="N30" s="33" t="str">
        <f t="shared" si="5"/>
        <v/>
      </c>
    </row>
    <row r="31" spans="1:14">
      <c r="A31" s="31"/>
      <c r="B31" s="31"/>
      <c r="C31" s="31"/>
      <c r="D31" s="46"/>
      <c r="E31" s="46"/>
      <c r="F31" s="46"/>
      <c r="G31" s="31"/>
      <c r="H31" s="31"/>
      <c r="I31" s="33" t="str">
        <f t="shared" si="0"/>
        <v/>
      </c>
      <c r="J31" s="33" t="str">
        <f t="shared" si="1"/>
        <v/>
      </c>
      <c r="K31" s="33" t="str">
        <f t="shared" si="2"/>
        <v/>
      </c>
      <c r="L31" s="33" t="str">
        <f t="shared" si="3"/>
        <v/>
      </c>
      <c r="M31" s="33" t="str">
        <f t="shared" si="4"/>
        <v/>
      </c>
      <c r="N31" s="33" t="str">
        <f t="shared" si="5"/>
        <v/>
      </c>
    </row>
    <row r="32" spans="1:14">
      <c r="A32" s="31"/>
      <c r="B32" s="31"/>
      <c r="C32" s="31"/>
      <c r="D32" s="46"/>
      <c r="E32" s="46"/>
      <c r="F32" s="46"/>
      <c r="G32" s="31"/>
      <c r="H32" s="31"/>
      <c r="I32" s="33" t="str">
        <f t="shared" si="0"/>
        <v/>
      </c>
      <c r="J32" s="33" t="str">
        <f t="shared" si="1"/>
        <v/>
      </c>
      <c r="K32" s="33" t="str">
        <f t="shared" si="2"/>
        <v/>
      </c>
      <c r="L32" s="33" t="str">
        <f t="shared" si="3"/>
        <v/>
      </c>
      <c r="M32" s="33" t="str">
        <f t="shared" si="4"/>
        <v/>
      </c>
      <c r="N32" s="33" t="str">
        <f t="shared" si="5"/>
        <v/>
      </c>
    </row>
    <row r="33" spans="1:14">
      <c r="A33" s="31"/>
      <c r="B33" s="31"/>
      <c r="C33" s="31"/>
      <c r="D33" s="46"/>
      <c r="E33" s="46"/>
      <c r="F33" s="46"/>
      <c r="G33" s="31"/>
      <c r="H33" s="31"/>
      <c r="I33" s="33" t="str">
        <f t="shared" si="0"/>
        <v/>
      </c>
      <c r="J33" s="33" t="str">
        <f t="shared" si="1"/>
        <v/>
      </c>
      <c r="K33" s="33" t="str">
        <f t="shared" si="2"/>
        <v/>
      </c>
      <c r="L33" s="33" t="str">
        <f t="shared" si="3"/>
        <v/>
      </c>
      <c r="M33" s="33" t="str">
        <f t="shared" si="4"/>
        <v/>
      </c>
      <c r="N33" s="33" t="str">
        <f t="shared" si="5"/>
        <v/>
      </c>
    </row>
    <row r="34" spans="1:14">
      <c r="A34" s="31"/>
      <c r="B34" s="31"/>
      <c r="C34" s="31"/>
      <c r="D34" s="46"/>
      <c r="E34" s="46"/>
      <c r="F34" s="46"/>
      <c r="G34" s="31"/>
      <c r="H34" s="31"/>
      <c r="I34" s="33" t="str">
        <f t="shared" si="0"/>
        <v/>
      </c>
      <c r="J34" s="33" t="str">
        <f t="shared" si="1"/>
        <v/>
      </c>
      <c r="K34" s="33" t="str">
        <f t="shared" si="2"/>
        <v/>
      </c>
      <c r="L34" s="33" t="str">
        <f t="shared" si="3"/>
        <v/>
      </c>
      <c r="M34" s="33" t="str">
        <f t="shared" si="4"/>
        <v/>
      </c>
      <c r="N34" s="33" t="str">
        <f t="shared" si="5"/>
        <v/>
      </c>
    </row>
    <row r="35" spans="1:14">
      <c r="A35" s="31"/>
      <c r="B35" s="31"/>
      <c r="C35" s="31"/>
      <c r="D35" s="46"/>
      <c r="E35" s="46"/>
      <c r="F35" s="46"/>
      <c r="G35" s="31"/>
      <c r="H35" s="31"/>
      <c r="I35" s="33" t="str">
        <f t="shared" si="0"/>
        <v/>
      </c>
      <c r="J35" s="33" t="str">
        <f t="shared" si="1"/>
        <v/>
      </c>
      <c r="K35" s="33" t="str">
        <f t="shared" si="2"/>
        <v/>
      </c>
      <c r="L35" s="33" t="str">
        <f t="shared" si="3"/>
        <v/>
      </c>
      <c r="M35" s="33" t="str">
        <f t="shared" si="4"/>
        <v/>
      </c>
      <c r="N35" s="33" t="str">
        <f t="shared" si="5"/>
        <v/>
      </c>
    </row>
    <row r="36" spans="1:14">
      <c r="A36" s="31"/>
      <c r="B36" s="31"/>
      <c r="C36" s="31"/>
      <c r="D36" s="46"/>
      <c r="E36" s="46"/>
      <c r="F36" s="46"/>
      <c r="G36" s="31"/>
      <c r="H36" s="31"/>
      <c r="I36" s="33" t="str">
        <f t="shared" si="0"/>
        <v/>
      </c>
      <c r="J36" s="33" t="str">
        <f t="shared" si="1"/>
        <v/>
      </c>
      <c r="K36" s="33" t="str">
        <f t="shared" si="2"/>
        <v/>
      </c>
      <c r="L36" s="33" t="str">
        <f t="shared" si="3"/>
        <v/>
      </c>
      <c r="M36" s="33" t="str">
        <f t="shared" si="4"/>
        <v/>
      </c>
      <c r="N36" s="33" t="str">
        <f t="shared" si="5"/>
        <v/>
      </c>
    </row>
    <row r="37" spans="1:14">
      <c r="A37" s="31"/>
      <c r="B37" s="31"/>
      <c r="C37" s="31"/>
      <c r="D37" s="46"/>
      <c r="E37" s="46"/>
      <c r="F37" s="46"/>
      <c r="G37" s="31"/>
      <c r="H37" s="31"/>
      <c r="I37" s="33" t="str">
        <f t="shared" si="0"/>
        <v/>
      </c>
      <c r="J37" s="33" t="str">
        <f t="shared" si="1"/>
        <v/>
      </c>
      <c r="K37" s="33" t="str">
        <f t="shared" si="2"/>
        <v/>
      </c>
      <c r="L37" s="33" t="str">
        <f t="shared" si="3"/>
        <v/>
      </c>
      <c r="M37" s="33" t="str">
        <f t="shared" si="4"/>
        <v/>
      </c>
      <c r="N37" s="33" t="str">
        <f t="shared" si="5"/>
        <v/>
      </c>
    </row>
    <row r="38" spans="1:14">
      <c r="A38" s="31"/>
      <c r="B38" s="31"/>
      <c r="C38" s="31"/>
      <c r="D38" s="46"/>
      <c r="E38" s="46"/>
      <c r="F38" s="46"/>
      <c r="G38" s="31"/>
      <c r="H38" s="31"/>
      <c r="I38" s="33" t="str">
        <f t="shared" si="0"/>
        <v/>
      </c>
      <c r="J38" s="33" t="str">
        <f t="shared" si="1"/>
        <v/>
      </c>
      <c r="K38" s="33" t="str">
        <f t="shared" si="2"/>
        <v/>
      </c>
      <c r="L38" s="33" t="str">
        <f t="shared" si="3"/>
        <v/>
      </c>
      <c r="M38" s="33" t="str">
        <f t="shared" si="4"/>
        <v/>
      </c>
      <c r="N38" s="33" t="str">
        <f t="shared" si="5"/>
        <v/>
      </c>
    </row>
    <row r="39" spans="1:14">
      <c r="A39" s="31"/>
      <c r="B39" s="31"/>
      <c r="C39" s="31"/>
      <c r="D39" s="46"/>
      <c r="E39" s="46"/>
      <c r="F39" s="46"/>
      <c r="G39" s="31"/>
      <c r="H39" s="31"/>
      <c r="I39" s="33" t="str">
        <f t="shared" si="0"/>
        <v/>
      </c>
      <c r="J39" s="33" t="str">
        <f t="shared" si="1"/>
        <v/>
      </c>
      <c r="K39" s="33" t="str">
        <f t="shared" si="2"/>
        <v/>
      </c>
      <c r="L39" s="33" t="str">
        <f t="shared" si="3"/>
        <v/>
      </c>
      <c r="M39" s="33" t="str">
        <f t="shared" si="4"/>
        <v/>
      </c>
      <c r="N39" s="33" t="str">
        <f t="shared" si="5"/>
        <v/>
      </c>
    </row>
    <row r="40" spans="1:14">
      <c r="A40" s="31"/>
      <c r="B40" s="31"/>
      <c r="C40" s="31"/>
      <c r="D40" s="46"/>
      <c r="E40" s="46"/>
      <c r="F40" s="46"/>
      <c r="G40" s="31"/>
      <c r="H40" s="31"/>
      <c r="I40" s="33" t="str">
        <f t="shared" si="0"/>
        <v/>
      </c>
      <c r="J40" s="33" t="str">
        <f t="shared" si="1"/>
        <v/>
      </c>
      <c r="K40" s="33" t="str">
        <f t="shared" si="2"/>
        <v/>
      </c>
      <c r="L40" s="33" t="str">
        <f t="shared" si="3"/>
        <v/>
      </c>
      <c r="M40" s="33" t="str">
        <f t="shared" si="4"/>
        <v/>
      </c>
      <c r="N40" s="33" t="str">
        <f t="shared" si="5"/>
        <v/>
      </c>
    </row>
    <row r="41" spans="1:14">
      <c r="A41" s="31"/>
      <c r="B41" s="31"/>
      <c r="C41" s="31"/>
      <c r="D41" s="46"/>
      <c r="E41" s="46"/>
      <c r="F41" s="46"/>
      <c r="G41" s="31"/>
      <c r="H41" s="31"/>
      <c r="I41" s="33"/>
      <c r="J41" s="33"/>
      <c r="K41" s="33"/>
      <c r="L41" s="33"/>
      <c r="M41" s="33"/>
      <c r="N41" s="33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N41"/>
  <sheetViews>
    <sheetView workbookViewId="0"/>
  </sheetViews>
  <sheetFormatPr defaultRowHeight="13.8"/>
  <cols>
    <col min="1" max="1" width="16" customWidth="1"/>
    <col min="2" max="3" width="18" customWidth="1"/>
    <col min="4" max="7" width="16" customWidth="1"/>
    <col min="8" max="9" width="18" customWidth="1"/>
    <col min="10" max="10" width="16" customWidth="1"/>
    <col min="11" max="13" width="18" customWidth="1"/>
    <col min="14" max="14" width="24" customWidth="1"/>
  </cols>
  <sheetData>
    <row r="1" spans="1:14">
      <c r="A1" s="67" t="s">
        <v>538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539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30" t="s">
        <v>297</v>
      </c>
      <c r="B4" s="30" t="s">
        <v>540</v>
      </c>
      <c r="C4" s="30" t="s">
        <v>541</v>
      </c>
      <c r="D4" s="30" t="s">
        <v>542</v>
      </c>
      <c r="E4" s="30" t="s">
        <v>543</v>
      </c>
      <c r="F4" s="30" t="s">
        <v>544</v>
      </c>
      <c r="G4" s="30" t="s">
        <v>545</v>
      </c>
      <c r="H4" s="30" t="s">
        <v>468</v>
      </c>
      <c r="I4" s="30" t="s">
        <v>469</v>
      </c>
      <c r="J4" s="30" t="s">
        <v>13</v>
      </c>
      <c r="K4" s="30" t="s">
        <v>400</v>
      </c>
      <c r="L4" s="30" t="s">
        <v>14</v>
      </c>
      <c r="M4" s="30" t="s">
        <v>546</v>
      </c>
      <c r="N4" s="30" t="s">
        <v>5</v>
      </c>
    </row>
    <row r="5" spans="1:14">
      <c r="A5" s="31" t="s">
        <v>76</v>
      </c>
      <c r="B5" s="31" t="s">
        <v>49</v>
      </c>
      <c r="C5" s="31" t="s">
        <v>56</v>
      </c>
      <c r="D5" s="31">
        <v>60.293399999999998</v>
      </c>
      <c r="E5" s="31">
        <v>25.037800000000001</v>
      </c>
      <c r="F5" s="31">
        <v>61.485100000000003</v>
      </c>
      <c r="G5" s="31">
        <v>21.7972</v>
      </c>
      <c r="H5" s="31">
        <v>290</v>
      </c>
      <c r="I5" s="31">
        <v>40</v>
      </c>
      <c r="J5" s="46">
        <v>0.18</v>
      </c>
      <c r="K5" s="47">
        <v>304.5</v>
      </c>
      <c r="L5" s="31" t="s">
        <v>319</v>
      </c>
      <c r="M5" s="31" t="s">
        <v>547</v>
      </c>
      <c r="N5" s="31"/>
    </row>
    <row r="6" spans="1:14">
      <c r="A6" s="31" t="s">
        <v>80</v>
      </c>
      <c r="B6" s="31" t="s">
        <v>49</v>
      </c>
      <c r="C6" s="31" t="s">
        <v>59</v>
      </c>
      <c r="D6" s="31">
        <v>60.293399999999998</v>
      </c>
      <c r="E6" s="31">
        <v>25.037800000000001</v>
      </c>
      <c r="F6" s="31">
        <v>65.012100000000004</v>
      </c>
      <c r="G6" s="31">
        <v>25.4651</v>
      </c>
      <c r="H6" s="31">
        <v>600</v>
      </c>
      <c r="I6" s="31">
        <v>80</v>
      </c>
      <c r="J6" s="46">
        <v>0.16</v>
      </c>
      <c r="K6" s="47">
        <v>540</v>
      </c>
      <c r="L6" s="31" t="s">
        <v>321</v>
      </c>
      <c r="M6" s="31" t="s">
        <v>547</v>
      </c>
      <c r="N6" s="31"/>
    </row>
    <row r="7" spans="1:14">
      <c r="A7" s="31" t="s">
        <v>83</v>
      </c>
      <c r="B7" s="31" t="s">
        <v>63</v>
      </c>
      <c r="C7" s="31" t="s">
        <v>548</v>
      </c>
      <c r="D7" s="31">
        <v>60.451799999999999</v>
      </c>
      <c r="E7" s="31">
        <v>22.2666</v>
      </c>
      <c r="F7" s="31">
        <v>61.130899999999997</v>
      </c>
      <c r="G7" s="31">
        <v>21.5059</v>
      </c>
      <c r="H7" s="31">
        <v>95</v>
      </c>
      <c r="I7" s="31">
        <v>15</v>
      </c>
      <c r="J7" s="46">
        <v>0.24</v>
      </c>
      <c r="K7" s="47">
        <v>85.5</v>
      </c>
      <c r="L7" s="31" t="s">
        <v>319</v>
      </c>
      <c r="M7" s="31" t="s">
        <v>547</v>
      </c>
      <c r="N7" s="31"/>
    </row>
    <row r="8" spans="1:14">
      <c r="A8" s="31" t="s">
        <v>87</v>
      </c>
      <c r="B8" s="31" t="s">
        <v>49</v>
      </c>
      <c r="C8" s="31" t="s">
        <v>549</v>
      </c>
      <c r="D8" s="31">
        <v>60.293399999999998</v>
      </c>
      <c r="E8" s="31">
        <v>25.037800000000001</v>
      </c>
      <c r="F8" s="31">
        <v>52.132599999999996</v>
      </c>
      <c r="G8" s="31">
        <v>5.2912999999999997</v>
      </c>
      <c r="H8" s="31">
        <v>590</v>
      </c>
      <c r="I8" s="31">
        <v>70</v>
      </c>
      <c r="J8" s="46">
        <v>0.14000000000000001</v>
      </c>
      <c r="K8" s="47">
        <v>678.5</v>
      </c>
      <c r="L8" s="31" t="s">
        <v>324</v>
      </c>
      <c r="M8" s="31" t="s">
        <v>547</v>
      </c>
      <c r="N8" s="31" t="s">
        <v>550</v>
      </c>
    </row>
    <row r="9" spans="1:14">
      <c r="A9" s="31"/>
      <c r="B9" s="31"/>
      <c r="C9" s="31"/>
      <c r="D9" s="31"/>
      <c r="E9" s="31"/>
      <c r="F9" s="31"/>
      <c r="G9" s="31"/>
      <c r="H9" s="31"/>
      <c r="I9" s="31"/>
      <c r="J9" s="46"/>
      <c r="K9" s="47"/>
      <c r="L9" s="31"/>
      <c r="M9" s="31"/>
      <c r="N9" s="31"/>
    </row>
    <row r="10" spans="1:14">
      <c r="A10" s="31"/>
      <c r="B10" s="31"/>
      <c r="C10" s="31"/>
      <c r="D10" s="31"/>
      <c r="E10" s="31"/>
      <c r="F10" s="31"/>
      <c r="G10" s="31"/>
      <c r="H10" s="31"/>
      <c r="I10" s="31"/>
      <c r="J10" s="46"/>
      <c r="K10" s="47"/>
      <c r="L10" s="31"/>
      <c r="M10" s="31"/>
      <c r="N10" s="31"/>
    </row>
    <row r="11" spans="1:14">
      <c r="A11" s="31"/>
      <c r="B11" s="31"/>
      <c r="C11" s="31"/>
      <c r="D11" s="31"/>
      <c r="E11" s="31"/>
      <c r="F11" s="31"/>
      <c r="G11" s="31"/>
      <c r="H11" s="31"/>
      <c r="I11" s="31"/>
      <c r="J11" s="46"/>
      <c r="K11" s="47"/>
      <c r="L11" s="31"/>
      <c r="M11" s="31"/>
      <c r="N11" s="31"/>
    </row>
    <row r="12" spans="1:14">
      <c r="A12" s="31"/>
      <c r="B12" s="31"/>
      <c r="C12" s="31"/>
      <c r="D12" s="31"/>
      <c r="E12" s="31"/>
      <c r="F12" s="31"/>
      <c r="G12" s="31"/>
      <c r="H12" s="31"/>
      <c r="I12" s="31"/>
      <c r="J12" s="46"/>
      <c r="K12" s="47"/>
      <c r="L12" s="31"/>
      <c r="M12" s="31"/>
      <c r="N12" s="31"/>
    </row>
    <row r="13" spans="1:14">
      <c r="A13" s="31"/>
      <c r="B13" s="31"/>
      <c r="C13" s="31"/>
      <c r="D13" s="31"/>
      <c r="E13" s="31"/>
      <c r="F13" s="31"/>
      <c r="G13" s="31"/>
      <c r="H13" s="31"/>
      <c r="I13" s="31"/>
      <c r="J13" s="46"/>
      <c r="K13" s="47"/>
      <c r="L13" s="31"/>
      <c r="M13" s="31"/>
      <c r="N13" s="31"/>
    </row>
    <row r="14" spans="1:14">
      <c r="A14" s="31"/>
      <c r="B14" s="31"/>
      <c r="C14" s="31"/>
      <c r="D14" s="31"/>
      <c r="E14" s="31"/>
      <c r="F14" s="31"/>
      <c r="G14" s="31"/>
      <c r="H14" s="31"/>
      <c r="I14" s="31"/>
      <c r="J14" s="46"/>
      <c r="K14" s="47"/>
      <c r="L14" s="31"/>
      <c r="M14" s="31"/>
      <c r="N14" s="31"/>
    </row>
    <row r="15" spans="1:14">
      <c r="A15" s="31"/>
      <c r="B15" s="31"/>
      <c r="C15" s="31"/>
      <c r="D15" s="31"/>
      <c r="E15" s="31"/>
      <c r="F15" s="31"/>
      <c r="G15" s="31"/>
      <c r="H15" s="31"/>
      <c r="I15" s="31"/>
      <c r="J15" s="46"/>
      <c r="K15" s="47"/>
      <c r="L15" s="31"/>
      <c r="M15" s="31"/>
      <c r="N15" s="31"/>
    </row>
    <row r="16" spans="1:14">
      <c r="A16" s="31"/>
      <c r="B16" s="31"/>
      <c r="C16" s="31"/>
      <c r="D16" s="31"/>
      <c r="E16" s="31"/>
      <c r="F16" s="31"/>
      <c r="G16" s="31"/>
      <c r="H16" s="31"/>
      <c r="I16" s="31"/>
      <c r="J16" s="46"/>
      <c r="K16" s="47"/>
      <c r="L16" s="31"/>
      <c r="M16" s="31"/>
      <c r="N16" s="31"/>
    </row>
    <row r="17" spans="1:14">
      <c r="A17" s="31"/>
      <c r="B17" s="31"/>
      <c r="C17" s="31"/>
      <c r="D17" s="31"/>
      <c r="E17" s="31"/>
      <c r="F17" s="31"/>
      <c r="G17" s="31"/>
      <c r="H17" s="31"/>
      <c r="I17" s="31"/>
      <c r="J17" s="46"/>
      <c r="K17" s="47"/>
      <c r="L17" s="31"/>
      <c r="M17" s="31"/>
      <c r="N17" s="31"/>
    </row>
    <row r="18" spans="1:14">
      <c r="A18" s="31"/>
      <c r="B18" s="31"/>
      <c r="C18" s="31"/>
      <c r="D18" s="31"/>
      <c r="E18" s="31"/>
      <c r="F18" s="31"/>
      <c r="G18" s="31"/>
      <c r="H18" s="31"/>
      <c r="I18" s="31"/>
      <c r="J18" s="46"/>
      <c r="K18" s="47"/>
      <c r="L18" s="31"/>
      <c r="M18" s="31"/>
      <c r="N18" s="31"/>
    </row>
    <row r="19" spans="1:14">
      <c r="A19" s="31"/>
      <c r="B19" s="31"/>
      <c r="C19" s="31"/>
      <c r="D19" s="31"/>
      <c r="E19" s="31"/>
      <c r="F19" s="31"/>
      <c r="G19" s="31"/>
      <c r="H19" s="31"/>
      <c r="I19" s="31"/>
      <c r="J19" s="46"/>
      <c r="K19" s="47"/>
      <c r="L19" s="31"/>
      <c r="M19" s="31"/>
      <c r="N19" s="31"/>
    </row>
    <row r="20" spans="1:14">
      <c r="A20" s="31"/>
      <c r="B20" s="31"/>
      <c r="C20" s="31"/>
      <c r="D20" s="31"/>
      <c r="E20" s="31"/>
      <c r="F20" s="31"/>
      <c r="G20" s="31"/>
      <c r="H20" s="31"/>
      <c r="I20" s="31"/>
      <c r="J20" s="46"/>
      <c r="K20" s="47"/>
      <c r="L20" s="31"/>
      <c r="M20" s="31"/>
      <c r="N20" s="31"/>
    </row>
    <row r="21" spans="1:14">
      <c r="A21" s="31"/>
      <c r="B21" s="31"/>
      <c r="C21" s="31"/>
      <c r="D21" s="31"/>
      <c r="E21" s="31"/>
      <c r="F21" s="31"/>
      <c r="G21" s="31"/>
      <c r="H21" s="31"/>
      <c r="I21" s="31"/>
      <c r="J21" s="46"/>
      <c r="K21" s="47"/>
      <c r="L21" s="31"/>
      <c r="M21" s="31"/>
      <c r="N21" s="31"/>
    </row>
    <row r="22" spans="1:14">
      <c r="A22" s="31"/>
      <c r="B22" s="31"/>
      <c r="C22" s="31"/>
      <c r="D22" s="31"/>
      <c r="E22" s="31"/>
      <c r="F22" s="31"/>
      <c r="G22" s="31"/>
      <c r="H22" s="31"/>
      <c r="I22" s="31"/>
      <c r="J22" s="46"/>
      <c r="K22" s="47"/>
      <c r="L22" s="31"/>
      <c r="M22" s="31"/>
      <c r="N22" s="31"/>
    </row>
    <row r="23" spans="1:14">
      <c r="A23" s="31"/>
      <c r="B23" s="31"/>
      <c r="C23" s="31"/>
      <c r="D23" s="31"/>
      <c r="E23" s="31"/>
      <c r="F23" s="31"/>
      <c r="G23" s="31"/>
      <c r="H23" s="31"/>
      <c r="I23" s="31"/>
      <c r="J23" s="46"/>
      <c r="K23" s="47"/>
      <c r="L23" s="31"/>
      <c r="M23" s="31"/>
      <c r="N23" s="31"/>
    </row>
    <row r="24" spans="1:14">
      <c r="A24" s="31"/>
      <c r="B24" s="31"/>
      <c r="C24" s="31"/>
      <c r="D24" s="31"/>
      <c r="E24" s="31"/>
      <c r="F24" s="31"/>
      <c r="G24" s="31"/>
      <c r="H24" s="31"/>
      <c r="I24" s="31"/>
      <c r="J24" s="46"/>
      <c r="K24" s="47"/>
      <c r="L24" s="31"/>
      <c r="M24" s="31"/>
      <c r="N24" s="31"/>
    </row>
    <row r="25" spans="1:14">
      <c r="A25" s="31"/>
      <c r="B25" s="31"/>
      <c r="C25" s="31"/>
      <c r="D25" s="31"/>
      <c r="E25" s="31"/>
      <c r="F25" s="31"/>
      <c r="G25" s="31"/>
      <c r="H25" s="31"/>
      <c r="I25" s="31"/>
      <c r="J25" s="46"/>
      <c r="K25" s="47"/>
      <c r="L25" s="31"/>
      <c r="M25" s="31"/>
      <c r="N25" s="31"/>
    </row>
    <row r="26" spans="1:14">
      <c r="A26" s="31"/>
      <c r="B26" s="31"/>
      <c r="C26" s="31"/>
      <c r="D26" s="31"/>
      <c r="E26" s="31"/>
      <c r="F26" s="31"/>
      <c r="G26" s="31"/>
      <c r="H26" s="31"/>
      <c r="I26" s="31"/>
      <c r="J26" s="46"/>
      <c r="K26" s="47"/>
      <c r="L26" s="31"/>
      <c r="M26" s="31"/>
      <c r="N26" s="31"/>
    </row>
    <row r="27" spans="1:14">
      <c r="A27" s="31"/>
      <c r="B27" s="31"/>
      <c r="C27" s="31"/>
      <c r="D27" s="31"/>
      <c r="E27" s="31"/>
      <c r="F27" s="31"/>
      <c r="G27" s="31"/>
      <c r="H27" s="31"/>
      <c r="I27" s="31"/>
      <c r="J27" s="46"/>
      <c r="K27" s="47"/>
      <c r="L27" s="31"/>
      <c r="M27" s="31"/>
      <c r="N27" s="31"/>
    </row>
    <row r="28" spans="1:14">
      <c r="A28" s="31"/>
      <c r="B28" s="31"/>
      <c r="C28" s="31"/>
      <c r="D28" s="31"/>
      <c r="E28" s="31"/>
      <c r="F28" s="31"/>
      <c r="G28" s="31"/>
      <c r="H28" s="31"/>
      <c r="I28" s="31"/>
      <c r="J28" s="46"/>
      <c r="K28" s="47"/>
      <c r="L28" s="31"/>
      <c r="M28" s="31"/>
      <c r="N28" s="31"/>
    </row>
    <row r="29" spans="1:14">
      <c r="A29" s="31"/>
      <c r="B29" s="31"/>
      <c r="C29" s="31"/>
      <c r="D29" s="31"/>
      <c r="E29" s="31"/>
      <c r="F29" s="31"/>
      <c r="G29" s="31"/>
      <c r="H29" s="31"/>
      <c r="I29" s="31"/>
      <c r="J29" s="46"/>
      <c r="K29" s="47"/>
      <c r="L29" s="31"/>
      <c r="M29" s="31"/>
      <c r="N29" s="31"/>
    </row>
    <row r="30" spans="1:14">
      <c r="A30" s="31"/>
      <c r="B30" s="31"/>
      <c r="C30" s="31"/>
      <c r="D30" s="31"/>
      <c r="E30" s="31"/>
      <c r="F30" s="31"/>
      <c r="G30" s="31"/>
      <c r="H30" s="31"/>
      <c r="I30" s="31"/>
      <c r="J30" s="46"/>
      <c r="K30" s="47"/>
      <c r="L30" s="31"/>
      <c r="M30" s="31"/>
      <c r="N30" s="31"/>
    </row>
    <row r="31" spans="1:14">
      <c r="A31" s="31"/>
      <c r="B31" s="31"/>
      <c r="C31" s="31"/>
      <c r="D31" s="31"/>
      <c r="E31" s="31"/>
      <c r="F31" s="31"/>
      <c r="G31" s="31"/>
      <c r="H31" s="31"/>
      <c r="I31" s="31"/>
      <c r="J31" s="46"/>
      <c r="K31" s="47"/>
      <c r="L31" s="31"/>
      <c r="M31" s="31"/>
      <c r="N31" s="31"/>
    </row>
    <row r="32" spans="1:14">
      <c r="A32" s="31"/>
      <c r="B32" s="31"/>
      <c r="C32" s="31"/>
      <c r="D32" s="31"/>
      <c r="E32" s="31"/>
      <c r="F32" s="31"/>
      <c r="G32" s="31"/>
      <c r="H32" s="31"/>
      <c r="I32" s="31"/>
      <c r="J32" s="46"/>
      <c r="K32" s="47"/>
      <c r="L32" s="31"/>
      <c r="M32" s="31"/>
      <c r="N32" s="31"/>
    </row>
    <row r="33" spans="1:14">
      <c r="A33" s="31"/>
      <c r="B33" s="31"/>
      <c r="C33" s="31"/>
      <c r="D33" s="31"/>
      <c r="E33" s="31"/>
      <c r="F33" s="31"/>
      <c r="G33" s="31"/>
      <c r="H33" s="31"/>
      <c r="I33" s="31"/>
      <c r="J33" s="46"/>
      <c r="K33" s="47"/>
      <c r="L33" s="31"/>
      <c r="M33" s="31"/>
      <c r="N33" s="31"/>
    </row>
    <row r="34" spans="1:14">
      <c r="A34" s="31"/>
      <c r="B34" s="31"/>
      <c r="C34" s="31"/>
      <c r="D34" s="31"/>
      <c r="E34" s="31"/>
      <c r="F34" s="31"/>
      <c r="G34" s="31"/>
      <c r="H34" s="31"/>
      <c r="I34" s="31"/>
      <c r="J34" s="46"/>
      <c r="K34" s="47"/>
      <c r="L34" s="31"/>
      <c r="M34" s="31"/>
      <c r="N34" s="31"/>
    </row>
    <row r="35" spans="1:14">
      <c r="A35" s="31"/>
      <c r="B35" s="31"/>
      <c r="C35" s="31"/>
      <c r="D35" s="31"/>
      <c r="E35" s="31"/>
      <c r="F35" s="31"/>
      <c r="G35" s="31"/>
      <c r="H35" s="31"/>
      <c r="I35" s="31"/>
      <c r="J35" s="46"/>
      <c r="K35" s="47"/>
      <c r="L35" s="31"/>
      <c r="M35" s="31"/>
      <c r="N35" s="31"/>
    </row>
    <row r="36" spans="1:14">
      <c r="A36" s="31"/>
      <c r="B36" s="31"/>
      <c r="C36" s="31"/>
      <c r="D36" s="31"/>
      <c r="E36" s="31"/>
      <c r="F36" s="31"/>
      <c r="G36" s="31"/>
      <c r="H36" s="31"/>
      <c r="I36" s="31"/>
      <c r="J36" s="46"/>
      <c r="K36" s="47"/>
      <c r="L36" s="31"/>
      <c r="M36" s="31"/>
      <c r="N36" s="31"/>
    </row>
    <row r="37" spans="1:14">
      <c r="A37" s="31"/>
      <c r="B37" s="31"/>
      <c r="C37" s="31"/>
      <c r="D37" s="31"/>
      <c r="E37" s="31"/>
      <c r="F37" s="31"/>
      <c r="G37" s="31"/>
      <c r="H37" s="31"/>
      <c r="I37" s="31"/>
      <c r="J37" s="46"/>
      <c r="K37" s="47"/>
      <c r="L37" s="31"/>
      <c r="M37" s="31"/>
      <c r="N37" s="31"/>
    </row>
    <row r="38" spans="1:14">
      <c r="A38" s="31"/>
      <c r="B38" s="31"/>
      <c r="C38" s="31"/>
      <c r="D38" s="31"/>
      <c r="E38" s="31"/>
      <c r="F38" s="31"/>
      <c r="G38" s="31"/>
      <c r="H38" s="31"/>
      <c r="I38" s="31"/>
      <c r="J38" s="46"/>
      <c r="K38" s="47"/>
      <c r="L38" s="31"/>
      <c r="M38" s="31"/>
      <c r="N38" s="31"/>
    </row>
    <row r="39" spans="1:14">
      <c r="A39" s="31"/>
      <c r="B39" s="31"/>
      <c r="C39" s="31"/>
      <c r="D39" s="31"/>
      <c r="E39" s="31"/>
      <c r="F39" s="31"/>
      <c r="G39" s="31"/>
      <c r="H39" s="31"/>
      <c r="I39" s="31"/>
      <c r="J39" s="46"/>
      <c r="K39" s="47"/>
      <c r="L39" s="31"/>
      <c r="M39" s="31"/>
      <c r="N39" s="31"/>
    </row>
    <row r="40" spans="1:14">
      <c r="A40" s="31"/>
      <c r="B40" s="31"/>
      <c r="C40" s="31"/>
      <c r="D40" s="31"/>
      <c r="E40" s="31"/>
      <c r="F40" s="31"/>
      <c r="G40" s="31"/>
      <c r="H40" s="31"/>
      <c r="I40" s="31"/>
      <c r="J40" s="46"/>
      <c r="K40" s="47"/>
      <c r="L40" s="31"/>
      <c r="M40" s="31"/>
      <c r="N40" s="31"/>
    </row>
    <row r="41" spans="1:14">
      <c r="A41" s="31"/>
      <c r="B41" s="31"/>
      <c r="C41" s="31"/>
      <c r="D41" s="31"/>
      <c r="E41" s="31"/>
      <c r="F41" s="31"/>
      <c r="G41" s="31"/>
      <c r="H41" s="31"/>
      <c r="I41" s="31"/>
      <c r="J41" s="46"/>
      <c r="K41" s="47"/>
      <c r="L41" s="31"/>
      <c r="M41" s="31"/>
      <c r="N41" s="31"/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24"/>
  <sheetViews>
    <sheetView workbookViewId="0"/>
  </sheetViews>
  <sheetFormatPr defaultRowHeight="13.8"/>
  <cols>
    <col min="1" max="1" width="30" customWidth="1"/>
    <col min="2" max="2" width="22" customWidth="1"/>
    <col min="3" max="3" width="24" customWidth="1"/>
    <col min="4" max="14" width="18" customWidth="1"/>
  </cols>
  <sheetData>
    <row r="1" spans="1:14">
      <c r="A1" s="67" t="s">
        <v>551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552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68" t="s">
        <v>553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1:14">
      <c r="A5" s="30" t="s">
        <v>206</v>
      </c>
      <c r="B5" s="30" t="s">
        <v>554</v>
      </c>
      <c r="C5" s="30" t="s">
        <v>208</v>
      </c>
      <c r="D5" s="30" t="s">
        <v>209</v>
      </c>
      <c r="E5" s="30" t="s">
        <v>123</v>
      </c>
      <c r="F5" s="30" t="s">
        <v>5</v>
      </c>
    </row>
    <row r="6" spans="1:14" ht="27.6">
      <c r="A6" s="31">
        <v>1</v>
      </c>
      <c r="B6" s="31" t="s">
        <v>555</v>
      </c>
      <c r="C6" s="31" t="s">
        <v>555</v>
      </c>
      <c r="D6" s="31" t="s">
        <v>556</v>
      </c>
      <c r="E6" s="31" t="s">
        <v>213</v>
      </c>
      <c r="F6" s="31"/>
    </row>
    <row r="7" spans="1:14" ht="27.6">
      <c r="A7" s="31">
        <v>2</v>
      </c>
      <c r="B7" s="31" t="s">
        <v>557</v>
      </c>
      <c r="C7" s="31" t="s">
        <v>557</v>
      </c>
      <c r="D7" s="31" t="s">
        <v>558</v>
      </c>
      <c r="E7" s="31" t="s">
        <v>213</v>
      </c>
      <c r="F7" s="31"/>
    </row>
    <row r="8" spans="1:14" ht="27.6">
      <c r="A8" s="31">
        <v>3</v>
      </c>
      <c r="B8" s="31" t="s">
        <v>559</v>
      </c>
      <c r="C8" s="31" t="s">
        <v>559</v>
      </c>
      <c r="D8" s="31" t="s">
        <v>560</v>
      </c>
      <c r="E8" s="31" t="s">
        <v>213</v>
      </c>
      <c r="F8" s="31"/>
    </row>
    <row r="9" spans="1:14" ht="27.6">
      <c r="A9" s="31">
        <v>4</v>
      </c>
      <c r="B9" s="31" t="s">
        <v>561</v>
      </c>
      <c r="C9" s="31" t="s">
        <v>561</v>
      </c>
      <c r="D9" s="31" t="s">
        <v>562</v>
      </c>
      <c r="E9" s="31" t="s">
        <v>213</v>
      </c>
      <c r="F9" s="31"/>
    </row>
    <row r="10" spans="1:14" ht="27.6">
      <c r="A10" s="31">
        <v>5</v>
      </c>
      <c r="B10" s="31" t="s">
        <v>563</v>
      </c>
      <c r="C10" s="31" t="s">
        <v>564</v>
      </c>
      <c r="D10" s="31" t="s">
        <v>565</v>
      </c>
      <c r="E10" s="31" t="s">
        <v>213</v>
      </c>
      <c r="F10" s="31"/>
    </row>
    <row r="11" spans="1:14" ht="41.4">
      <c r="A11" s="31">
        <v>6</v>
      </c>
      <c r="B11" s="31" t="s">
        <v>566</v>
      </c>
      <c r="C11" s="31" t="s">
        <v>567</v>
      </c>
      <c r="D11" s="31" t="s">
        <v>568</v>
      </c>
      <c r="E11" s="31" t="s">
        <v>213</v>
      </c>
      <c r="F11" s="31"/>
    </row>
    <row r="12" spans="1:14" ht="41.4">
      <c r="A12" s="31">
        <v>7</v>
      </c>
      <c r="B12" s="31" t="s">
        <v>569</v>
      </c>
      <c r="C12" s="31" t="s">
        <v>570</v>
      </c>
      <c r="D12" s="31" t="s">
        <v>571</v>
      </c>
      <c r="E12" s="31" t="s">
        <v>213</v>
      </c>
      <c r="F12" s="31"/>
    </row>
    <row r="13" spans="1:14" ht="27.6">
      <c r="A13" s="31">
        <v>8</v>
      </c>
      <c r="B13" s="31" t="s">
        <v>572</v>
      </c>
      <c r="C13" s="31" t="s">
        <v>572</v>
      </c>
      <c r="D13" s="31" t="s">
        <v>573</v>
      </c>
      <c r="E13" s="31" t="s">
        <v>213</v>
      </c>
      <c r="F13" s="31"/>
    </row>
    <row r="14" spans="1:14" ht="41.4">
      <c r="A14" s="31">
        <v>9</v>
      </c>
      <c r="B14" s="31" t="s">
        <v>574</v>
      </c>
      <c r="C14" s="31" t="s">
        <v>574</v>
      </c>
      <c r="D14" s="31" t="s">
        <v>575</v>
      </c>
      <c r="E14" s="31" t="s">
        <v>213</v>
      </c>
      <c r="F14" s="31"/>
    </row>
    <row r="15" spans="1:14" ht="41.4">
      <c r="A15" s="31">
        <v>10</v>
      </c>
      <c r="B15" s="31" t="s">
        <v>576</v>
      </c>
      <c r="C15" s="31" t="s">
        <v>577</v>
      </c>
      <c r="D15" s="31" t="s">
        <v>578</v>
      </c>
      <c r="E15" s="31" t="s">
        <v>213</v>
      </c>
      <c r="F15" s="31"/>
    </row>
    <row r="18" spans="1:14">
      <c r="A18" s="68" t="s">
        <v>241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</row>
    <row r="19" spans="1:14">
      <c r="A19" s="30" t="s">
        <v>242</v>
      </c>
      <c r="B19" s="30" t="s">
        <v>4</v>
      </c>
      <c r="C19" s="30" t="s">
        <v>243</v>
      </c>
      <c r="D19" s="30" t="s">
        <v>123</v>
      </c>
      <c r="E19" s="30" t="s">
        <v>244</v>
      </c>
      <c r="F19" s="30" t="s">
        <v>5</v>
      </c>
    </row>
    <row r="20" spans="1:14">
      <c r="A20" t="s">
        <v>579</v>
      </c>
      <c r="B20" s="33">
        <f>COUNTIF('ETA-laskenta'!K5:K41,"Myöhässä")</f>
        <v>0</v>
      </c>
      <c r="C20" s="33" t="s">
        <v>246</v>
      </c>
      <c r="D20" s="33" t="str">
        <f>IF(B20&gt;0,"Punainen","OK")</f>
        <v>OK</v>
      </c>
      <c r="E20" t="s">
        <v>555</v>
      </c>
    </row>
    <row r="21" spans="1:14">
      <c r="A21" t="s">
        <v>580</v>
      </c>
      <c r="B21" s="37" t="e">
        <f>AVERAGE('Tyhjä ajo'!F5:F41)</f>
        <v>#VALUE!</v>
      </c>
      <c r="C21" s="33" t="s">
        <v>581</v>
      </c>
      <c r="D21" s="33" t="e">
        <f>IF(B21&gt;0.18,"Punainen",IF(B21&gt;0.15,"Keltainen","OK"))</f>
        <v>#VALUE!</v>
      </c>
      <c r="E21" t="s">
        <v>559</v>
      </c>
    </row>
    <row r="22" spans="1:14">
      <c r="A22" t="s">
        <v>582</v>
      </c>
      <c r="B22" s="37" t="e">
        <v>#VALUE!</v>
      </c>
      <c r="C22" s="33" t="s">
        <v>246</v>
      </c>
      <c r="D22" s="33" t="e">
        <f>IF(B22&gt;0,"Punainen","OK")</f>
        <v>#VALUE!</v>
      </c>
      <c r="E22" t="s">
        <v>561</v>
      </c>
    </row>
    <row r="23" spans="1:14">
      <c r="A23" t="s">
        <v>583</v>
      </c>
      <c r="B23" s="37">
        <f>AVERAGE('Asiakas analyysi'!F5:F41)</f>
        <v>0.15002240143369175</v>
      </c>
      <c r="C23" s="33" t="s">
        <v>584</v>
      </c>
      <c r="D23" s="33" t="str">
        <f>IF(B23&lt;0.15,"Keltainen","OK")</f>
        <v>OK</v>
      </c>
      <c r="E23" t="s">
        <v>570</v>
      </c>
    </row>
    <row r="24" spans="1:14">
      <c r="A24" t="s">
        <v>585</v>
      </c>
      <c r="B24" s="33">
        <f>COUNTIF('Riskivaroitukset'!M5:M41,"Punainen")</f>
        <v>2</v>
      </c>
      <c r="C24" s="33" t="s">
        <v>246</v>
      </c>
      <c r="D24" s="33" t="str">
        <f>IF(B24&gt;0,"Punainen","OK")</f>
        <v>Punainen</v>
      </c>
      <c r="E24" t="s">
        <v>574</v>
      </c>
    </row>
  </sheetData>
  <mergeCells count="4">
    <mergeCell ref="A1:N1"/>
    <mergeCell ref="A2:N2"/>
    <mergeCell ref="A4:N4"/>
    <mergeCell ref="A18:N18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3"/>
  <sheetViews>
    <sheetView workbookViewId="0"/>
  </sheetViews>
  <sheetFormatPr defaultRowHeight="13.8"/>
  <cols>
    <col min="1" max="1" width="30" customWidth="1"/>
    <col min="2" max="2" width="46" customWidth="1"/>
    <col min="3" max="3" width="20" customWidth="1"/>
    <col min="4" max="4" width="22" customWidth="1"/>
    <col min="5" max="5" width="16" customWidth="1"/>
    <col min="6" max="6" width="36" customWidth="1"/>
    <col min="7" max="8" width="12" customWidth="1"/>
  </cols>
  <sheetData>
    <row r="1" spans="1:8">
      <c r="A1" s="67" t="s">
        <v>586</v>
      </c>
      <c r="B1" s="61"/>
      <c r="C1" s="61"/>
      <c r="D1" s="61"/>
      <c r="E1" s="61"/>
      <c r="F1" s="61"/>
      <c r="G1" s="61"/>
      <c r="H1" s="61"/>
    </row>
    <row r="2" spans="1:8">
      <c r="A2" s="60" t="s">
        <v>587</v>
      </c>
      <c r="B2" s="61"/>
      <c r="C2" s="61"/>
      <c r="D2" s="61"/>
      <c r="E2" s="61"/>
      <c r="F2" s="61"/>
      <c r="G2" s="61"/>
      <c r="H2" s="61"/>
    </row>
    <row r="4" spans="1:8">
      <c r="A4" s="30" t="s">
        <v>174</v>
      </c>
      <c r="B4" s="30" t="s">
        <v>175</v>
      </c>
      <c r="C4" s="30" t="s">
        <v>176</v>
      </c>
      <c r="D4" s="30" t="s">
        <v>177</v>
      </c>
      <c r="E4" s="30" t="s">
        <v>123</v>
      </c>
      <c r="F4" s="30" t="s">
        <v>5</v>
      </c>
    </row>
    <row r="5" spans="1:8">
      <c r="A5" t="s">
        <v>178</v>
      </c>
      <c r="B5" t="s">
        <v>414</v>
      </c>
      <c r="C5" t="s">
        <v>246</v>
      </c>
      <c r="D5" t="s">
        <v>181</v>
      </c>
      <c r="E5" t="s">
        <v>182</v>
      </c>
      <c r="F5" t="s">
        <v>183</v>
      </c>
    </row>
    <row r="6" spans="1:8">
      <c r="A6" t="s">
        <v>261</v>
      </c>
      <c r="B6" t="s">
        <v>588</v>
      </c>
      <c r="C6" t="s">
        <v>536</v>
      </c>
      <c r="D6" s="33" t="str">
        <f>'ETA-laskenta'!K5</f>
        <v>Ajoissa</v>
      </c>
      <c r="E6" s="33" t="str">
        <f>IF(D6="Ajoissa","OK","TARKISTA")</f>
        <v>OK</v>
      </c>
      <c r="F6" t="s">
        <v>589</v>
      </c>
    </row>
    <row r="7" spans="1:8">
      <c r="A7" t="s">
        <v>559</v>
      </c>
      <c r="B7" t="s">
        <v>590</v>
      </c>
      <c r="C7" t="s">
        <v>581</v>
      </c>
      <c r="D7" s="33">
        <f>'Tyhjä ajo'!F5</f>
        <v>0.12121212121212122</v>
      </c>
      <c r="E7" s="33" t="str">
        <f>IF(D7&lt;=0.15,"OK","TARKISTA")</f>
        <v>OK</v>
      </c>
      <c r="F7" t="s">
        <v>591</v>
      </c>
    </row>
    <row r="8" spans="1:8">
      <c r="A8" t="s">
        <v>561</v>
      </c>
      <c r="B8" t="s">
        <v>592</v>
      </c>
      <c r="C8" t="s">
        <v>593</v>
      </c>
      <c r="D8" s="33" t="e">
        <v>#REF!</v>
      </c>
      <c r="E8" s="33" t="e">
        <f>IF(OR(D8="Hyvä",D8="OK"),"OK","TARKISTA")</f>
        <v>#REF!</v>
      </c>
      <c r="F8" t="s">
        <v>594</v>
      </c>
    </row>
    <row r="9" spans="1:8">
      <c r="A9" t="s">
        <v>595</v>
      </c>
      <c r="B9" t="s">
        <v>596</v>
      </c>
      <c r="C9" t="s">
        <v>597</v>
      </c>
      <c r="D9" s="33">
        <f>'CO2 yksikkökohtainen'!J5</f>
        <v>16.916666666666668</v>
      </c>
      <c r="E9" s="33" t="str">
        <f>IF(D9&gt;0,"OK","TARKISTA")</f>
        <v>OK</v>
      </c>
      <c r="F9" t="s">
        <v>598</v>
      </c>
    </row>
    <row r="10" spans="1:8">
      <c r="A10" t="s">
        <v>570</v>
      </c>
      <c r="B10" t="s">
        <v>599</v>
      </c>
      <c r="C10" t="s">
        <v>182</v>
      </c>
      <c r="D10" s="33" t="str">
        <f>'Asiakas analyysi'!L5</f>
        <v>OK</v>
      </c>
      <c r="E10" s="33" t="str">
        <f>IF(D10="OK","OK","TARKISTA")</f>
        <v>OK</v>
      </c>
      <c r="F10" t="s">
        <v>600</v>
      </c>
    </row>
    <row r="11" spans="1:8">
      <c r="A11" t="s">
        <v>572</v>
      </c>
      <c r="B11" t="s">
        <v>601</v>
      </c>
      <c r="C11" t="s">
        <v>597</v>
      </c>
      <c r="D11" s="33">
        <f>'Reittihistoria'!K5</f>
        <v>0.22115384615384615</v>
      </c>
      <c r="E11" s="33" t="str">
        <f>IF(D11&gt;0,"OK","TARKISTA")</f>
        <v>OK</v>
      </c>
      <c r="F11" t="s">
        <v>602</v>
      </c>
    </row>
    <row r="12" spans="1:8">
      <c r="A12" t="s">
        <v>574</v>
      </c>
      <c r="B12" t="s">
        <v>603</v>
      </c>
      <c r="C12" t="s">
        <v>138</v>
      </c>
      <c r="D12" s="33">
        <f>COUNTIF('Riskivaroitukset'!M5:M41,"Punainen")</f>
        <v>2</v>
      </c>
      <c r="E12" s="33" t="str">
        <f>IF(D12=2,"OK","TARKISTA")</f>
        <v>OK</v>
      </c>
      <c r="F12" t="s">
        <v>604</v>
      </c>
    </row>
    <row r="13" spans="1:8">
      <c r="A13" t="s">
        <v>576</v>
      </c>
      <c r="B13" t="s">
        <v>605</v>
      </c>
      <c r="C13" t="s">
        <v>606</v>
      </c>
      <c r="D13" s="33">
        <f>'PowerBI karttadata'!D5</f>
        <v>60.293399999999998</v>
      </c>
      <c r="E13" s="33" t="str">
        <f>IF(D13&gt;0,"OK","TARKISTA")</f>
        <v>OK</v>
      </c>
      <c r="F13" t="s">
        <v>607</v>
      </c>
    </row>
  </sheetData>
  <mergeCells count="2">
    <mergeCell ref="A1:H1"/>
    <mergeCell ref="A2:H2"/>
  </mergeCells>
  <conditionalFormatting sqref="E5:E13">
    <cfRule type="expression" dxfId="8" priority="1">
      <formula>E5="OK"</formula>
    </cfRule>
    <cfRule type="expression" dxfId="7" priority="2">
      <formula>E5="TARKISTA"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N20"/>
  <sheetViews>
    <sheetView workbookViewId="0"/>
  </sheetViews>
  <sheetFormatPr defaultRowHeight="13.8"/>
  <cols>
    <col min="1" max="1" width="18" customWidth="1"/>
    <col min="2" max="2" width="42" customWidth="1"/>
    <col min="3" max="11" width="14" customWidth="1"/>
    <col min="12" max="13" width="18" customWidth="1"/>
    <col min="14" max="14" width="26" customWidth="1"/>
  </cols>
  <sheetData>
    <row r="1" spans="1:14">
      <c r="A1" s="69" t="s">
        <v>157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608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70" t="s">
        <v>609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1:14">
      <c r="A5" s="48" t="s">
        <v>68</v>
      </c>
      <c r="B5" s="48" t="s">
        <v>69</v>
      </c>
      <c r="C5" s="48" t="s">
        <v>70</v>
      </c>
      <c r="D5" s="48" t="s">
        <v>11</v>
      </c>
      <c r="E5" s="48" t="s">
        <v>12</v>
      </c>
      <c r="F5" s="48" t="s">
        <v>13</v>
      </c>
      <c r="G5" s="48" t="s">
        <v>120</v>
      </c>
      <c r="H5" s="48" t="s">
        <v>21</v>
      </c>
      <c r="I5" s="48" t="s">
        <v>108</v>
      </c>
      <c r="J5" s="48" t="s">
        <v>109</v>
      </c>
      <c r="K5" s="48" t="s">
        <v>30</v>
      </c>
      <c r="L5" s="48" t="s">
        <v>33</v>
      </c>
      <c r="M5" s="48" t="s">
        <v>110</v>
      </c>
      <c r="N5" s="48" t="s">
        <v>15</v>
      </c>
    </row>
    <row r="6" spans="1:14">
      <c r="A6" s="49" t="str">
        <f>Optimointi!A5</f>
        <v>R1</v>
      </c>
      <c r="B6" s="49" t="str">
        <f>Optimointi!B5</f>
        <v>Vantaa → Tampere → Pori</v>
      </c>
      <c r="C6" s="49">
        <f>Optimointi!C5</f>
        <v>290</v>
      </c>
      <c r="D6" s="49">
        <f>Optimointi!D5</f>
        <v>3.9</v>
      </c>
      <c r="E6" s="50">
        <f>Optimointi!E5</f>
        <v>0.54545454545454541</v>
      </c>
      <c r="F6" s="50">
        <f>Optimointi!F5</f>
        <v>0.18</v>
      </c>
      <c r="G6" s="49">
        <f>Optimointi!G5</f>
        <v>2</v>
      </c>
      <c r="H6" s="51">
        <f>Optimointi!H5</f>
        <v>91.111111111111114</v>
      </c>
      <c r="I6" s="51">
        <f>Optimointi!I5</f>
        <v>85</v>
      </c>
      <c r="J6" s="51">
        <f>Optimointi!J5</f>
        <v>57.41626794258373</v>
      </c>
      <c r="K6" s="51">
        <f>Optimointi!K5</f>
        <v>66.666666666666657</v>
      </c>
      <c r="L6" s="51">
        <f>Optimointi!L5</f>
        <v>75</v>
      </c>
      <c r="M6" s="51">
        <f>Optimointi!M5</f>
        <v>76.187400318979257</v>
      </c>
      <c r="N6" s="49" t="str">
        <f>Optimointi!N5</f>
        <v>SUOSITUS</v>
      </c>
    </row>
    <row r="7" spans="1:14">
      <c r="A7" s="49" t="str">
        <f>Optimointi!A6</f>
        <v>R2</v>
      </c>
      <c r="B7" s="49" t="str">
        <f>Optimointi!B6</f>
        <v>Vantaa → Pori → Tampere</v>
      </c>
      <c r="C7" s="49">
        <f>Optimointi!C6</f>
        <v>330</v>
      </c>
      <c r="D7" s="49">
        <f>Optimointi!D6</f>
        <v>4.4000000000000004</v>
      </c>
      <c r="E7" s="50">
        <f>Optimointi!E6</f>
        <v>0.54545454545454541</v>
      </c>
      <c r="F7" s="50">
        <f>Optimointi!F6</f>
        <v>0.15</v>
      </c>
      <c r="G7" s="49">
        <f>Optimointi!G6</f>
        <v>3</v>
      </c>
      <c r="H7" s="51">
        <f>Optimointi!H6</f>
        <v>82.222222222222214</v>
      </c>
      <c r="I7" s="51">
        <f>Optimointi!I6</f>
        <v>76.666666666666657</v>
      </c>
      <c r="J7" s="51">
        <f>Optimointi!J6</f>
        <v>57.41626794258373</v>
      </c>
      <c r="K7" s="51">
        <f>Optimointi!K6</f>
        <v>41.666666666666657</v>
      </c>
      <c r="L7" s="51">
        <f>Optimointi!L6</f>
        <v>62.5</v>
      </c>
      <c r="M7" s="51">
        <f>Optimointi!M6</f>
        <v>66.854066985645929</v>
      </c>
      <c r="N7" s="49" t="str">
        <f>Optimointi!N6</f>
        <v/>
      </c>
    </row>
    <row r="8" spans="1:14">
      <c r="A8" s="49" t="str">
        <f>Optimointi!A7</f>
        <v>R3</v>
      </c>
      <c r="B8" s="49" t="str">
        <f>Optimointi!B7</f>
        <v>Vantaa → Tampere → Pori → Oulu</v>
      </c>
      <c r="C8" s="49">
        <f>Optimointi!C7</f>
        <v>610</v>
      </c>
      <c r="D8" s="49">
        <f>Optimointi!D7</f>
        <v>8.1</v>
      </c>
      <c r="E8" s="50">
        <f>Optimointi!E7</f>
        <v>0.90909090909090906</v>
      </c>
      <c r="F8" s="50">
        <f>Optimointi!F7</f>
        <v>0.16</v>
      </c>
      <c r="G8" s="49">
        <f>Optimointi!G7</f>
        <v>5</v>
      </c>
      <c r="H8" s="51">
        <f>Optimointi!H7</f>
        <v>19.999999999999996</v>
      </c>
      <c r="I8" s="51">
        <f>Optimointi!I7</f>
        <v>15.000000000000002</v>
      </c>
      <c r="J8" s="51">
        <f>Optimointi!J7</f>
        <v>95.693779904306226</v>
      </c>
      <c r="K8" s="51">
        <f>Optimointi!K7</f>
        <v>50</v>
      </c>
      <c r="L8" s="51">
        <f>Optimointi!L7</f>
        <v>37.5</v>
      </c>
      <c r="M8" s="51">
        <f>Optimointi!M7</f>
        <v>44.173444976076553</v>
      </c>
      <c r="N8" s="49" t="str">
        <f>Optimointi!N7</f>
        <v/>
      </c>
    </row>
    <row r="9" spans="1:14">
      <c r="A9" s="49" t="str">
        <f>Optimointi!A8</f>
        <v>R4</v>
      </c>
      <c r="B9" s="49" t="str">
        <f>Optimointi!B8</f>
        <v>Jaetaan kahteen autoon</v>
      </c>
      <c r="C9" s="49">
        <f>Optimointi!C8</f>
        <v>410</v>
      </c>
      <c r="D9" s="49">
        <f>Optimointi!D8</f>
        <v>5.5</v>
      </c>
      <c r="E9" s="50">
        <f>Optimointi!E8</f>
        <v>0.27272727272727271</v>
      </c>
      <c r="F9" s="50">
        <f>Optimointi!F8</f>
        <v>0.1</v>
      </c>
      <c r="G9" s="49">
        <f>Optimointi!G8</f>
        <v>2</v>
      </c>
      <c r="H9" s="51">
        <f>Optimointi!H8</f>
        <v>64.444444444444443</v>
      </c>
      <c r="I9" s="51">
        <f>Optimointi!I8</f>
        <v>58.333333333333329</v>
      </c>
      <c r="J9" s="51">
        <f>Optimointi!J8</f>
        <v>28.708133971291865</v>
      </c>
      <c r="K9" s="51">
        <f>Optimointi!K8</f>
        <v>0</v>
      </c>
      <c r="L9" s="51">
        <f>Optimointi!L8</f>
        <v>75</v>
      </c>
      <c r="M9" s="51">
        <f>Optimointi!M8</f>
        <v>45.677033492822964</v>
      </c>
      <c r="N9" s="49" t="str">
        <f>Optimointi!N8</f>
        <v/>
      </c>
    </row>
    <row r="10" spans="1:14">
      <c r="A10" s="49" t="str">
        <f>Optimointi!A9</f>
        <v>R5</v>
      </c>
      <c r="B10" s="49" t="str">
        <f>Optimointi!B9</f>
        <v>Vantaa → Turku → Tampere → Pori</v>
      </c>
      <c r="C10" s="49">
        <f>Optimointi!C9</f>
        <v>455</v>
      </c>
      <c r="D10" s="49">
        <f>Optimointi!D9</f>
        <v>6.1</v>
      </c>
      <c r="E10" s="50">
        <f>Optimointi!E9</f>
        <v>0.72727272727272729</v>
      </c>
      <c r="F10" s="50">
        <f>Optimointi!F9</f>
        <v>0.17</v>
      </c>
      <c r="G10" s="49">
        <f>Optimointi!G9</f>
        <v>4</v>
      </c>
      <c r="H10" s="51">
        <f>Optimointi!H9</f>
        <v>54.44444444444445</v>
      </c>
      <c r="I10" s="51">
        <f>Optimointi!I9</f>
        <v>48.333333333333343</v>
      </c>
      <c r="J10" s="51">
        <f>Optimointi!J9</f>
        <v>76.555023923444992</v>
      </c>
      <c r="K10" s="51">
        <f>Optimointi!K9</f>
        <v>58.333333333333336</v>
      </c>
      <c r="L10" s="51">
        <f>Optimointi!L9</f>
        <v>50</v>
      </c>
      <c r="M10" s="51">
        <f>Optimointi!M9</f>
        <v>58.888755980861255</v>
      </c>
      <c r="N10" s="49" t="str">
        <f>Optimointi!N9</f>
        <v/>
      </c>
    </row>
    <row r="11" spans="1:14">
      <c r="A11" s="49" t="str">
        <f>Optimointi!A10</f>
        <v/>
      </c>
      <c r="B11" s="49" t="str">
        <f>Optimointi!B10</f>
        <v/>
      </c>
      <c r="C11" s="49" t="str">
        <f>Optimointi!C10</f>
        <v/>
      </c>
      <c r="D11" s="49" t="str">
        <f>Optimointi!D10</f>
        <v/>
      </c>
      <c r="E11" s="50" t="str">
        <f>Optimointi!E10</f>
        <v/>
      </c>
      <c r="F11" s="50" t="str">
        <f>Optimointi!F10</f>
        <v/>
      </c>
      <c r="G11" s="49" t="str">
        <f>Optimointi!G10</f>
        <v/>
      </c>
      <c r="H11" s="51" t="str">
        <f>Optimointi!H10</f>
        <v/>
      </c>
      <c r="I11" s="51" t="str">
        <f>Optimointi!I10</f>
        <v/>
      </c>
      <c r="J11" s="51" t="str">
        <f>Optimointi!J10</f>
        <v/>
      </c>
      <c r="K11" s="51" t="str">
        <f>Optimointi!K10</f>
        <v/>
      </c>
      <c r="L11" s="51" t="str">
        <f>Optimointi!L10</f>
        <v/>
      </c>
      <c r="M11" s="51" t="str">
        <f>Optimointi!M10</f>
        <v/>
      </c>
      <c r="N11" s="49" t="str">
        <f>Optimointi!N10</f>
        <v/>
      </c>
    </row>
    <row r="12" spans="1:14">
      <c r="A12" s="49" t="str">
        <f>Optimointi!A11</f>
        <v/>
      </c>
      <c r="B12" s="49" t="str">
        <f>Optimointi!B11</f>
        <v/>
      </c>
      <c r="C12" s="49" t="str">
        <f>Optimointi!C11</f>
        <v/>
      </c>
      <c r="D12" s="49" t="str">
        <f>Optimointi!D11</f>
        <v/>
      </c>
      <c r="E12" s="50" t="str">
        <f>Optimointi!E11</f>
        <v/>
      </c>
      <c r="F12" s="50" t="str">
        <f>Optimointi!F11</f>
        <v/>
      </c>
      <c r="G12" s="49" t="str">
        <f>Optimointi!G11</f>
        <v/>
      </c>
      <c r="H12" s="51" t="str">
        <f>Optimointi!H11</f>
        <v/>
      </c>
      <c r="I12" s="51" t="str">
        <f>Optimointi!I11</f>
        <v/>
      </c>
      <c r="J12" s="51" t="str">
        <f>Optimointi!J11</f>
        <v/>
      </c>
      <c r="K12" s="51" t="str">
        <f>Optimointi!K11</f>
        <v/>
      </c>
      <c r="L12" s="51" t="str">
        <f>Optimointi!L11</f>
        <v/>
      </c>
      <c r="M12" s="51" t="str">
        <f>Optimointi!M11</f>
        <v/>
      </c>
      <c r="N12" s="49" t="str">
        <f>Optimointi!N11</f>
        <v/>
      </c>
    </row>
    <row r="13" spans="1:14">
      <c r="A13" s="49" t="str">
        <f>Optimointi!A12</f>
        <v/>
      </c>
      <c r="B13" s="49" t="str">
        <f>Optimointi!B12</f>
        <v/>
      </c>
      <c r="C13" s="49" t="str">
        <f>Optimointi!C12</f>
        <v/>
      </c>
      <c r="D13" s="49" t="str">
        <f>Optimointi!D12</f>
        <v/>
      </c>
      <c r="E13" s="50" t="str">
        <f>Optimointi!E12</f>
        <v/>
      </c>
      <c r="F13" s="50" t="str">
        <f>Optimointi!F12</f>
        <v/>
      </c>
      <c r="G13" s="49" t="str">
        <f>Optimointi!G12</f>
        <v/>
      </c>
      <c r="H13" s="51" t="str">
        <f>Optimointi!H12</f>
        <v/>
      </c>
      <c r="I13" s="51" t="str">
        <f>Optimointi!I12</f>
        <v/>
      </c>
      <c r="J13" s="51" t="str">
        <f>Optimointi!J12</f>
        <v/>
      </c>
      <c r="K13" s="51" t="str">
        <f>Optimointi!K12</f>
        <v/>
      </c>
      <c r="L13" s="51" t="str">
        <f>Optimointi!L12</f>
        <v/>
      </c>
      <c r="M13" s="51" t="str">
        <f>Optimointi!M12</f>
        <v/>
      </c>
      <c r="N13" s="49" t="str">
        <f>Optimointi!N12</f>
        <v/>
      </c>
    </row>
    <row r="14" spans="1:14">
      <c r="A14" s="49" t="str">
        <f>Optimointi!A13</f>
        <v/>
      </c>
      <c r="B14" s="49" t="str">
        <f>Optimointi!B13</f>
        <v/>
      </c>
      <c r="C14" s="49" t="str">
        <f>Optimointi!C13</f>
        <v/>
      </c>
      <c r="D14" s="49" t="str">
        <f>Optimointi!D13</f>
        <v/>
      </c>
      <c r="E14" s="50" t="str">
        <f>Optimointi!E13</f>
        <v/>
      </c>
      <c r="F14" s="50" t="str">
        <f>Optimointi!F13</f>
        <v/>
      </c>
      <c r="G14" s="49" t="str">
        <f>Optimointi!G13</f>
        <v/>
      </c>
      <c r="H14" s="51" t="str">
        <f>Optimointi!H13</f>
        <v/>
      </c>
      <c r="I14" s="51" t="str">
        <f>Optimointi!I13</f>
        <v/>
      </c>
      <c r="J14" s="51" t="str">
        <f>Optimointi!J13</f>
        <v/>
      </c>
      <c r="K14" s="51" t="str">
        <f>Optimointi!K13</f>
        <v/>
      </c>
      <c r="L14" s="51" t="str">
        <f>Optimointi!L13</f>
        <v/>
      </c>
      <c r="M14" s="51" t="str">
        <f>Optimointi!M13</f>
        <v/>
      </c>
      <c r="N14" s="49" t="str">
        <f>Optimointi!N13</f>
        <v/>
      </c>
    </row>
    <row r="15" spans="1:14">
      <c r="A15" s="49" t="str">
        <f>Optimointi!A14</f>
        <v/>
      </c>
      <c r="B15" s="49" t="str">
        <f>Optimointi!B14</f>
        <v/>
      </c>
      <c r="C15" s="49" t="str">
        <f>Optimointi!C14</f>
        <v/>
      </c>
      <c r="D15" s="49" t="str">
        <f>Optimointi!D14</f>
        <v/>
      </c>
      <c r="E15" s="50" t="str">
        <f>Optimointi!E14</f>
        <v/>
      </c>
      <c r="F15" s="50" t="str">
        <f>Optimointi!F14</f>
        <v/>
      </c>
      <c r="G15" s="49" t="str">
        <f>Optimointi!G14</f>
        <v/>
      </c>
      <c r="H15" s="51" t="str">
        <f>Optimointi!H14</f>
        <v/>
      </c>
      <c r="I15" s="51" t="str">
        <f>Optimointi!I14</f>
        <v/>
      </c>
      <c r="J15" s="51" t="str">
        <f>Optimointi!J14</f>
        <v/>
      </c>
      <c r="K15" s="51" t="str">
        <f>Optimointi!K14</f>
        <v/>
      </c>
      <c r="L15" s="51" t="str">
        <f>Optimointi!L14</f>
        <v/>
      </c>
      <c r="M15" s="51" t="str">
        <f>Optimointi!M14</f>
        <v/>
      </c>
      <c r="N15" s="49" t="str">
        <f>Optimointi!N14</f>
        <v/>
      </c>
    </row>
    <row r="18" spans="1:14">
      <c r="A18" s="70" t="s">
        <v>111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</row>
    <row r="19" spans="1:14" ht="27.6">
      <c r="A19" s="48" t="s">
        <v>69</v>
      </c>
      <c r="B19" s="48" t="s">
        <v>113</v>
      </c>
      <c r="C19" s="48" t="s">
        <v>70</v>
      </c>
      <c r="D19" s="48" t="s">
        <v>610</v>
      </c>
      <c r="E19" s="48" t="s">
        <v>12</v>
      </c>
      <c r="F19" s="48" t="s">
        <v>13</v>
      </c>
      <c r="G19" s="48" t="s">
        <v>14</v>
      </c>
      <c r="H19" s="48" t="s">
        <v>15</v>
      </c>
      <c r="I19" s="48" t="s">
        <v>16</v>
      </c>
      <c r="J19" s="48" t="s">
        <v>611</v>
      </c>
    </row>
    <row r="20" spans="1:14" ht="55.2">
      <c r="A20" s="49" t="str">
        <f>Optimointi!B33</f>
        <v>Vantaa → Tampere → Pori</v>
      </c>
      <c r="B20" s="51">
        <f>Optimointi!C33</f>
        <v>76.187400318979257</v>
      </c>
      <c r="C20" s="51">
        <f>Optimointi!D33</f>
        <v>290</v>
      </c>
      <c r="D20" s="51">
        <f>Optimointi!E33</f>
        <v>3.9</v>
      </c>
      <c r="E20" s="50">
        <f>Optimointi!F33</f>
        <v>0.54545454545454541</v>
      </c>
      <c r="F20" s="50">
        <f>Optimointi!G33</f>
        <v>0.18</v>
      </c>
      <c r="G20" s="49" t="str">
        <f>Optimointi!H33</f>
        <v>Matala</v>
      </c>
      <c r="H20" s="49" t="str">
        <f>Optimointi!I33</f>
        <v>Aja tällä vaihtoehdolla</v>
      </c>
      <c r="I20" s="49" t="e">
        <f ca="1">Optimointi!J33</f>
        <v>#NAME?</v>
      </c>
      <c r="J20" s="49" t="str">
        <f>"Sääntöpohjainen AI-tyylinen score-malli"</f>
        <v>Sääntöpohjainen AI-tyylinen score-malli</v>
      </c>
    </row>
  </sheetData>
  <mergeCells count="4">
    <mergeCell ref="A1:N1"/>
    <mergeCell ref="A2:N2"/>
    <mergeCell ref="A4:N4"/>
    <mergeCell ref="A18:N18"/>
  </mergeCells>
  <conditionalFormatting sqref="M6:M15">
    <cfRule type="colorScale" priority="2">
      <colorScale>
        <cfvo type="min"/>
        <cfvo type="percentile" val="50"/>
        <cfvo type="max"/>
        <color rgb="FFF4CCCC"/>
        <color rgb="FFFFF2CC"/>
        <color rgb="FFE2F0D9"/>
      </colorScale>
    </cfRule>
  </conditionalFormatting>
  <conditionalFormatting sqref="N6:N15">
    <cfRule type="expression" dxfId="6" priority="1">
      <formula>N6="SUOSITUS"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N30"/>
  <sheetViews>
    <sheetView workbookViewId="0"/>
  </sheetViews>
  <sheetFormatPr defaultRowHeight="13.8"/>
  <cols>
    <col min="1" max="1" width="12" customWidth="1"/>
    <col min="2" max="13" width="13" customWidth="1"/>
    <col min="14" max="14" width="18" customWidth="1"/>
  </cols>
  <sheetData>
    <row r="1" spans="1:14">
      <c r="A1" s="69" t="s">
        <v>612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613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70" t="s">
        <v>614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1:14">
      <c r="A5" s="48" t="s">
        <v>615</v>
      </c>
      <c r="B5" s="48" t="s">
        <v>135</v>
      </c>
      <c r="C5" s="48" t="s">
        <v>138</v>
      </c>
      <c r="D5" s="48" t="s">
        <v>140</v>
      </c>
      <c r="E5" s="48" t="s">
        <v>143</v>
      </c>
      <c r="F5" s="48" t="s">
        <v>146</v>
      </c>
      <c r="G5" s="48" t="s">
        <v>148</v>
      </c>
      <c r="H5" s="48" t="s">
        <v>616</v>
      </c>
      <c r="I5" s="48" t="s">
        <v>617</v>
      </c>
      <c r="J5" s="48" t="s">
        <v>618</v>
      </c>
      <c r="K5" s="48" t="s">
        <v>619</v>
      </c>
      <c r="L5" s="48" t="s">
        <v>620</v>
      </c>
      <c r="M5" s="48" t="s">
        <v>621</v>
      </c>
      <c r="N5" s="48" t="s">
        <v>5</v>
      </c>
    </row>
    <row r="6" spans="1:14" ht="27.6">
      <c r="A6" s="55" t="s">
        <v>622</v>
      </c>
      <c r="B6" s="53" t="s">
        <v>623</v>
      </c>
      <c r="C6" s="53" t="s">
        <v>623</v>
      </c>
      <c r="D6" s="53" t="s">
        <v>623</v>
      </c>
      <c r="E6" s="53" t="s">
        <v>623</v>
      </c>
      <c r="F6" s="54" t="s">
        <v>624</v>
      </c>
      <c r="G6" s="54" t="s">
        <v>624</v>
      </c>
      <c r="H6" s="54" t="s">
        <v>624</v>
      </c>
      <c r="I6" s="54" t="s">
        <v>624</v>
      </c>
      <c r="J6" s="54" t="s">
        <v>624</v>
      </c>
      <c r="K6" s="54" t="s">
        <v>624</v>
      </c>
      <c r="L6" s="52"/>
      <c r="M6" s="55" t="s">
        <v>621</v>
      </c>
      <c r="N6" s="52" t="s">
        <v>625</v>
      </c>
    </row>
    <row r="7" spans="1:14">
      <c r="A7" s="55" t="s">
        <v>626</v>
      </c>
      <c r="B7" s="53" t="s">
        <v>623</v>
      </c>
      <c r="C7" s="53" t="s">
        <v>623</v>
      </c>
      <c r="D7" s="53" t="s">
        <v>623</v>
      </c>
      <c r="E7" s="53" t="s">
        <v>623</v>
      </c>
      <c r="F7" s="54" t="s">
        <v>624</v>
      </c>
      <c r="G7" s="54" t="s">
        <v>624</v>
      </c>
      <c r="H7" s="54" t="s">
        <v>624</v>
      </c>
      <c r="I7" s="54" t="s">
        <v>624</v>
      </c>
      <c r="J7" s="54"/>
      <c r="K7" s="54"/>
      <c r="L7" s="52"/>
      <c r="M7" s="55" t="s">
        <v>621</v>
      </c>
      <c r="N7" s="52"/>
    </row>
    <row r="8" spans="1:14">
      <c r="A8" s="55" t="s">
        <v>627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5" t="s">
        <v>621</v>
      </c>
      <c r="N8" s="52"/>
    </row>
    <row r="11" spans="1:14">
      <c r="A11" s="70" t="s">
        <v>628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</row>
    <row r="12" spans="1:14" ht="27.6">
      <c r="A12" s="48" t="s">
        <v>38</v>
      </c>
      <c r="B12" s="48" t="s">
        <v>40</v>
      </c>
      <c r="C12" s="48" t="s">
        <v>41</v>
      </c>
      <c r="D12" s="48" t="s">
        <v>42</v>
      </c>
      <c r="E12" s="48" t="s">
        <v>43</v>
      </c>
      <c r="F12" s="48" t="s">
        <v>44</v>
      </c>
      <c r="G12" s="48" t="s">
        <v>45</v>
      </c>
      <c r="H12" s="48" t="s">
        <v>117</v>
      </c>
      <c r="I12" s="48" t="s">
        <v>118</v>
      </c>
      <c r="J12" s="48" t="s">
        <v>123</v>
      </c>
      <c r="K12" s="48" t="s">
        <v>5</v>
      </c>
      <c r="L12" s="48"/>
      <c r="M12" s="48"/>
      <c r="N12" s="48"/>
    </row>
    <row r="13" spans="1:14">
      <c r="A13" s="49" t="str">
        <f>Kuormaoptimointi!A5</f>
        <v>A</v>
      </c>
      <c r="B13" s="49" t="str">
        <f>Kuormaoptimointi!C5</f>
        <v>Tampere</v>
      </c>
      <c r="C13" s="49">
        <f>Kuormaoptimointi!D5</f>
        <v>8</v>
      </c>
      <c r="D13" s="49">
        <f>Kuormaoptimointi!E5</f>
        <v>2500</v>
      </c>
      <c r="E13" s="49">
        <f>Kuormaoptimointi!F5</f>
        <v>2</v>
      </c>
      <c r="F13" s="49">
        <f>Kuormaoptimointi!G5</f>
        <v>6</v>
      </c>
      <c r="G13" s="49" t="str">
        <f>Kuormaoptimointi!H5</f>
        <v>Ei</v>
      </c>
      <c r="H13" s="49">
        <f>Kuormaoptimointi!I5</f>
        <v>1</v>
      </c>
      <c r="I13" s="49" t="str">
        <f>Kuormaoptimointi!J5</f>
        <v>Perä</v>
      </c>
      <c r="J13" s="49" t="str">
        <f>Kuormaoptimointi!K5</f>
        <v>OK</v>
      </c>
      <c r="K13" s="49" t="str">
        <f>Kuormaoptimointi!M5</f>
        <v>Thermolisä</v>
      </c>
    </row>
    <row r="14" spans="1:14">
      <c r="A14" s="49" t="str">
        <f>Kuormaoptimointi!A6</f>
        <v>B</v>
      </c>
      <c r="B14" s="49" t="str">
        <f>Kuormaoptimointi!C6</f>
        <v>Pori</v>
      </c>
      <c r="C14" s="49">
        <f>Kuormaoptimointi!D6</f>
        <v>10</v>
      </c>
      <c r="D14" s="49">
        <f>Kuormaoptimointi!E6</f>
        <v>3200</v>
      </c>
      <c r="E14" s="49">
        <f>Kuormaoptimointi!F6</f>
        <v>2</v>
      </c>
      <c r="F14" s="49">
        <f>Kuormaoptimointi!G6</f>
        <v>6</v>
      </c>
      <c r="G14" s="49" t="str">
        <f>Kuormaoptimointi!H6</f>
        <v>Ei</v>
      </c>
      <c r="H14" s="49">
        <f>Kuormaoptimointi!I6</f>
        <v>2</v>
      </c>
      <c r="I14" s="49" t="str">
        <f>Kuormaoptimointi!J6</f>
        <v>Keskiosa</v>
      </c>
      <c r="J14" s="49" t="str">
        <f>Kuormaoptimointi!K6</f>
        <v>OK</v>
      </c>
      <c r="K14" s="49" t="str">
        <f>Kuormaoptimointi!M6</f>
        <v>Thermolisä</v>
      </c>
    </row>
    <row r="15" spans="1:14">
      <c r="A15" s="49" t="str">
        <f>Kuormaoptimointi!A7</f>
        <v>C</v>
      </c>
      <c r="B15" s="49" t="str">
        <f>Kuormaoptimointi!C7</f>
        <v>Oulu</v>
      </c>
      <c r="C15" s="49">
        <f>Kuormaoptimointi!D7</f>
        <v>12</v>
      </c>
      <c r="D15" s="49">
        <f>Kuormaoptimointi!E7</f>
        <v>5000</v>
      </c>
      <c r="E15" s="49" t="str">
        <f>Kuormaoptimointi!F7</f>
        <v/>
      </c>
      <c r="F15" s="49" t="str">
        <f>Kuormaoptimointi!G7</f>
        <v/>
      </c>
      <c r="G15" s="49" t="str">
        <f>Kuormaoptimointi!H7</f>
        <v>Ei</v>
      </c>
      <c r="H15" s="49">
        <f>Kuormaoptimointi!I7</f>
        <v>2</v>
      </c>
      <c r="I15" s="49" t="str">
        <f>Kuormaoptimointi!J7</f>
        <v/>
      </c>
      <c r="J15" s="49" t="str">
        <f>Kuormaoptimointi!K7</f>
        <v/>
      </c>
      <c r="K15" s="49" t="str">
        <f>Kuormaoptimointi!M7</f>
        <v/>
      </c>
    </row>
    <row r="16" spans="1:14">
      <c r="A16" s="49" t="str">
        <f>Kuormaoptimointi!A8</f>
        <v>D</v>
      </c>
      <c r="B16" s="49" t="str">
        <f>Kuormaoptimointi!C8</f>
        <v>Turku</v>
      </c>
      <c r="C16" s="49">
        <f>Kuormaoptimointi!D8</f>
        <v>6</v>
      </c>
      <c r="D16" s="49">
        <f>Kuormaoptimointi!E8</f>
        <v>1800</v>
      </c>
      <c r="E16" s="49" t="str">
        <f>Kuormaoptimointi!F8</f>
        <v/>
      </c>
      <c r="F16" s="49" t="str">
        <f>Kuormaoptimointi!G8</f>
        <v/>
      </c>
      <c r="G16" s="49" t="str">
        <f>Kuormaoptimointi!H8</f>
        <v>Kyllä</v>
      </c>
      <c r="H16" s="49">
        <f>Kuormaoptimointi!I8</f>
        <v>2</v>
      </c>
      <c r="I16" s="49" t="str">
        <f>Kuormaoptimointi!J8</f>
        <v/>
      </c>
      <c r="J16" s="49" t="str">
        <f>Kuormaoptimointi!K8</f>
        <v/>
      </c>
      <c r="K16" s="49" t="str">
        <f>Kuormaoptimointi!M8</f>
        <v/>
      </c>
    </row>
    <row r="17" spans="1:14">
      <c r="A17" s="49" t="str">
        <f>Kuormaoptimointi!A9</f>
        <v/>
      </c>
      <c r="B17" s="49" t="str">
        <f>Kuormaoptimointi!C9</f>
        <v/>
      </c>
      <c r="C17" s="49" t="str">
        <f>Kuormaoptimointi!D9</f>
        <v/>
      </c>
      <c r="D17" s="49" t="str">
        <f>Kuormaoptimointi!E9</f>
        <v/>
      </c>
      <c r="E17" s="49" t="str">
        <f>Kuormaoptimointi!F9</f>
        <v/>
      </c>
      <c r="F17" s="49" t="str">
        <f>Kuormaoptimointi!G9</f>
        <v/>
      </c>
      <c r="G17" s="49" t="str">
        <f>Kuormaoptimointi!H9</f>
        <v/>
      </c>
      <c r="H17" s="49" t="str">
        <f>Kuormaoptimointi!I9</f>
        <v/>
      </c>
      <c r="I17" s="49" t="str">
        <f>Kuormaoptimointi!J9</f>
        <v/>
      </c>
      <c r="J17" s="49" t="str">
        <f>Kuormaoptimointi!K9</f>
        <v/>
      </c>
      <c r="K17" s="49" t="str">
        <f>Kuormaoptimointi!M9</f>
        <v/>
      </c>
    </row>
    <row r="18" spans="1:14">
      <c r="A18" s="49" t="str">
        <f>Kuormaoptimointi!A10</f>
        <v/>
      </c>
      <c r="B18" s="49" t="str">
        <f>Kuormaoptimointi!C10</f>
        <v/>
      </c>
      <c r="C18" s="49" t="str">
        <f>Kuormaoptimointi!D10</f>
        <v/>
      </c>
      <c r="D18" s="49" t="str">
        <f>Kuormaoptimointi!E10</f>
        <v/>
      </c>
      <c r="E18" s="49" t="str">
        <f>Kuormaoptimointi!F10</f>
        <v/>
      </c>
      <c r="F18" s="49" t="str">
        <f>Kuormaoptimointi!G10</f>
        <v/>
      </c>
      <c r="G18" s="49" t="str">
        <f>Kuormaoptimointi!H10</f>
        <v/>
      </c>
      <c r="H18" s="49" t="str">
        <f>Kuormaoptimointi!I10</f>
        <v/>
      </c>
      <c r="I18" s="49" t="str">
        <f>Kuormaoptimointi!J10</f>
        <v/>
      </c>
      <c r="J18" s="49" t="str">
        <f>Kuormaoptimointi!K10</f>
        <v/>
      </c>
      <c r="K18" s="49" t="str">
        <f>Kuormaoptimointi!M10</f>
        <v/>
      </c>
    </row>
    <row r="19" spans="1:14">
      <c r="A19" s="49" t="str">
        <f>Kuormaoptimointi!A11</f>
        <v/>
      </c>
      <c r="B19" s="49" t="str">
        <f>Kuormaoptimointi!C11</f>
        <v/>
      </c>
      <c r="C19" s="49" t="str">
        <f>Kuormaoptimointi!D11</f>
        <v/>
      </c>
      <c r="D19" s="49" t="str">
        <f>Kuormaoptimointi!E11</f>
        <v/>
      </c>
      <c r="E19" s="49" t="str">
        <f>Kuormaoptimointi!F11</f>
        <v/>
      </c>
      <c r="F19" s="49" t="str">
        <f>Kuormaoptimointi!G11</f>
        <v/>
      </c>
      <c r="G19" s="49" t="str">
        <f>Kuormaoptimointi!H11</f>
        <v/>
      </c>
      <c r="H19" s="49" t="str">
        <f>Kuormaoptimointi!I11</f>
        <v/>
      </c>
      <c r="I19" s="49" t="str">
        <f>Kuormaoptimointi!J11</f>
        <v/>
      </c>
      <c r="J19" s="49" t="str">
        <f>Kuormaoptimointi!K11</f>
        <v/>
      </c>
      <c r="K19" s="49" t="str">
        <f>Kuormaoptimointi!M11</f>
        <v/>
      </c>
    </row>
    <row r="20" spans="1:14">
      <c r="A20" s="49" t="str">
        <f>Kuormaoptimointi!A12</f>
        <v/>
      </c>
      <c r="B20" s="49" t="str">
        <f>Kuormaoptimointi!C12</f>
        <v/>
      </c>
      <c r="C20" s="49" t="str">
        <f>Kuormaoptimointi!D12</f>
        <v/>
      </c>
      <c r="D20" s="49" t="str">
        <f>Kuormaoptimointi!E12</f>
        <v/>
      </c>
      <c r="E20" s="49" t="str">
        <f>Kuormaoptimointi!F12</f>
        <v/>
      </c>
      <c r="F20" s="49" t="str">
        <f>Kuormaoptimointi!G12</f>
        <v/>
      </c>
      <c r="G20" s="49" t="str">
        <f>Kuormaoptimointi!H12</f>
        <v/>
      </c>
      <c r="H20" s="49" t="str">
        <f>Kuormaoptimointi!I12</f>
        <v/>
      </c>
      <c r="I20" s="49" t="str">
        <f>Kuormaoptimointi!J12</f>
        <v/>
      </c>
      <c r="J20" s="49" t="str">
        <f>Kuormaoptimointi!K12</f>
        <v/>
      </c>
      <c r="K20" s="49" t="str">
        <f>Kuormaoptimointi!M12</f>
        <v/>
      </c>
    </row>
    <row r="21" spans="1:14">
      <c r="A21" s="49" t="str">
        <f>Kuormaoptimointi!A13</f>
        <v/>
      </c>
      <c r="B21" s="49" t="str">
        <f>Kuormaoptimointi!C13</f>
        <v/>
      </c>
      <c r="C21" s="49" t="str">
        <f>Kuormaoptimointi!D13</f>
        <v/>
      </c>
      <c r="D21" s="49" t="str">
        <f>Kuormaoptimointi!E13</f>
        <v/>
      </c>
      <c r="E21" s="49" t="str">
        <f>Kuormaoptimointi!F13</f>
        <v/>
      </c>
      <c r="F21" s="49" t="str">
        <f>Kuormaoptimointi!G13</f>
        <v/>
      </c>
      <c r="G21" s="49" t="str">
        <f>Kuormaoptimointi!H13</f>
        <v/>
      </c>
      <c r="H21" s="49" t="str">
        <f>Kuormaoptimointi!I13</f>
        <v/>
      </c>
      <c r="I21" s="49" t="str">
        <f>Kuormaoptimointi!J13</f>
        <v/>
      </c>
      <c r="J21" s="49" t="str">
        <f>Kuormaoptimointi!K13</f>
        <v/>
      </c>
      <c r="K21" s="49" t="str">
        <f>Kuormaoptimointi!M13</f>
        <v/>
      </c>
    </row>
    <row r="22" spans="1:14">
      <c r="A22" s="49" t="str">
        <f>Kuormaoptimointi!A14</f>
        <v/>
      </c>
      <c r="B22" s="49" t="str">
        <f>Kuormaoptimointi!C14</f>
        <v/>
      </c>
      <c r="C22" s="49" t="str">
        <f>Kuormaoptimointi!D14</f>
        <v/>
      </c>
      <c r="D22" s="49" t="str">
        <f>Kuormaoptimointi!E14</f>
        <v/>
      </c>
      <c r="E22" s="49" t="str">
        <f>Kuormaoptimointi!F14</f>
        <v/>
      </c>
      <c r="F22" s="49" t="str">
        <f>Kuormaoptimointi!G14</f>
        <v/>
      </c>
      <c r="G22" s="49" t="str">
        <f>Kuormaoptimointi!H14</f>
        <v/>
      </c>
      <c r="H22" s="49" t="str">
        <f>Kuormaoptimointi!I14</f>
        <v/>
      </c>
      <c r="I22" s="49" t="str">
        <f>Kuormaoptimointi!J14</f>
        <v/>
      </c>
      <c r="J22" s="49" t="str">
        <f>Kuormaoptimointi!K14</f>
        <v/>
      </c>
      <c r="K22" s="49" t="str">
        <f>Kuormaoptimointi!M14</f>
        <v/>
      </c>
    </row>
    <row r="25" spans="1:14">
      <c r="A25" s="70" t="s">
        <v>629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</row>
    <row r="26" spans="1:14">
      <c r="A26" s="48" t="s">
        <v>3</v>
      </c>
      <c r="B26" s="48" t="s">
        <v>4</v>
      </c>
      <c r="C26" s="48" t="s">
        <v>122</v>
      </c>
      <c r="D26" s="48" t="s">
        <v>123</v>
      </c>
      <c r="E26" s="48" t="s">
        <v>5</v>
      </c>
    </row>
    <row r="27" spans="1:14">
      <c r="A27" t="s">
        <v>41</v>
      </c>
      <c r="B27" s="49">
        <f>Kuormaoptimointi!B19</f>
        <v>18</v>
      </c>
      <c r="C27" s="49">
        <v>33</v>
      </c>
      <c r="D27" s="49" t="str">
        <f>Kuormaoptimointi!D19</f>
        <v>OK</v>
      </c>
      <c r="E27" t="s">
        <v>630</v>
      </c>
    </row>
    <row r="28" spans="1:14">
      <c r="A28" t="s">
        <v>42</v>
      </c>
      <c r="B28" s="49">
        <f>Kuormaoptimointi!B20</f>
        <v>5700</v>
      </c>
      <c r="C28" s="49">
        <v>24000</v>
      </c>
      <c r="D28" s="49" t="str">
        <f>Kuormaoptimointi!D20</f>
        <v>OK</v>
      </c>
    </row>
    <row r="29" spans="1:14">
      <c r="A29" t="s">
        <v>12</v>
      </c>
      <c r="B29" s="50">
        <f>Kuormaoptimointi!B21</f>
        <v>0.54545454545454541</v>
      </c>
      <c r="C29" s="49" t="s">
        <v>631</v>
      </c>
      <c r="D29" s="49" t="str">
        <f>Kuormaoptimointi!D21</f>
        <v>Vajaakuorma</v>
      </c>
    </row>
    <row r="30" spans="1:14">
      <c r="A30" t="s">
        <v>632</v>
      </c>
      <c r="B30" t="s">
        <v>633</v>
      </c>
      <c r="D30" t="s">
        <v>182</v>
      </c>
      <c r="E30" t="s">
        <v>634</v>
      </c>
    </row>
  </sheetData>
  <mergeCells count="5">
    <mergeCell ref="A1:N1"/>
    <mergeCell ref="A2:N2"/>
    <mergeCell ref="A4:N4"/>
    <mergeCell ref="A11:N11"/>
    <mergeCell ref="A25:N25"/>
  </mergeCells>
  <conditionalFormatting sqref="D27:D30">
    <cfRule type="expression" dxfId="5" priority="1">
      <formula>OR(D27="OK",D27="Hyvä")</formula>
    </cfRule>
    <cfRule type="expression" dxfId="4" priority="2">
      <formula>OR(D27="Vajaakuorma",D27="Ei mahdu",D27="Paino yli",D27="Liian täysi")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N18"/>
  <sheetViews>
    <sheetView tabSelected="1" workbookViewId="0">
      <selection sqref="A1:N1"/>
    </sheetView>
  </sheetViews>
  <sheetFormatPr defaultRowHeight="13.8"/>
  <cols>
    <col min="1" max="1" width="24" customWidth="1"/>
    <col min="2" max="3" width="18" customWidth="1"/>
    <col min="4" max="4" width="20" customWidth="1"/>
    <col min="5" max="14" width="18" customWidth="1"/>
  </cols>
  <sheetData>
    <row r="1" spans="1:14">
      <c r="A1" s="69" t="s">
        <v>635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>
      <c r="A2" s="60" t="s">
        <v>636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4" spans="1:14">
      <c r="A4" s="70" t="s">
        <v>637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1:14">
      <c r="A5" s="48" t="s">
        <v>242</v>
      </c>
      <c r="B5" s="48" t="s">
        <v>4</v>
      </c>
      <c r="C5" s="48" t="s">
        <v>243</v>
      </c>
      <c r="D5" s="48" t="s">
        <v>123</v>
      </c>
      <c r="E5" s="48" t="s">
        <v>244</v>
      </c>
      <c r="F5" s="48"/>
      <c r="G5" s="48" t="s">
        <v>242</v>
      </c>
      <c r="H5" s="48" t="s">
        <v>4</v>
      </c>
      <c r="I5" s="48" t="s">
        <v>243</v>
      </c>
      <c r="J5" s="48" t="s">
        <v>123</v>
      </c>
      <c r="K5" s="48" t="s">
        <v>244</v>
      </c>
      <c r="L5" s="48"/>
      <c r="M5" s="48"/>
      <c r="N5" s="48"/>
    </row>
    <row r="6" spans="1:14" ht="27.6">
      <c r="A6" t="s">
        <v>6</v>
      </c>
      <c r="B6" s="49" t="str">
        <f>Optimointi!B33</f>
        <v>Vantaa → Tampere → Pori</v>
      </c>
      <c r="C6" s="49"/>
      <c r="D6" s="49" t="e">
        <f>OK</f>
        <v>#NAME?</v>
      </c>
      <c r="E6" t="s">
        <v>145</v>
      </c>
      <c r="G6" t="s">
        <v>638</v>
      </c>
      <c r="H6" s="49">
        <f>COUNTIF('ETA-laskenta'!K5:K41,"Myöhässä")</f>
        <v>0</v>
      </c>
      <c r="I6" s="49" t="s">
        <v>246</v>
      </c>
      <c r="J6" s="49" t="str">
        <f>IF(H6=0,"OK","Punainen")</f>
        <v>OK</v>
      </c>
      <c r="K6" t="s">
        <v>555</v>
      </c>
    </row>
    <row r="7" spans="1:14">
      <c r="A7" t="s">
        <v>639</v>
      </c>
      <c r="B7" s="49">
        <f>Optimointi!C33</f>
        <v>76.187400318979257</v>
      </c>
      <c r="C7" s="49" t="s">
        <v>640</v>
      </c>
      <c r="D7" s="49" t="str">
        <f>IF(B7&gt;=75,"OK","Tarkista")</f>
        <v>OK</v>
      </c>
      <c r="E7" t="s">
        <v>145</v>
      </c>
      <c r="G7" t="s">
        <v>585</v>
      </c>
      <c r="H7" s="49">
        <f>COUNTIF('Riskivaroitukset'!M5:M41,"Punainen")</f>
        <v>2</v>
      </c>
      <c r="I7" s="49" t="s">
        <v>246</v>
      </c>
      <c r="J7" s="49" t="str">
        <f>IF(H7=0,"OK","Punainen")</f>
        <v>Punainen</v>
      </c>
      <c r="K7" t="s">
        <v>574</v>
      </c>
    </row>
    <row r="8" spans="1:14">
      <c r="A8" t="s">
        <v>12</v>
      </c>
      <c r="B8" s="50">
        <f>Kuormaoptimointi!B21</f>
        <v>0.54545454545454541</v>
      </c>
      <c r="C8" s="49" t="s">
        <v>631</v>
      </c>
      <c r="D8" s="49" t="str">
        <f>Kuormaoptimointi!D21</f>
        <v>Vajaakuorma</v>
      </c>
      <c r="E8" t="s">
        <v>114</v>
      </c>
      <c r="G8" t="s">
        <v>248</v>
      </c>
      <c r="H8" s="50">
        <f>AVERAGE('TMS Capacity'!H5:H8)</f>
        <v>1.0107142857142857</v>
      </c>
      <c r="I8" s="49" t="s">
        <v>249</v>
      </c>
      <c r="J8" s="49" t="str">
        <f>IF(H8&gt;=0.8,"OK","Tarkista")</f>
        <v>OK</v>
      </c>
      <c r="K8" t="s">
        <v>236</v>
      </c>
    </row>
    <row r="9" spans="1:14">
      <c r="A9" t="s">
        <v>13</v>
      </c>
      <c r="B9" s="50">
        <f>AVERAGE('Asiakas analyysi'!F5:F8)</f>
        <v>0.15002240143369175</v>
      </c>
      <c r="C9" s="49" t="s">
        <v>641</v>
      </c>
      <c r="D9" s="49" t="str">
        <f>IF(B9&gt;=0.15,"OK","Tarkista")</f>
        <v>OK</v>
      </c>
      <c r="E9" t="s">
        <v>570</v>
      </c>
      <c r="G9" t="s">
        <v>400</v>
      </c>
      <c r="H9" s="56">
        <f>SUM('PowerBI karttadata'!K5:K8)</f>
        <v>1608.5</v>
      </c>
      <c r="I9" s="49" t="s">
        <v>642</v>
      </c>
      <c r="J9" s="49" t="e">
        <f>OK</f>
        <v>#NAME?</v>
      </c>
      <c r="K9" t="s">
        <v>577</v>
      </c>
    </row>
    <row r="10" spans="1:14">
      <c r="A10" t="s">
        <v>643</v>
      </c>
      <c r="B10" s="50">
        <f>AVERAGE('Tyhjä ajo'!F5:F7)</f>
        <v>0.12128639334521689</v>
      </c>
      <c r="C10" s="49" t="s">
        <v>581</v>
      </c>
      <c r="D10" s="49" t="str">
        <f>IF(B10&lt;=0.15,"OK","Tarkista")</f>
        <v>OK</v>
      </c>
      <c r="E10" t="s">
        <v>559</v>
      </c>
      <c r="G10" t="s">
        <v>644</v>
      </c>
      <c r="H10" s="49">
        <f>COUNTA('Reittihistoria'!A5:A101)</f>
        <v>4</v>
      </c>
      <c r="I10" s="49" t="s">
        <v>645</v>
      </c>
      <c r="J10" s="49" t="e">
        <f>OK</f>
        <v>#NAME?</v>
      </c>
      <c r="K10" t="s">
        <v>572</v>
      </c>
    </row>
    <row r="13" spans="1:14">
      <c r="A13" s="70" t="s">
        <v>646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</row>
    <row r="14" spans="1:14">
      <c r="A14" s="48" t="s">
        <v>69</v>
      </c>
      <c r="B14" s="48" t="s">
        <v>468</v>
      </c>
      <c r="C14" s="48" t="s">
        <v>469</v>
      </c>
      <c r="D14" s="48" t="s">
        <v>13</v>
      </c>
      <c r="E14" s="48" t="s">
        <v>339</v>
      </c>
      <c r="G14" s="48" t="s">
        <v>258</v>
      </c>
      <c r="H14" s="48" t="s">
        <v>518</v>
      </c>
      <c r="I14" s="48" t="s">
        <v>327</v>
      </c>
      <c r="J14" s="48" t="s">
        <v>13</v>
      </c>
      <c r="K14" s="48" t="s">
        <v>471</v>
      </c>
      <c r="L14" s="48" t="s">
        <v>123</v>
      </c>
    </row>
    <row r="15" spans="1:14">
      <c r="A15" s="49" t="str">
        <f>'Reittihistoria'!C5</f>
        <v>Vantaa → Tampere</v>
      </c>
      <c r="B15" s="49">
        <f>'Reittihistoria'!F5</f>
        <v>180</v>
      </c>
      <c r="C15" s="49">
        <f>'Reittihistoria'!G5</f>
        <v>20</v>
      </c>
      <c r="D15" s="50">
        <f>'Reittihistoria'!K5</f>
        <v>0.22115384615384615</v>
      </c>
      <c r="E15" s="49" t="str">
        <f>'Reittihistoria'!L5</f>
        <v>Kyllä</v>
      </c>
      <c r="G15" s="49" t="str">
        <f>'Asiakas analyysi'!A5</f>
        <v>Asiakas A</v>
      </c>
      <c r="H15" s="49">
        <f>'Asiakas analyysi'!B5</f>
        <v>12</v>
      </c>
      <c r="I15" s="57">
        <f>'Asiakas analyysi'!C5</f>
        <v>24000</v>
      </c>
      <c r="J15" s="50">
        <f>'Asiakas analyysi'!F5</f>
        <v>0.17499999999999999</v>
      </c>
      <c r="K15" s="50">
        <f>'Asiakas analyysi'!I5</f>
        <v>0.10144927536231885</v>
      </c>
      <c r="L15" s="49" t="str">
        <f>'Asiakas analyysi'!L5</f>
        <v>OK</v>
      </c>
    </row>
    <row r="16" spans="1:14">
      <c r="A16" s="49" t="str">
        <f>'Reittihistoria'!C6</f>
        <v>Vantaa → Oulu</v>
      </c>
      <c r="B16" s="49">
        <f>'Reittihistoria'!F6</f>
        <v>600</v>
      </c>
      <c r="C16" s="49">
        <f>'Reittihistoria'!G6</f>
        <v>80</v>
      </c>
      <c r="D16" s="50">
        <f>'Reittihistoria'!K6</f>
        <v>0.18840579710144928</v>
      </c>
      <c r="E16" s="49" t="str">
        <f>'Reittihistoria'!L6</f>
        <v>Kyllä</v>
      </c>
      <c r="G16" s="49" t="str">
        <f>'Asiakas analyysi'!A6</f>
        <v>Asiakas B</v>
      </c>
      <c r="H16" s="49">
        <f>'Asiakas analyysi'!B6</f>
        <v>8</v>
      </c>
      <c r="I16" s="57">
        <f>'Asiakas analyysi'!C6</f>
        <v>13500</v>
      </c>
      <c r="J16" s="50">
        <f>'Asiakas analyysi'!F6</f>
        <v>0.14074074074074075</v>
      </c>
      <c r="K16" s="50">
        <f>'Asiakas analyysi'!I6</f>
        <v>0.11926605504587157</v>
      </c>
      <c r="L16" s="49" t="str">
        <f>'Asiakas analyysi'!L6</f>
        <v>Alle tavoitteen</v>
      </c>
    </row>
    <row r="17" spans="1:12">
      <c r="A17" s="49" t="str">
        <f>'Reittihistoria'!C7</f>
        <v>Turku → Rauma</v>
      </c>
      <c r="B17" s="49">
        <f>'Reittihistoria'!F7</f>
        <v>95</v>
      </c>
      <c r="C17" s="49">
        <f>'Reittihistoria'!G7</f>
        <v>15</v>
      </c>
      <c r="D17" s="50">
        <f>'Reittihistoria'!K7</f>
        <v>0.24242424242424243</v>
      </c>
      <c r="E17" s="49" t="str">
        <f>'Reittihistoria'!L7</f>
        <v>Ei</v>
      </c>
      <c r="G17" s="49" t="str">
        <f>'Asiakas analyysi'!A7</f>
        <v>Asiakas C</v>
      </c>
      <c r="H17" s="49">
        <f>'Asiakas analyysi'!B7</f>
        <v>5</v>
      </c>
      <c r="I17" s="57">
        <f>'Asiakas analyysi'!C7</f>
        <v>6200</v>
      </c>
      <c r="J17" s="50">
        <f>'Asiakas analyysi'!F7</f>
        <v>8.0645161290322578E-2</v>
      </c>
      <c r="K17" s="50">
        <f>'Asiakas analyysi'!I7</f>
        <v>0.16666666666666666</v>
      </c>
      <c r="L17" s="49" t="str">
        <f>'Asiakas analyysi'!L7</f>
        <v>Alle tavoitteen</v>
      </c>
    </row>
    <row r="18" spans="1:12">
      <c r="A18" s="49" t="str">
        <f>'Reittihistoria'!C8</f>
        <v>Tampere → Pori</v>
      </c>
      <c r="B18" s="49">
        <f>'Reittihistoria'!F8</f>
        <v>110</v>
      </c>
      <c r="C18" s="49">
        <f>'Reittihistoria'!G8</f>
        <v>25</v>
      </c>
      <c r="D18" s="50">
        <f>'Reittihistoria'!K8</f>
        <v>0.23255813953488372</v>
      </c>
      <c r="E18" s="49" t="str">
        <f>'Reittihistoria'!L8</f>
        <v>Kyllä</v>
      </c>
      <c r="G18" s="49" t="str">
        <f>'Asiakas analyysi'!A8</f>
        <v>Asiakas F</v>
      </c>
      <c r="H18" s="49">
        <f>'Asiakas analyysi'!B8</f>
        <v>4</v>
      </c>
      <c r="I18" s="57">
        <f>'Asiakas analyysi'!C8</f>
        <v>5400</v>
      </c>
      <c r="J18" s="50">
        <f>'Asiakas analyysi'!F8</f>
        <v>0.20370370370370369</v>
      </c>
      <c r="K18" s="50">
        <f>'Asiakas analyysi'!I8</f>
        <v>0.1111111111111111</v>
      </c>
      <c r="L18" s="49" t="str">
        <f>'Asiakas analyysi'!L8</f>
        <v>OK</v>
      </c>
    </row>
  </sheetData>
  <mergeCells count="4">
    <mergeCell ref="A1:N1"/>
    <mergeCell ref="A2:N2"/>
    <mergeCell ref="A4:N4"/>
    <mergeCell ref="A13:N13"/>
  </mergeCells>
  <conditionalFormatting sqref="D6:D10">
    <cfRule type="expression" dxfId="3" priority="1">
      <formula>OR(D6="OK",D6="Hyvä")</formula>
    </cfRule>
    <cfRule type="expression" dxfId="2" priority="2">
      <formula>OR(D6="Tarkista",D6="Punainen",D6="Vajaakuorma")</formula>
    </cfRule>
  </conditionalFormatting>
  <conditionalFormatting sqref="J6:J10">
    <cfRule type="expression" dxfId="1" priority="3">
      <formula>J6="OK"</formula>
    </cfRule>
    <cfRule type="expression" dxfId="0" priority="4">
      <formula>OR(J6="Tarkista",J6="Punainen")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35</vt:i4>
      </vt:variant>
    </vt:vector>
  </HeadingPairs>
  <TitlesOfParts>
    <vt:vector size="35" baseType="lpstr">
      <vt:lpstr>Logistics Optimizer Dashboard</vt:lpstr>
      <vt:lpstr>Lähetykset</vt:lpstr>
      <vt:lpstr>Reittivaihtoehdot</vt:lpstr>
      <vt:lpstr>Painotukset</vt:lpstr>
      <vt:lpstr>Optimointi</vt:lpstr>
      <vt:lpstr>Kuormaoptimointi</vt:lpstr>
      <vt:lpstr>Ohje</vt:lpstr>
      <vt:lpstr>Testiraportti</vt:lpstr>
      <vt:lpstr>TMS Dashboard</vt:lpstr>
      <vt:lpstr>TMS Orders</vt:lpstr>
      <vt:lpstr>TMS Consolidation</vt:lpstr>
      <vt:lpstr>TMS Dynamic Routing</vt:lpstr>
      <vt:lpstr>TMS Carrier Selection</vt:lpstr>
      <vt:lpstr>TMS Cost per Order</vt:lpstr>
      <vt:lpstr>TMS Tracking</vt:lpstr>
      <vt:lpstr>TMS Exceptions</vt:lpstr>
      <vt:lpstr>TMS Tendering</vt:lpstr>
      <vt:lpstr>TMS Capacity</vt:lpstr>
      <vt:lpstr>TMS Network</vt:lpstr>
      <vt:lpstr>TMS Testiraportti</vt:lpstr>
      <vt:lpstr>ETA-laskenta</vt:lpstr>
      <vt:lpstr>Ajopäivän simulointi</vt:lpstr>
      <vt:lpstr>Tyhjä ajo</vt:lpstr>
      <vt:lpstr>Palautettu_Taul1</vt:lpstr>
      <vt:lpstr>Trailerityyppi vaikutus</vt:lpstr>
      <vt:lpstr>CO2 yksikkökohtainen</vt:lpstr>
      <vt:lpstr>Asiakas analyysi</vt:lpstr>
      <vt:lpstr>Reittihistoria</vt:lpstr>
      <vt:lpstr>Riskivaroitukset</vt:lpstr>
      <vt:lpstr>PowerBI karttadata</vt:lpstr>
      <vt:lpstr>Analytiikka 1-10 Dashboard</vt:lpstr>
      <vt:lpstr>Analytiikka 1-10 Testiraportti</vt:lpstr>
      <vt:lpstr>AI Score Dashboard</vt:lpstr>
      <vt:lpstr>Trailer Layout</vt:lpstr>
      <vt:lpstr>Power BI KPI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Toni Voutilainen</cp:lastModifiedBy>
  <dcterms:modified xsi:type="dcterms:W3CDTF">2026-05-03T10:56:04Z</dcterms:modified>
</cp:coreProperties>
</file>