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tables/table13.xml" ContentType="application/vnd.openxmlformats-officedocument.spreadsheetml.table+xml"/>
  <Override PartName="/xl/worksheets/sheet18.xml" ContentType="application/vnd.openxmlformats-officedocument.spreadsheetml.worksheet+xml"/>
  <Override PartName="/xl/tables/table14.xml" ContentType="application/vnd.openxmlformats-officedocument.spreadsheetml.table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6.xml" ContentType="application/vnd.openxmlformats-officedocument.spreadsheetml.table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  <Override PartName="/xl/worksheets/sheet23.xml" ContentType="application/vnd.openxmlformats-officedocument.spreadsheetml.worksheet+xml"/>
  <Override PartName="/xl/tables/table18.xml" ContentType="application/vnd.openxmlformats-officedocument.spreadsheetml.table+xml"/>
  <Override PartName="/xl/worksheets/sheet24.xml" ContentType="application/vnd.openxmlformats-officedocument.spreadsheetml.worksheet+xml"/>
  <Override PartName="/xl/tables/table19.xml" ContentType="application/vnd.openxmlformats-officedocument.spreadsheetml.table+xml"/>
  <Override PartName="/xl/worksheets/sheet25.xml" ContentType="application/vnd.openxmlformats-officedocument.spreadsheetml.worksheet+xml"/>
  <Override PartName="/xl/tables/table20.xml" ContentType="application/vnd.openxmlformats-officedocument.spreadsheetml.table+xml"/>
  <Override PartName="/xl/worksheets/sheet26.xml" ContentType="application/vnd.openxmlformats-officedocument.spreadsheetml.worksheet+xml"/>
  <Override PartName="/xl/tables/table21.xml" ContentType="application/vnd.openxmlformats-officedocument.spreadsheetml.table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tables/table24.xml" ContentType="application/vnd.openxmlformats-officedocument.spreadsheetml.table+xml"/>
  <Override PartName="/xl/worksheets/sheet30.xml" ContentType="application/vnd.openxmlformats-officedocument.spreadsheetml.worksheet+xml"/>
  <Override PartName="/xl/tables/table25.xml" ContentType="application/vnd.openxmlformats-officedocument.spreadsheetml.table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92db1a205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istics Optimizer Dashboard" sheetId="1" r:id="R4716e31ef03040ed"/>
    <x:sheet xmlns:r="http://schemas.openxmlformats.org/officeDocument/2006/relationships" name="Lähetykset" sheetId="2" r:id="Re4e981015ed74b02"/>
    <x:sheet xmlns:r="http://schemas.openxmlformats.org/officeDocument/2006/relationships" name="Reittivaihtoehdot" sheetId="3" r:id="R4fda3b8eced94160"/>
    <x:sheet xmlns:r="http://schemas.openxmlformats.org/officeDocument/2006/relationships" name="Painotukset" sheetId="4" r:id="R754557c457754552"/>
    <x:sheet xmlns:r="http://schemas.openxmlformats.org/officeDocument/2006/relationships" name="Optimointi" sheetId="5" r:id="R9f5fc3e6efcd46bd"/>
    <x:sheet xmlns:r="http://schemas.openxmlformats.org/officeDocument/2006/relationships" name="Kuormaoptimointi" sheetId="6" r:id="Rbb3094a502ce4d58"/>
    <x:sheet xmlns:r="http://schemas.openxmlformats.org/officeDocument/2006/relationships" name="Ohje" sheetId="7" r:id="R816aafed1a694856"/>
    <x:sheet xmlns:r="http://schemas.openxmlformats.org/officeDocument/2006/relationships" name="Testiraportti" sheetId="8" r:id="Rb79ca25305bd49c9"/>
    <x:sheet xmlns:r="http://schemas.openxmlformats.org/officeDocument/2006/relationships" name="TMS Dashboard" sheetId="9" r:id="R4c7c1973acc24a18"/>
    <x:sheet xmlns:r="http://schemas.openxmlformats.org/officeDocument/2006/relationships" name="TMS Orders" sheetId="10" r:id="Ra13fc19967d44561"/>
    <x:sheet xmlns:r="http://schemas.openxmlformats.org/officeDocument/2006/relationships" name="TMS Consolidation" sheetId="11" r:id="R7b1ae7fc6a0e4c17"/>
    <x:sheet xmlns:r="http://schemas.openxmlformats.org/officeDocument/2006/relationships" name="TMS Dynamic Routing" sheetId="12" r:id="R4db187875aef49d4"/>
    <x:sheet xmlns:r="http://schemas.openxmlformats.org/officeDocument/2006/relationships" name="TMS Carrier Selection" sheetId="13" r:id="R2c88749deaed45a5"/>
    <x:sheet xmlns:r="http://schemas.openxmlformats.org/officeDocument/2006/relationships" name="TMS Cost per Order" sheetId="14" r:id="R55ada58b618b46fa"/>
    <x:sheet xmlns:r="http://schemas.openxmlformats.org/officeDocument/2006/relationships" name="TMS Tracking" sheetId="15" r:id="Rb06e2f2f23bd43ea"/>
    <x:sheet xmlns:r="http://schemas.openxmlformats.org/officeDocument/2006/relationships" name="TMS Exceptions" sheetId="16" r:id="Rd5c7efe4449443c5"/>
    <x:sheet xmlns:r="http://schemas.openxmlformats.org/officeDocument/2006/relationships" name="TMS Tendering" sheetId="17" r:id="R88a3ad03a5134cb6"/>
    <x:sheet xmlns:r="http://schemas.openxmlformats.org/officeDocument/2006/relationships" name="TMS Capacity" sheetId="18" r:id="Rf0c91a24c05744ac"/>
    <x:sheet xmlns:r="http://schemas.openxmlformats.org/officeDocument/2006/relationships" name="TMS Network" sheetId="19" r:id="R5c442a5cc6c44a44"/>
    <x:sheet xmlns:r="http://schemas.openxmlformats.org/officeDocument/2006/relationships" name="TMS Testiraportti" sheetId="20" r:id="R002b1aef20df49d1"/>
    <x:sheet xmlns:r="http://schemas.openxmlformats.org/officeDocument/2006/relationships" name="ETA-laskenta" sheetId="21" r:id="R7cc466b0d222464c"/>
    <x:sheet xmlns:r="http://schemas.openxmlformats.org/officeDocument/2006/relationships" name="Ajopäivän simulointi" sheetId="22" r:id="Ra8476ba144a74fe8"/>
    <x:sheet xmlns:r="http://schemas.openxmlformats.org/officeDocument/2006/relationships" name="Tyhjä ajo" sheetId="23" r:id="Re320388ad056407f"/>
    <x:sheet xmlns:r="http://schemas.openxmlformats.org/officeDocument/2006/relationships" name="€/km KPI" sheetId="24" r:id="Rece46039eca34104"/>
    <x:sheet xmlns:r="http://schemas.openxmlformats.org/officeDocument/2006/relationships" name="Trailerityyppi vaikutus" sheetId="25" r:id="R9a653d37049c4d77"/>
    <x:sheet xmlns:r="http://schemas.openxmlformats.org/officeDocument/2006/relationships" name="CO2 yksikkökohtainen" sheetId="26" r:id="Rba41996be62945ef"/>
    <x:sheet xmlns:r="http://schemas.openxmlformats.org/officeDocument/2006/relationships" name="Asiakas analyysi" sheetId="27" r:id="Rd6833ab2cdf0470e"/>
    <x:sheet xmlns:r="http://schemas.openxmlformats.org/officeDocument/2006/relationships" name="Reittihistoria" sheetId="28" r:id="Ra88d5b1c22384b21"/>
    <x:sheet xmlns:r="http://schemas.openxmlformats.org/officeDocument/2006/relationships" name="Riskivaroitukset" sheetId="29" r:id="Ra77dd3f90b4c4d1c"/>
    <x:sheet xmlns:r="http://schemas.openxmlformats.org/officeDocument/2006/relationships" name="PowerBI karttadata" sheetId="30" r:id="R76a2b10663c24395"/>
    <x:sheet xmlns:r="http://schemas.openxmlformats.org/officeDocument/2006/relationships" name="Analytiikka 1-10 Dashboard" sheetId="31" r:id="R568b722dc9c84a39"/>
    <x:sheet xmlns:r="http://schemas.openxmlformats.org/officeDocument/2006/relationships" name="Analytiikka 1-10 Testiraportti" sheetId="32" r:id="R572d2803b0fe4760"/>
    <x:sheet xmlns:r="http://schemas.openxmlformats.org/officeDocument/2006/relationships" name="AI Score Dashboard" sheetId="33" r:id="R39ff055a41ee4f6f"/>
    <x:sheet xmlns:r="http://schemas.openxmlformats.org/officeDocument/2006/relationships" name="Trailer Layout" sheetId="34" r:id="Re24087def05c41b7"/>
    <x:sheet xmlns:r="http://schemas.openxmlformats.org/officeDocument/2006/relationships" name="Power BI KPI Dashboard" sheetId="35" r:id="R27a1fea442ef47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0.00"/>
    <x:numFmt numFmtId="202" formatCode="0.0"/>
    <x:numFmt numFmtId="203" formatCode="0"/>
    <x:numFmt numFmtId="204" formatCode="dd.mm.yyyy"/>
    <x:numFmt numFmtId="205" formatCode="dd.mm.yyyy hh:mm"/>
    <x:numFmt numFmtId="206" formatCode="#,##0 €"/>
    <x:numFmt numFmtId="207" formatCode="#,##0.00 €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0"/>
      <x:color rgb="666666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sz val="11"/>
      <x:color rgb="0000FF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7365D"/>
      </x:patternFill>
    </x:fill>
    <x:fill>
      <x:patternFill patternType="solid">
        <x:fgColor rgb="D9EAF7"/>
      </x:patternFill>
    </x:fill>
    <x:fill>
      <x:patternFill patternType="solid">
        <x:fgColor rgb="F1F8EC"/>
      </x:patternFill>
    </x:fill>
    <x:fill>
      <x:patternFill patternType="solid">
        <x:fgColor rgb="EAF4FB"/>
      </x:patternFill>
    </x:fill>
    <x:fill>
      <x:patternFill patternType="solid">
        <x:fgColor rgb="D9EAF7"/>
      </x:patternFill>
    </x:fill>
    <x:fill>
      <x:patternFill patternType="solid">
        <x:fgColor rgb="F1F8EC"/>
      </x:patternFill>
    </x:fill>
    <x:fill>
      <x:patternFill patternType="solid">
        <x:fgColor rgb="EAF4FB"/>
      </x:patternFill>
    </x:fill>
    <x:fill>
      <x:patternFill patternType="solid">
        <x:fgColor rgb="17365D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1F8EC"/>
      </x:patternFill>
    </x:fill>
    <x:fill>
      <x:patternFill patternType="solid">
        <x:fgColor rgb="1F4E78"/>
      </x:patternFill>
    </x:fill>
    <x:fill>
      <x:patternFill patternType="solid">
        <x:fgColor rgb="17365D"/>
      </x:patternFill>
    </x:fill>
    <x:fill>
      <x:patternFill patternType="solid">
        <x:fgColor rgb="D9EAF7"/>
      </x:patternFill>
    </x:fill>
    <x:fill>
      <x:patternFill patternType="solid">
        <x:fgColor rgb="EAF4FB"/>
      </x:patternFill>
    </x:fill>
    <x:fill>
      <x:patternFill patternType="solid">
        <x:fgColor rgb="F1F8EC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AF4FB"/>
      </x:patternFill>
    </x:fill>
    <x:fill>
      <x:patternFill patternType="solid">
        <x:fgColor rgb="F1F8EC"/>
      </x:patternFill>
    </x:fill>
    <x:fill>
      <x:patternFill patternType="solid">
        <x:fgColor rgb="17365D"/>
      </x:patternFill>
    </x:fill>
    <x:fill>
      <x:patternFill patternType="solid">
        <x:fgColor rgb="1F4E78"/>
      </x:patternFill>
    </x:fill>
    <x:fill>
      <x:patternFill patternType="solid">
        <x:fgColor rgb="17365D"/>
      </x:patternFill>
    </x:fill>
    <x:fill>
      <x:patternFill patternType="solid">
        <x:fgColor rgb="D9EAF7"/>
      </x:patternFill>
    </x:fill>
    <x:fill>
      <x:patternFill patternType="solid">
        <x:fgColor rgb="F1F8EC"/>
      </x:patternFill>
    </x:fill>
    <x:fill>
      <x:patternFill patternType="solid">
        <x:fgColor rgb="E2F0D9"/>
      </x:patternFill>
    </x:fill>
    <x:fill>
      <x:patternFill patternType="solid">
        <x:fgColor rgb="F2F2F2"/>
      </x:patternFill>
    </x:fill>
  </x:fills>
  <x:borders count="3">
    <x:border/>
    <x:border/>
    <x:border>
      <x:bottom>
        <x:color rgb="D9D9D9"/>
      </x:bottom>
    </x:border>
  </x:borders>
  <x:cellStyleXfs count="1">
    <x:xf numFmtId="0" fontId="0" fillId="0" borderId="0"/>
  </x:cellStyleXfs>
  <x:cellXfs count="2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200" fontId="5" fillId="6" borderId="0" xfId="0" applyNumberFormat="1" applyFont="1" applyFill="1" applyBorder="1" applyAlignment="1">
      <x:alignment wrapText="1"/>
    </x:xf>
    <x:xf numFmtId="200" fontId="5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5" borderId="0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xfId="0" applyNumberFormat="1" applyFont="1" applyFill="1" applyBorder="0" applyAlignment="1">
      <x:alignment horizontal="center" vertical="center" wrapText="1"/>
    </x:xf>
    <x:xf numFmtId="0" fontId="4" fillId="7" xfId="0" applyNumberFormat="1" applyFont="1" applyFill="1" applyBorder="0"/>
    <x:xf numFmtId="0" fontId="4" fillId="7" xfId="0" applyNumberFormat="1" applyFont="1" applyFill="1" applyBorder="0" applyAlignment="1">
      <x:alignment wrapText="1"/>
    </x:xf>
    <x:xf numFmtId="0" fontId="4" fillId="7" xfId="0" applyNumberFormat="1" applyFont="1" applyFill="1" applyBorder="0" applyAlignment="1">
      <x:alignment horizontal="center" wrapText="1"/>
    </x:xf>
    <x:xf numFmtId="0" fontId="0" fillId="8" borderId="0" xfId="0" applyNumberFormat="1" applyFont="1" applyFill="1" applyBorder="1" applyAlignment="1">
      <x:alignment wrapText="1"/>
    </x:xf>
    <x:xf numFmtId="203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203" fontId="0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203" fontId="5" fillId="9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203" fontId="5" fillId="8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left" vertical="center"/>
    </x:xf>
    <x:xf numFmtId="200" fontId="0" fillId="8" borderId="0" xfId="0" applyNumberFormat="1" applyFont="1" applyFill="1" applyBorder="1" applyAlignment="1">
      <x:alignment wrapText="1"/>
    </x:xf>
    <x:xf numFmtId="0" fontId="4" fillId="4" xfId="0" applyNumberFormat="1" applyFont="1" applyFill="1" applyBorder="0" applyAlignment="1">
      <x:alignment horizontal="center" vertical="center" wrapText="1"/>
    </x:xf>
    <x:xf numFmtId="0" fontId="4" fillId="4" xfId="0" applyNumberFormat="1" applyFont="1" applyFill="1" applyBorder="0"/>
    <x:xf numFmtId="0" fontId="4" fillId="4" xfId="0" applyNumberFormat="1" applyFont="1" applyFill="1" applyBorder="0" applyAlignment="1">
      <x:alignment wrapText="1"/>
    </x:xf>
    <x:xf numFmtId="0" fontId="4" fillId="4" xfId="0" applyNumberFormat="1" applyFont="1" applyFill="1" applyBorder="0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  <x:xf numFmtId="203" fontId="0" fillId="6" borderId="0" xfId="0" applyNumberFormat="1" applyFont="1" applyFill="1" applyBorder="1" applyAlignment="1">
      <x:alignment wrapText="1"/>
    </x:xf>
    <x:xf numFmtId="203" fontId="5" fillId="6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203" fontId="5" fillId="5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left" wrapText="1"/>
    </x:xf>
    <x:xf numFmtId="0" fontId="1" fillId="11" borderId="0" xfId="0" applyNumberFormat="1" applyFont="1" applyFill="1" applyBorder="1" applyAlignment="1">
      <x:alignment horizontal="left" vertic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horizont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/>
    <x:xf numFmtId="0" fontId="0" fillId="0" borderId="2" xfId="0" applyNumberFormat="1" applyFont="1" applyFill="1" applyBorder="1"/>
    <x:xf numFmtId="0" fontId="0" fillId="0" xfId="0" applyNumberFormat="1" applyFont="1" applyFill="1" applyBorder="0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13" xfId="0" applyNumberFormat="1" applyFont="1" applyFill="1" applyBorder="0" applyAlignment="1">
      <x:alignment wrapText="1"/>
    </x:xf>
    <x:xf numFmtId="0" fontId="0" fillId="13" borderId="2" xfId="0" applyNumberFormat="1" applyFont="1" applyFill="1" applyBorder="1" applyAlignment="1">
      <x:alignment wrapText="1"/>
    </x:xf>
    <x:xf numFmtId="0" fontId="0" fillId="5" xfId="0" applyNumberFormat="1" applyFont="1" applyFill="1" applyBorder="0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left" wrapText="1"/>
    </x:xf>
    <x:xf numFmtId="0" fontId="1" fillId="14" borderId="0" xfId="0" applyNumberFormat="1" applyFont="1" applyFill="1" applyBorder="1" applyAlignment="1">
      <x:alignment horizontal="left" vertical="center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horizontal="left"/>
    </x:xf>
    <x:xf numFmtId="0" fontId="3" fillId="15" borderId="0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xfId="0" applyNumberFormat="1" applyFont="1" applyFill="1" applyBorder="0"/>
    <x:xf numFmtId="0" fontId="4" fillId="16" xfId="0" applyNumberFormat="1" applyFont="1" applyFill="1" applyBorder="0" applyAlignment="1">
      <x:alignment wrapText="1"/>
    </x:xf>
    <x:xf numFmtId="0" fontId="4" fillId="16" xfId="0" applyNumberFormat="1" applyFont="1" applyFill="1" applyBorder="0" applyAlignment="1">
      <x:alignment horizontal="center" wrapText="1"/>
    </x:xf>
    <x:xf numFmtId="0" fontId="4" fillId="16" xfId="0" applyNumberFormat="1" applyFont="1" applyFill="1" applyBorder="0" applyAlignment="1">
      <x:alignment horizontal="center" vertical="center" wrapText="1"/>
    </x:xf>
    <x:xf numFmtId="0" fontId="0" fillId="17" borderId="0" xfId="0" applyNumberFormat="1" applyFont="1" applyFill="1" applyBorder="1"/>
    <x:xf numFmtId="0" fontId="5" fillId="17" borderId="0" xfId="0" applyNumberFormat="1" applyFont="1" applyFill="1" applyBorder="1"/>
    <x:xf numFmtId="0" fontId="5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200" fontId="0" fillId="18" borderId="0" xfId="0" applyNumberFormat="1" applyFont="1" applyFill="1" applyBorder="1" applyAlignment="1">
      <x:alignment wrapText="1"/>
    </x:xf>
    <x:xf numFmtId="204" fontId="5" fillId="17" borderId="0" xfId="0" applyNumberFormat="1" applyFont="1" applyFill="1" applyBorder="1" applyAlignment="1">
      <x:alignment wrapText="1"/>
    </x:xf>
    <x:xf numFmtId="205" fontId="5" fillId="17" borderId="0" xfId="0" applyNumberFormat="1" applyFont="1" applyFill="1" applyBorder="1" applyAlignment="1">
      <x:alignment wrapText="1"/>
    </x:xf>
    <x:xf numFmtId="205" fontId="0" fillId="18" borderId="0" xfId="0" applyNumberFormat="1" applyFont="1" applyFill="1" applyBorder="1" applyAlignment="1">
      <x:alignment wrapText="1"/>
    </x:xf>
    <x:xf numFmtId="206" fontId="5" fillId="17" borderId="0" xfId="0" applyNumberFormat="1" applyFont="1" applyFill="1" applyBorder="1" applyAlignment="1">
      <x:alignment wrapText="1"/>
    </x:xf>
    <x:xf numFmtId="200" fontId="5" fillId="17" borderId="0" xfId="0" applyNumberFormat="1" applyFont="1" applyFill="1" applyBorder="1" applyAlignment="1">
      <x:alignment wrapText="1"/>
    </x:xf>
    <x:xf numFmtId="206" fontId="0" fillId="18" borderId="0" xfId="0" applyNumberFormat="1" applyFont="1" applyFill="1" applyBorder="1" applyAlignment="1">
      <x:alignment wrapText="1"/>
    </x:xf>
    <x:xf numFmtId="207" fontId="0" fillId="18" borderId="0" xfId="0" applyNumberFormat="1" applyFont="1" applyFill="1" applyBorder="1" applyAlignment="1">
      <x:alignment wrapText="1"/>
    </x:xf>
    <x:xf numFmtId="204" fontId="5" fillId="6" borderId="0" xfId="0" applyNumberFormat="1" applyFont="1" applyFill="1" applyBorder="1" applyAlignment="1">
      <x:alignment wrapText="1"/>
    </x:xf>
    <x:xf numFmtId="205" fontId="5" fillId="6" borderId="0" xfId="0" applyNumberFormat="1" applyFont="1" applyFill="1" applyBorder="1" applyAlignment="1">
      <x:alignment wrapText="1"/>
    </x:xf>
    <x:xf numFmtId="205" fontId="0" fillId="5" borderId="0" xfId="0" applyNumberFormat="1" applyFont="1" applyFill="1" applyBorder="1" applyAlignment="1">
      <x:alignment wrapText="1"/>
    </x:xf>
    <x:xf numFmtId="206" fontId="5" fillId="6" borderId="0" xfId="0" applyNumberFormat="1" applyFont="1" applyFill="1" applyBorder="1" applyAlignment="1">
      <x:alignment wrapText="1"/>
    </x:xf>
    <x:xf numFmtId="206" fontId="0" fillId="5" borderId="0" xfId="0" applyNumberFormat="1" applyFont="1" applyFill="1" applyBorder="1" applyAlignment="1">
      <x:alignment wrapText="1"/>
    </x:xf>
    <x:xf numFmtId="207" fontId="0" fillId="5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1" fillId="19" borderId="0" xfId="0" applyNumberFormat="1" applyFont="1" applyFill="1" applyBorder="1" applyAlignment="1">
      <x:alignment horizontal="left" wrapText="1"/>
    </x:xf>
    <x:xf numFmtId="0" fontId="1" fillId="19" borderId="0" xfId="0" applyNumberFormat="1" applyFont="1" applyFill="1" applyBorder="1" applyAlignment="1">
      <x:alignment horizontal="left" vertical="center" wrapText="1"/>
    </x:xf>
    <x:xf numFmtId="0" fontId="0" fillId="20" borderId="0" xfId="0" applyNumberFormat="1" applyFont="1" applyFill="1" applyBorder="1"/>
    <x:xf numFmtId="0" fontId="4" fillId="20" borderId="0" xfId="0" applyNumberFormat="1" applyFont="1" applyFill="1" applyBorder="1"/>
    <x:xf numFmtId="0" fontId="4" fillId="20" xfId="0" applyNumberFormat="1" applyFont="1" applyFill="1" applyBorder="0"/>
    <x:xf numFmtId="0" fontId="4" fillId="20" xfId="0" applyNumberFormat="1" applyFont="1" applyFill="1" applyBorder="0" applyAlignment="1">
      <x:alignment wrapText="1"/>
    </x:xf>
    <x:xf numFmtId="0" fontId="4" fillId="20" xfId="0" applyNumberFormat="1" applyFont="1" applyFill="1" applyBorder="0" applyAlignment="1">
      <x:alignment horizontal="center" wrapText="1"/>
    </x:xf>
    <x:xf numFmtId="0" fontId="4" fillId="20" xfId="0" applyNumberFormat="1" applyFont="1" applyFill="1" applyBorder="0" applyAlignment="1">
      <x:alignment horizontal="center" vertical="center" wrapText="1"/>
    </x:xf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5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wrapText="1"/>
    </x:xf>
    <x:xf numFmtId="205" fontId="5" fillId="21" borderId="0" xfId="0" applyNumberFormat="1" applyFont="1" applyFill="1" applyBorder="1" applyAlignment="1">
      <x:alignment wrapText="1"/>
    </x:xf>
    <x:xf numFmtId="205" fontId="0" fillId="22" borderId="0" xfId="0" applyNumberFormat="1" applyFont="1" applyFill="1" applyBorder="1" applyAlignment="1">
      <x:alignment wrapText="1"/>
    </x:xf>
    <x:xf numFmtId="205" fontId="5" fillId="22" borderId="0" xfId="0" applyNumberFormat="1" applyFont="1" applyFill="1" applyBorder="1" applyAlignment="1">
      <x:alignment wrapText="1"/>
    </x:xf>
    <x:xf numFmtId="200" fontId="0" fillId="22" borderId="0" xfId="0" applyNumberFormat="1" applyFont="1" applyFill="1" applyBorder="1" applyAlignment="1">
      <x:alignment wrapText="1"/>
    </x:xf>
    <x:xf numFmtId="207" fontId="5" fillId="21" borderId="0" xfId="0" applyNumberFormat="1" applyFont="1" applyFill="1" applyBorder="1" applyAlignment="1">
      <x:alignment wrapText="1"/>
    </x:xf>
    <x:xf numFmtId="207" fontId="0" fillId="22" borderId="0" xfId="0" applyNumberFormat="1" applyFont="1" applyFill="1" applyBorder="1" applyAlignment="1">
      <x:alignment wrapText="1"/>
    </x:xf>
    <x:xf numFmtId="206" fontId="5" fillId="21" borderId="0" xfId="0" applyNumberFormat="1" applyFont="1" applyFill="1" applyBorder="1" applyAlignment="1">
      <x:alignment wrapText="1"/>
    </x:xf>
    <x:xf numFmtId="201" fontId="0" fillId="22" borderId="0" xfId="0" applyNumberFormat="1" applyFont="1" applyFill="1" applyBorder="1" applyAlignment="1">
      <x:alignment wrapText="1"/>
    </x:xf>
    <x:xf numFmtId="201" fontId="5" fillId="21" borderId="0" xfId="0" applyNumberFormat="1" applyFont="1" applyFill="1" applyBorder="1" applyAlignment="1">
      <x:alignment wrapText="1"/>
    </x:xf>
    <x:xf numFmtId="206" fontId="0" fillId="22" borderId="0" xfId="0" applyNumberFormat="1" applyFont="1" applyFill="1" applyBorder="1" applyAlignment="1">
      <x:alignment wrapText="1"/>
    </x:xf>
    <x:xf numFmtId="200" fontId="5" fillId="22" borderId="0" xfId="0" applyNumberFormat="1" applyFont="1" applyFill="1" applyBorder="1" applyAlignment="1">
      <x:alignment wrapText="1"/>
    </x:xf>
    <x:xf numFmtId="204" fontId="5" fillId="21" borderId="0" xfId="0" applyNumberFormat="1" applyFont="1" applyFill="1" applyBorder="1" applyAlignment="1">
      <x:alignment wrapText="1"/>
    </x:xf>
    <x:xf numFmtId="200" fontId="5" fillId="21" borderId="0" xfId="0" applyNumberFormat="1" applyFont="1" applyFill="1" applyBorder="1" applyAlignment="1">
      <x:alignment wrapText="1"/>
    </x:xf>
    <x:xf numFmtId="202" fontId="5" fillId="21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horizontal="left"/>
    </x:xf>
    <x:xf numFmtId="0" fontId="3" fillId="23" borderId="0" xfId="0" applyNumberFormat="1" applyFont="1" applyFill="1" applyBorder="1" applyAlignment="1">
      <x:alignment horizontal="left" vertical="center"/>
    </x:xf>
    <x:xf numFmtId="205" fontId="5" fillId="5" borderId="0" xfId="0" applyNumberFormat="1" applyFont="1" applyFill="1" applyBorder="1" applyAlignment="1">
      <x:alignment wrapText="1"/>
    </x:xf>
    <x:xf numFmtId="207" fontId="5" fillId="6" borderId="0" xfId="0" applyNumberFormat="1" applyFont="1" applyFill="1" applyBorder="1" applyAlignment="1">
      <x:alignment wrapText="1"/>
    </x:xf>
    <x:xf numFmtId="201" fontId="5" fillId="6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202" fontId="5" fillId="6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wrapText="1"/>
    </x:xf>
    <x:xf numFmtId="0" fontId="1" fillId="24" borderId="0" xfId="0" applyNumberFormat="1" applyFont="1" applyFill="1" applyBorder="1" applyAlignment="1">
      <x:alignment horizontal="left" wrapText="1"/>
    </x:xf>
    <x:xf numFmtId="0" fontId="1" fillId="24" borderId="0" xfId="0" applyNumberFormat="1" applyFont="1" applyFill="1" applyBorder="1" applyAlignment="1">
      <x:alignment horizontal="left" vertical="center" wrapText="1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horizontal="left"/>
    </x:xf>
    <x:xf numFmtId="0" fontId="3" fillId="25" borderId="0" xfId="0" applyNumberFormat="1" applyFont="1" applyFill="1" applyBorder="1" applyAlignment="1">
      <x:alignment horizontal="left" vertical="center"/>
    </x:xf>
    <x:xf numFmtId="0" fontId="0" fillId="26" borderId="0" xfId="0" applyNumberFormat="1" applyFont="1" applyFill="1" applyBorder="1"/>
    <x:xf numFmtId="0" fontId="4" fillId="26" borderId="0" xfId="0" applyNumberFormat="1" applyFont="1" applyFill="1" applyBorder="1"/>
    <x:xf numFmtId="0" fontId="4" fillId="26" xfId="0" applyNumberFormat="1" applyFont="1" applyFill="1" applyBorder="0"/>
    <x:xf numFmtId="0" fontId="4" fillId="26" xfId="0" applyNumberFormat="1" applyFont="1" applyFill="1" applyBorder="0" applyAlignment="1">
      <x:alignment wrapText="1"/>
    </x:xf>
    <x:xf numFmtId="0" fontId="4" fillId="26" xfId="0" applyNumberFormat="1" applyFont="1" applyFill="1" applyBorder="0" applyAlignment="1">
      <x:alignment horizontal="center" wrapText="1"/>
    </x:xf>
    <x:xf numFmtId="0" fontId="4" fillId="26" xfId="0" applyNumberFormat="1" applyFont="1" applyFill="1" applyBorder="0" applyAlignment="1">
      <x:alignment horizontal="center" vertical="center" wrapText="1"/>
    </x:xf>
    <x:xf numFmtId="0" fontId="0" fillId="27" borderId="0" xfId="0" applyNumberFormat="1" applyFont="1" applyFill="1" applyBorder="1"/>
    <x:xf numFmtId="0" fontId="0" fillId="27" borderId="0" xfId="0" applyNumberFormat="1" applyFont="1" applyFill="1" applyBorder="1" applyAlignment="1">
      <x:alignment wrapText="1"/>
    </x:xf>
    <x:xf numFmtId="200" fontId="0" fillId="27" borderId="0" xfId="0" applyNumberFormat="1" applyFont="1" applyFill="1" applyBorder="1" applyAlignment="1">
      <x:alignment wrapText="1"/>
    </x:xf>
    <x:xf numFmtId="202" fontId="0" fillId="27" borderId="0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horizont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26" xfId="0" applyNumberFormat="1" applyFont="1" applyFill="1" applyBorder="0" applyAlignment="1">
      <x:alignment horizontal="center" vertical="center" wrapText="1"/>
    </x:xf>
    <x:xf numFmtId="0" fontId="0" fillId="28" xfId="0" applyNumberFormat="1" applyFont="1" applyFill="1" applyBorder="0" applyAlignment="1">
      <x:alignment horizontal="center" vertical="center" wrapText="1"/>
    </x:xf>
    <x:xf numFmtId="0" fontId="0" fillId="29" xfId="0" applyNumberFormat="1" applyFont="1" applyFill="1" applyBorder="0" applyAlignment="1">
      <x:alignment horizontal="center" vertical="center" wrapText="1"/>
    </x:xf>
    <x:xf numFmtId="0" fontId="4" fillId="29" xfId="0" applyNumberFormat="1" applyFont="1" applyFill="1" applyBorder="0" applyAlignment="1">
      <x:alignment horizontal="center" vertical="center" wrapText="1"/>
    </x:xf>
    <x:xf numFmtId="203" fontId="0" fillId="27" borderId="0" xfId="0" applyNumberFormat="1" applyFont="1" applyFill="1" applyBorder="1" applyAlignment="1">
      <x:alignment wrapText="1"/>
    </x:xf>
    <x:xf numFmtId="206" fontId="0" fillId="27" borderId="0" xfId="0" applyNumberFormat="1" applyFont="1" applyFill="1" applyBorder="1" applyAlignment="1">
      <x:alignment wrapText="1"/>
    </x:xf>
  </x:cellXfs>
  <x:cellStyles count="1">
    <x:cellStyle name="Normal" xfId="0"/>
  </x:cellStyles>
  <x:dxfs count="15">
    <x:dxf>
      <x:fill>
        <x:patternFill>
          <x:bgColor rgb="F4CCCC"/>
        </x:patternFill>
      </x:fill>
    </x:dxf>
    <x:dxf>
      <x:font>
        <x:b/>
      </x:font>
      <x:fill>
        <x:patternFill>
          <x:bgColor rgb="E2F0D9"/>
        </x:patternFill>
      </x:fill>
    </x:dxf>
    <x:dxf>
      <x:fill>
        <x:patternFill>
          <x:bgColor rgb="E2F0D9"/>
        </x:patternFill>
      </x:fill>
    </x:dxf>
    <x:dxf>
      <x:fill>
        <x:patternFill>
          <x:bgColor rgb="F4CCCC"/>
        </x:patternFill>
      </x:fill>
    </x:dxf>
    <x:dxf>
      <x:fill>
        <x:patternFill>
          <x:bgColor rgb="E2F0D9"/>
        </x:patternFill>
      </x:fill>
    </x:dxf>
    <x:dxf>
      <x:fill>
        <x:patternFill>
          <x:bgColor rgb="F4CCCC"/>
        </x:patternFill>
      </x:fill>
    </x:dxf>
    <x:dxf>
      <x:fill>
        <x:patternFill>
          <x:bgColor rgb="E2F0D9"/>
        </x:patternFill>
      </x:fill>
    </x:dxf>
    <x:dxf>
      <x:fill>
        <x:patternFill>
          <x:bgColor rgb="F4CCCC"/>
        </x:patternFill>
      </x:fill>
    </x:dxf>
    <x:dxf>
      <x:font>
        <x:b/>
      </x:font>
      <x:fill>
        <x:patternFill patternType="solid">
          <x:bgColor rgb="E2F0D9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ecded07764d00" /><Relationship Type="http://schemas.openxmlformats.org/officeDocument/2006/relationships/theme" Target="/xl/theme/theme1.xml" Id="R2e712275b20d4e39" /><Relationship Type="http://schemas.openxmlformats.org/officeDocument/2006/relationships/sharedStrings" Target="/xl/sharedStrings.xml" Id="Raed7040515814ae6" /><Relationship Type="http://schemas.openxmlformats.org/officeDocument/2006/relationships/worksheet" Target="/xl/worksheets/sheet1.xml" Id="R4716e31ef03040ed" /><Relationship Type="http://schemas.openxmlformats.org/officeDocument/2006/relationships/worksheet" Target="/xl/worksheets/sheet2.xml" Id="Re4e981015ed74b02" /><Relationship Type="http://schemas.openxmlformats.org/officeDocument/2006/relationships/worksheet" Target="/xl/worksheets/sheet3.xml" Id="R4fda3b8eced94160" /><Relationship Type="http://schemas.openxmlformats.org/officeDocument/2006/relationships/worksheet" Target="/xl/worksheets/sheet4.xml" Id="R754557c457754552" /><Relationship Type="http://schemas.openxmlformats.org/officeDocument/2006/relationships/worksheet" Target="/xl/worksheets/sheet5.xml" Id="R9f5fc3e6efcd46bd" /><Relationship Type="http://schemas.openxmlformats.org/officeDocument/2006/relationships/worksheet" Target="/xl/worksheets/sheet6.xml" Id="Rbb3094a502ce4d58" /><Relationship Type="http://schemas.openxmlformats.org/officeDocument/2006/relationships/worksheet" Target="/xl/worksheets/sheet7.xml" Id="R816aafed1a694856" /><Relationship Type="http://schemas.openxmlformats.org/officeDocument/2006/relationships/worksheet" Target="/xl/worksheets/sheet8.xml" Id="Rb79ca25305bd49c9" /><Relationship Type="http://schemas.openxmlformats.org/officeDocument/2006/relationships/worksheet" Target="/xl/worksheets/sheet9.xml" Id="R4c7c1973acc24a18" /><Relationship Type="http://schemas.openxmlformats.org/officeDocument/2006/relationships/worksheet" Target="/xl/worksheets/sheet10.xml" Id="Ra13fc19967d44561" /><Relationship Type="http://schemas.openxmlformats.org/officeDocument/2006/relationships/worksheet" Target="/xl/worksheets/sheet11.xml" Id="R7b1ae7fc6a0e4c17" /><Relationship Type="http://schemas.openxmlformats.org/officeDocument/2006/relationships/worksheet" Target="/xl/worksheets/sheet12.xml" Id="R4db187875aef49d4" /><Relationship Type="http://schemas.openxmlformats.org/officeDocument/2006/relationships/worksheet" Target="/xl/worksheets/sheet13.xml" Id="R2c88749deaed45a5" /><Relationship Type="http://schemas.openxmlformats.org/officeDocument/2006/relationships/worksheet" Target="/xl/worksheets/sheet14.xml" Id="R55ada58b618b46fa" /><Relationship Type="http://schemas.openxmlformats.org/officeDocument/2006/relationships/worksheet" Target="/xl/worksheets/sheet15.xml" Id="Rb06e2f2f23bd43ea" /><Relationship Type="http://schemas.openxmlformats.org/officeDocument/2006/relationships/worksheet" Target="/xl/worksheets/sheet16.xml" Id="Rd5c7efe4449443c5" /><Relationship Type="http://schemas.openxmlformats.org/officeDocument/2006/relationships/worksheet" Target="/xl/worksheets/sheet17.xml" Id="R88a3ad03a5134cb6" /><Relationship Type="http://schemas.openxmlformats.org/officeDocument/2006/relationships/worksheet" Target="/xl/worksheets/sheet18.xml" Id="Rf0c91a24c05744ac" /><Relationship Type="http://schemas.openxmlformats.org/officeDocument/2006/relationships/worksheet" Target="/xl/worksheets/sheet19.xml" Id="R5c442a5cc6c44a44" /><Relationship Type="http://schemas.openxmlformats.org/officeDocument/2006/relationships/worksheet" Target="/xl/worksheets/sheet20.xml" Id="R002b1aef20df49d1" /><Relationship Type="http://schemas.openxmlformats.org/officeDocument/2006/relationships/worksheet" Target="/xl/worksheets/sheet21.xml" Id="R7cc466b0d222464c" /><Relationship Type="http://schemas.openxmlformats.org/officeDocument/2006/relationships/worksheet" Target="/xl/worksheets/sheet22.xml" Id="Ra8476ba144a74fe8" /><Relationship Type="http://schemas.openxmlformats.org/officeDocument/2006/relationships/worksheet" Target="/xl/worksheets/sheet23.xml" Id="Re320388ad056407f" /><Relationship Type="http://schemas.openxmlformats.org/officeDocument/2006/relationships/worksheet" Target="/xl/worksheets/sheet24.xml" Id="Rece46039eca34104" /><Relationship Type="http://schemas.openxmlformats.org/officeDocument/2006/relationships/worksheet" Target="/xl/worksheets/sheet25.xml" Id="R9a653d37049c4d77" /><Relationship Type="http://schemas.openxmlformats.org/officeDocument/2006/relationships/worksheet" Target="/xl/worksheets/sheet26.xml" Id="Rba41996be62945ef" /><Relationship Type="http://schemas.openxmlformats.org/officeDocument/2006/relationships/worksheet" Target="/xl/worksheets/sheet27.xml" Id="Rd6833ab2cdf0470e" /><Relationship Type="http://schemas.openxmlformats.org/officeDocument/2006/relationships/worksheet" Target="/xl/worksheets/sheet28.xml" Id="Ra88d5b1c22384b21" /><Relationship Type="http://schemas.openxmlformats.org/officeDocument/2006/relationships/worksheet" Target="/xl/worksheets/sheet29.xml" Id="Ra77dd3f90b4c4d1c" /><Relationship Type="http://schemas.openxmlformats.org/officeDocument/2006/relationships/worksheet" Target="/xl/worksheets/sheet30.xml" Id="R76a2b10663c24395" /><Relationship Type="http://schemas.openxmlformats.org/officeDocument/2006/relationships/worksheet" Target="/xl/worksheets/sheet31.xml" Id="R568b722dc9c84a39" /><Relationship Type="http://schemas.openxmlformats.org/officeDocument/2006/relationships/worksheet" Target="/xl/worksheets/sheet32.xml" Id="R572d2803b0fe4760" /><Relationship Type="http://schemas.openxmlformats.org/officeDocument/2006/relationships/worksheet" Target="/xl/worksheets/sheet33.xml" Id="R39ff055a41ee4f6f" /><Relationship Type="http://schemas.openxmlformats.org/officeDocument/2006/relationships/worksheet" Target="/xl/worksheets/sheet34.xml" Id="Re24087def05c41b7" /><Relationship Type="http://schemas.openxmlformats.org/officeDocument/2006/relationships/worksheet" Target="/xl/worksheets/sheet35.xml" Id="R27a1fea442ef47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3cf1c2739f74346" /><Relationship Type="http://schemas.openxmlformats.org/officeDocument/2006/relationships/chart" Target="/xl/drawings/charts/chart2.xml" Id="R141489bfc9ad488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3fc3507d246464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07737f99b6a54a6d" /><Relationship Type="http://schemas.openxmlformats.org/officeDocument/2006/relationships/chart" Target="/xl/drawings/charts/chart5.xml" Id="R69e9da02e04b491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6d294ec8d494412c" /><Relationship Type="http://schemas.openxmlformats.org/officeDocument/2006/relationships/chart" Target="/xl/drawings/charts/chart7.xml" Id="R7b51624b8ab9489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Arvo</c:v>
          </c:tx>
          <c:cat>
            <c:strRef>
              <c:f>'TMS Dashboard'!$A$20:$A$24</c:f>
              <c:strCache>
                <c:ptCount val="0"/>
              </c:strCache>
            </c:strRef>
          </c:cat>
          <c:val>
            <c:numRef>
              <c:f>'TMS Dashboard'!$B$20:$B$24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3</xdr:row>
      <xdr:rowOff>0</xdr:rowOff>
    </xdr:from>
    <xdr:to>
      <xdr:col>24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cf1c2739f74346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1489bfc9ad488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fc3507d246464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737f99b6a54a6d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e9da02e04b491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294ec8d494412c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51624b8ab9489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ahetyksetTable" displayName="LahetyksetTable" ref="A4:K20" headerRowCount="1">
  <x:tableColumns count="11">
    <x:tableColumn id="1" name="Lähetys"/>
    <x:tableColumn id="2" name="Nouto"/>
    <x:tableColumn id="3" name="Toimitus"/>
    <x:tableColumn id="4" name="Lavapaikat"/>
    <x:tableColumn id="5" name="Paino kg"/>
    <x:tableColumn id="6" name="Lämpö min"/>
    <x:tableColumn id="7" name="Lämpö max"/>
    <x:tableColumn id="8" name="ADR?"/>
    <x:tableColumn id="9" name="Deadline"/>
    <x:tableColumn id="10" name="Pakollinen?"/>
    <x:tableColumn id="11" name="Huomio"/>
  </x:tableColumns>
  <x:tableStyleInfo name="TableStyleMedium2" showRowStripes="1"/>
</x:table>
</file>

<file path=xl/tables/table2.xml><?xml version="1.0" encoding="utf-8"?>
<x:table xmlns:x="http://schemas.openxmlformats.org/spreadsheetml/2006/main" id="2" name="ReittivaihtoehdotTable" displayName="ReittivaihtoehdotTable" ref="A4:L30" headerRowCount="1">
  <x:tableColumns count="12">
    <x:tableColumn id="1" name="Vaihtoehto"/>
    <x:tableColumn id="2" name="Reitti"/>
    <x:tableColumn id="3" name="Km"/>
    <x:tableColumn id="4" name="Ajoaika h"/>
    <x:tableColumn id="5" name="Työaika h"/>
    <x:tableColumn id="6" name="Tauko min"/>
    <x:tableColumn id="7" name="Lavapaikat"/>
    <x:tableColumn id="8" name="Max lavapaikat"/>
    <x:tableColumn id="9" name="Kate %"/>
    <x:tableColumn id="10" name="Riskipisteet"/>
    <x:tableColumn id="11" name="Sisältää lähetykset"/>
    <x:tableColumn id="12" name="Huomio"/>
  </x:tableColumns>
  <x:tableStyleInfo name="TableStyleMedium2" showRowStripes="1"/>
</x:table>
</file>

<file path=xl/tables/table3.xml><?xml version="1.0" encoding="utf-8"?>
<x:table xmlns:x="http://schemas.openxmlformats.org/spreadsheetml/2006/main" id="3" name="PainotuksetTable" displayName="PainotuksetTable" ref="A4:H10" headerRowCount="1">
  <x:tableColumns count="8">
    <x:tableColumn id="1" name="Tekijä"/>
    <x:tableColumn id="2" name="Paino"/>
    <x:tableColumn id="3" name="Selitys"/>
    <x:tableColumn id="4" name="Minimi / tavoite"/>
    <x:tableColumn id="5" name="Maksimi / raja"/>
    <x:tableColumn id="6" name="Column6"/>
    <x:tableColumn id="7" name="Column7"/>
    <x:tableColumn id="8" name="Column8"/>
  </x:tableColumns>
  <x:tableStyleInfo name="TableStyleMedium2" showRowStripes="1"/>
</x:table>
</file>

<file path=xl/tables/table4.xml><?xml version="1.0" encoding="utf-8"?>
<x:table xmlns:x="http://schemas.openxmlformats.org/spreadsheetml/2006/main" id="4" name="OptimointiTable" displayName="OptimointiTable" ref="A4:N14" headerRowCount="1">
  <x:tableColumns count="14">
    <x:tableColumn id="1" name="Vaihtoehto"/>
    <x:tableColumn id="2" name="Reitti"/>
    <x:tableColumn id="3" name="Km"/>
    <x:tableColumn id="4" name="Ajoaika h"/>
    <x:tableColumn id="5" name="Täyttöaste"/>
    <x:tableColumn id="6" name="Kate %"/>
    <x:tableColumn id="7" name="Riskipisteet"/>
    <x:tableColumn id="8" name="Km-score"/>
    <x:tableColumn id="9" name="Aika-score"/>
    <x:tableColumn id="10" name="Täyttö-score"/>
    <x:tableColumn id="11" name="Kate-score"/>
    <x:tableColumn id="12" name="Riski-score"/>
    <x:tableColumn id="13" name="Kokonaispiste"/>
    <x:tableColumn id="14" name="Päätös"/>
  </x:tableColumns>
  <x:tableStyleInfo name="TableStyleMedium2" showRowStripes="1"/>
</x:table>
</file>

<file path=xl/tables/table5.xml><?xml version="1.0" encoding="utf-8"?>
<x:table xmlns:x="http://schemas.openxmlformats.org/spreadsheetml/2006/main" id="5" name="KuormaoptimointiTable" displayName="KuormaoptimointiTable" ref="A4:L14" headerRowCount="1">
  <x:tableColumns count="12">
    <x:tableColumn id="1" name="Lähetys"/>
    <x:tableColumn id="2" name="Toimitus"/>
    <x:tableColumn id="3" name="Lavapaikat"/>
    <x:tableColumn id="4" name="Paino kg"/>
    <x:tableColumn id="5" name="Lämpö min"/>
    <x:tableColumn id="6" name="Lämpö max"/>
    <x:tableColumn id="7" name="ADR?"/>
    <x:tableColumn id="8" name="Purkujärjestys"/>
    <x:tableColumn id="9" name="Sijoitus"/>
    <x:tableColumn id="10" name="Sopii kuormaan?"/>
    <x:tableColumn id="11" name="Riski"/>
    <x:tableColumn id="12" name="Huomio"/>
  </x:tableColumns>
  <x:tableStyleInfo name="TableStyleMedium2" showRowStripes="1"/>
</x:table>
</file>

<file path=xl/tables/table6.xml><?xml version="1.0" encoding="utf-8"?>
<x:table xmlns:x="http://schemas.openxmlformats.org/spreadsheetml/2006/main" id="6" name="TMSOrders" displayName="TMSOrders" ref="A4:N40" headerRowCount="1">
  <x:tableColumns count="14">
    <x:tableColumn id="1" name="Order ID"/>
    <x:tableColumn id="2" name="Päivä"/>
    <x:tableColumn id="3" name="Asiakas"/>
    <x:tableColumn id="4" name="Nouto"/>
    <x:tableColumn id="5" name="Toimitus"/>
    <x:tableColumn id="6" name="Lavapaikat"/>
    <x:tableColumn id="7" name="Paino kg"/>
    <x:tableColumn id="8" name="Status"/>
    <x:tableColumn id="9" name="Reitti ID"/>
    <x:tableColumn id="10" name="Carrier"/>
    <x:tableColumn id="11" name="ETA"/>
    <x:tableColumn id="12" name="Toteuma"/>
    <x:tableColumn id="13" name="Seuraava toimenpide"/>
    <x:tableColumn id="14" name="Huomio"/>
  </x:tableColumns>
  <x:tableStyleInfo name="TableStyleMedium2" showRowStripes="1"/>
</x:table>
</file>

<file path=xl/tables/table7.xml><?xml version="1.0" encoding="utf-8"?>
<x:table xmlns:x="http://schemas.openxmlformats.org/spreadsheetml/2006/main" id="7" name="TMSConsolidation" displayName="TMSConsolidation" ref="A4:N21" headerRowCount="1">
  <x:tableColumns count="14">
    <x:tableColumn id="1" name="Plan ID"/>
    <x:tableColumn id="2" name="Orderit"/>
    <x:tableColumn id="3" name="Lähtö"/>
    <x:tableColumn id="4" name="Pääte"/>
    <x:tableColumn id="5" name="Välipisteet"/>
    <x:tableColumn id="6" name="Lavapaikat"/>
    <x:tableColumn id="7" name="Max lavat"/>
    <x:tableColumn id="8" name="Täyttö %"/>
    <x:tableColumn id="9" name="Km yhteensä"/>
    <x:tableColumn id="10" name="Km säästö"/>
    <x:tableColumn id="11" name="Aikasäästö h"/>
    <x:tableColumn id="12" name="Consolidation score"/>
    <x:tableColumn id="13" name="Päätös"/>
    <x:tableColumn id="14" name="Huomio"/>
  </x:tableColumns>
  <x:tableStyleInfo name="TableStyleMedium2" showRowStripes="1"/>
</x:table>
</file>

<file path=xl/tables/table8.xml><?xml version="1.0" encoding="utf-8"?>
<x:table xmlns:x="http://schemas.openxmlformats.org/spreadsheetml/2006/main" id="8" name="TMSDynamicRouting" displayName="TMSDynamicRouting" ref="A4:N21" headerRowCount="1">
  <x:tableColumns count="14">
    <x:tableColumn id="1" name="Route ID"/>
    <x:tableColumn id="2" name="Reitti"/>
    <x:tableColumn id="3" name="Ajoaika h"/>
    <x:tableColumn id="4" name="Lähtöaika"/>
    <x:tableColumn id="5" name="Ruuhka min"/>
    <x:tableColumn id="6" name="Sää min"/>
    <x:tableColumn id="7" name="Satama min"/>
    <x:tableColumn id="8" name="Asiakasviive min"/>
    <x:tableColumn id="9" name="Kokonaisviive min"/>
    <x:tableColumn id="10" name="ETA alkuperäinen"/>
    <x:tableColumn id="11" name="ETA uusi"/>
    <x:tableColumn id="12" name="ETA riskitaso"/>
    <x:tableColumn id="13" name="Suositus"/>
    <x:tableColumn id="14" name="Huomio"/>
  </x:tableColumns>
  <x:tableStyleInfo name="TableStyleMedium2" showRowStripes="1"/>
</x:table>
</file>

<file path=xl/tables/table9.xml><?xml version="1.0" encoding="utf-8"?>
<x:table xmlns:x="http://schemas.openxmlformats.org/spreadsheetml/2006/main" id="9" name="TMSCarrierSelection" displayName="TMSCarrierSelection" ref="A4:N21" headerRowCount="1">
  <x:tableColumns count="14">
    <x:tableColumn id="1" name="Carrier"/>
    <x:tableColumn id="2" name="Reitti"/>
    <x:tableColumn id="3" name="Hinta €"/>
    <x:tableColumn id="4" name="Kapasiteetti?"/>
    <x:tableColumn id="5" name="On-time %"/>
    <x:tableColumn id="6" name="Laatu score"/>
    <x:tableColumn id="7" name="CO₂ score"/>
    <x:tableColumn id="8" name="Riski"/>
    <x:tableColumn id="9" name="Hinta score"/>
    <x:tableColumn id="10" name="Kapasiteetti score"/>
    <x:tableColumn id="11" name="Kokonais score"/>
    <x:tableColumn id="12" name="Valinta"/>
    <x:tableColumn id="13" name="Perustelu"/>
    <x:tableColumn id="14" name="Huomio"/>
  </x:tableColumns>
  <x:tableStyleInfo name="TableStyleMedium2" showRowStripes="1"/>
</x:table>
</file>

<file path=xl/tables/table10.xml><?xml version="1.0" encoding="utf-8"?>
<x:table xmlns:x="http://schemas.openxmlformats.org/spreadsheetml/2006/main" id="10" name="TMSCostPerOrder" displayName="TMSCostPerOrder" ref="A4:N41" headerRowCount="1">
  <x:tableColumns count="14">
    <x:tableColumn id="1" name="Order ID"/>
    <x:tableColumn id="2" name="Reitti ID"/>
    <x:tableColumn id="3" name="Asiakas"/>
    <x:tableColumn id="4" name="Lavapaikat"/>
    <x:tableColumn id="5" name="Km"/>
    <x:tableColumn id="6" name="Myynti €"/>
    <x:tableColumn id="7" name="Kuljetuskulu €"/>
    <x:tableColumn id="8" name="Osuus lavapaikoista"/>
    <x:tableColumn id="9" name="Allocated cost €"/>
    <x:tableColumn id="10" name="Kate €"/>
    <x:tableColumn id="11" name="Kate %"/>
    <x:tableColumn id="12" name="€/km"/>
    <x:tableColumn id="13" name="Status"/>
    <x:tableColumn id="14" name="Huomio"/>
  </x:tableColumns>
  <x:tableStyleInfo name="TableStyleMedium2" showRowStripes="1"/>
</x:table>
</file>

<file path=xl/tables/table11.xml><?xml version="1.0" encoding="utf-8"?>
<x:table xmlns:x="http://schemas.openxmlformats.org/spreadsheetml/2006/main" id="11" name="TMSTracking" displayName="TMSTracking" ref="A4:N41" headerRowCount="1">
  <x:tableColumns count="14">
    <x:tableColumn id="1" name="Shipment"/>
    <x:tableColumn id="2" name="Reitti"/>
    <x:tableColumn id="3" name="Status"/>
    <x:tableColumn id="4" name="Lähtö"/>
    <x:tableColumn id="5" name="ETA suunniteltu"/>
    <x:tableColumn id="6" name="ETA nykyinen"/>
    <x:tableColumn id="7" name="Deadline"/>
    <x:tableColumn id="8" name="Viive min"/>
    <x:tableColumn id="9" name="On-time?"/>
    <x:tableColumn id="10" name="GPS / sijainti"/>
    <x:tableColumn id="11" name="Seuraava stop"/>
    <x:tableColumn id="12" name="Poikkeama?"/>
    <x:tableColumn id="13" name="Toimenpide"/>
    <x:tableColumn id="14" name="Huomio"/>
  </x:tableColumns>
  <x:tableStyleInfo name="TableStyleMedium2" showRowStripes="1"/>
</x:table>
</file>

<file path=xl/tables/table12.xml><?xml version="1.0" encoding="utf-8"?>
<x:table xmlns:x="http://schemas.openxmlformats.org/spreadsheetml/2006/main" id="12" name="TMSExceptions" displayName="TMSExceptions" ref="A4:N41" headerRowCount="1">
  <x:tableColumns count="14">
    <x:tableColumn id="1" name="Exception ID"/>
    <x:tableColumn id="2" name="Shipment"/>
    <x:tableColumn id="3" name="Aika"/>
    <x:tableColumn id="4" name="Tyyppi"/>
    <x:tableColumn id="5" name="Syy"/>
    <x:tableColumn id="6" name="Vakavuus"/>
    <x:tableColumn id="7" name="Viive min"/>
    <x:tableColumn id="8" name="Kustannus €"/>
    <x:tableColumn id="9" name="Asiakasvaikutus"/>
    <x:tableColumn id="10" name="Toimenpide"/>
    <x:tableColumn id="11" name="Owner"/>
    <x:tableColumn id="12" name="Status"/>
    <x:tableColumn id="13" name="SLA riski"/>
    <x:tableColumn id="14" name="Huomio"/>
  </x:tableColumns>
  <x:tableStyleInfo name="TableStyleMedium2" showRowStripes="1"/>
</x:table>
</file>

<file path=xl/tables/table13.xml><?xml version="1.0" encoding="utf-8"?>
<x:table xmlns:x="http://schemas.openxmlformats.org/spreadsheetml/2006/main" id="13" name="TMSTendering" displayName="TMSTendering" ref="A4:N41" headerRowCount="1">
  <x:tableColumns count="14">
    <x:tableColumn id="1" name="Tender ID"/>
    <x:tableColumn id="2" name="Reitti"/>
    <x:tableColumn id="3" name="Carrier"/>
    <x:tableColumn id="4" name="Tarjous €"/>
    <x:tableColumn id="5" name="Vastaus"/>
    <x:tableColumn id="6" name="Kapasiteetti?"/>
    <x:tableColumn id="7" name="On-time %"/>
    <x:tableColumn id="8" name="Laatu"/>
    <x:tableColumn id="9" name="CO₂ score"/>
    <x:tableColumn id="10" name="Hinta score"/>
    <x:tableColumn id="11" name="Kokonais score"/>
    <x:tableColumn id="12" name="Voittaja"/>
    <x:tableColumn id="13" name="Perustelu"/>
    <x:tableColumn id="14" name="Huomio"/>
  </x:tableColumns>
  <x:tableStyleInfo name="TableStyleMedium2" showRowStripes="1"/>
</x:table>
</file>

<file path=xl/tables/table14.xml><?xml version="1.0" encoding="utf-8"?>
<x:table xmlns:x="http://schemas.openxmlformats.org/spreadsheetml/2006/main" id="14" name="TMSCapacity" displayName="TMSCapacity" ref="A4:N41" headerRowCount="1">
  <x:tableColumns count="14">
    <x:tableColumn id="1" name="Päivä"/>
    <x:tableColumn id="2" name="Alue"/>
    <x:tableColumn id="3" name="Tilauksia"/>
    <x:tableColumn id="4" name="Trailerit saatavilla"/>
    <x:tableColumn id="5" name="Trailerit tarvitaan"/>
    <x:tableColumn id="6" name="Kuljettajat saatavilla"/>
    <x:tableColumn id="7" name="Kuljettajat tarvitaan"/>
    <x:tableColumn id="8" name="Käyttöaste"/>
    <x:tableColumn id="9" name="Vajaus trailerit"/>
    <x:tableColumn id="10" name="Vajaus kuljettajat"/>
    <x:tableColumn id="11" name="Status"/>
    <x:tableColumn id="12" name="Toimenpide"/>
    <x:tableColumn id="13" name="Owner"/>
    <x:tableColumn id="14" name="Huomio"/>
  </x:tableColumns>
  <x:tableStyleInfo name="TableStyleMedium2" showRowStripes="1"/>
</x:table>
</file>

<file path=xl/tables/table15.xml><?xml version="1.0" encoding="utf-8"?>
<x:table xmlns:x="http://schemas.openxmlformats.org/spreadsheetml/2006/main" id="15" name="TMSNetwork" displayName="TMSNetwork" ref="A4:N21" headerRowCount="1">
  <x:tableColumns count="14">
    <x:tableColumn id="1" name="Vaihtoehto"/>
    <x:tableColumn id="2" name="Hub 1"/>
    <x:tableColumn id="3" name="Hub 2"/>
    <x:tableColumn id="4" name="Km"/>
    <x:tableColumn id="5" name="Ajoaika h"/>
    <x:tableColumn id="6" name="Kustannus €"/>
    <x:tableColumn id="7" name="CO₂ kg"/>
    <x:tableColumn id="8" name="Riski"/>
    <x:tableColumn id="9" name="Network score"/>
    <x:tableColumn id="10" name="Päätös"/>
    <x:tableColumn id="11" name="Km score"/>
    <x:tableColumn id="12" name="Cost score"/>
    <x:tableColumn id="13" name="CO₂ score"/>
    <x:tableColumn id="14" name="Huomio"/>
  </x:tableColumns>
  <x:tableStyleInfo name="TableStyleMedium2" showRowStripes="1"/>
</x:table>
</file>

<file path=xl/tables/table16.xml><?xml version="1.0" encoding="utf-8"?>
<x:table xmlns:x="http://schemas.openxmlformats.org/spreadsheetml/2006/main" id="16" name="ETAData" displayName="ETAData" ref="A4:N41" headerRowCount="1">
  <x:tableColumns count="14">
    <x:tableColumn id="1" name="Keikka"/>
    <x:tableColumn id="2" name="Reitti"/>
    <x:tableColumn id="3" name="Lähtöaika"/>
    <x:tableColumn id="4" name="Ajoaika h"/>
    <x:tableColumn id="5" name="Tauko min"/>
    <x:tableColumn id="6" name="Lastaus min"/>
    <x:tableColumn id="7" name="Purku min"/>
    <x:tableColumn id="8" name="Viive min"/>
    <x:tableColumn id="9" name="ETA suunniteltu"/>
    <x:tableColumn id="10" name="Deadline"/>
    <x:tableColumn id="11" name="ETA status"/>
    <x:tableColumn id="12" name="Myöhässä min"/>
    <x:tableColumn id="13" name="Riskitaso"/>
    <x:tableColumn id="14" name="Huomio"/>
  </x:tableColumns>
  <x:tableStyleInfo name="TableStyleMedium2" showRowStripes="1"/>
</x:table>
</file>

<file path=xl/tables/table17.xml><?xml version="1.0" encoding="utf-8"?>
<x:table xmlns:x="http://schemas.openxmlformats.org/spreadsheetml/2006/main" id="17" name="AjopaivaSimulointi" displayName="AjopaivaSimulointi" ref="A4:N41" headerRowCount="1">
  <x:tableColumns count="14">
    <x:tableColumn id="1" name="Tapahtuma"/>
    <x:tableColumn id="2" name="Tyyppi"/>
    <x:tableColumn id="3" name="Kesto min"/>
    <x:tableColumn id="4" name="Alku"/>
    <x:tableColumn id="5" name="Loppu"/>
    <x:tableColumn id="6" name="Ajoaika h"/>
    <x:tableColumn id="7" name="Työaika h"/>
    <x:tableColumn id="8" name="Tauko h"/>
    <x:tableColumn id="9" name="Kumul. ajo h"/>
    <x:tableColumn id="10" name="Kumul. työ h"/>
    <x:tableColumn id="11" name="Tauko tarvitaan?"/>
    <x:tableColumn id="12" name="Ajo-/työstatus"/>
    <x:tableColumn id="13" name="Paikka"/>
    <x:tableColumn id="14" name="Huomio"/>
  </x:tableColumns>
  <x:tableStyleInfo name="TableStyleMedium2" showRowStripes="1"/>
</x:table>
</file>

<file path=xl/tables/table18.xml><?xml version="1.0" encoding="utf-8"?>
<x:table xmlns:x="http://schemas.openxmlformats.org/spreadsheetml/2006/main" id="18" name="TyhjaAjo" displayName="TyhjaAjo" ref="A4:L41" headerRowCount="1">
  <x:tableColumns count="12">
    <x:tableColumn id="1" name="Keikka"/>
    <x:tableColumn id="2" name="Reitti"/>
    <x:tableColumn id="3" name="Loaded km"/>
    <x:tableColumn id="4" name="Empty km"/>
    <x:tableColumn id="5" name="Total km"/>
    <x:tableColumn id="6" name="Empty %"/>
    <x:tableColumn id="7" name="Myynti €"/>
    <x:tableColumn id="8" name="Kulut €"/>
    <x:tableColumn id="9" name="Kate €"/>
    <x:tableColumn id="10" name="€/km loaded"/>
    <x:tableColumn id="11" name="Status"/>
    <x:tableColumn id="12" name="Huomio"/>
  </x:tableColumns>
  <x:tableStyleInfo name="TableStyleMedium2" showRowStripes="1"/>
</x:table>
</file>

<file path=xl/tables/table19.xml><?xml version="1.0" encoding="utf-8"?>
<x:table xmlns:x="http://schemas.openxmlformats.org/spreadsheetml/2006/main" id="19" name="EurKmKPI" displayName="EurKmKPI" ref="A4:L41" headerRowCount="1">
  <x:tableColumns count="12">
    <x:tableColumn id="1" name="Reitti / tyyppi"/>
    <x:tableColumn id="2" name="Km"/>
    <x:tableColumn id="3" name="Myynti €"/>
    <x:tableColumn id="4" name="Kulut €"/>
    <x:tableColumn id="5" name="Kate €"/>
    <x:tableColumn id="6" name="Revenue €/km"/>
    <x:tableColumn id="7" name="Cost €/km"/>
    <x:tableColumn id="8" name="Profit €/km"/>
    <x:tableColumn id="9" name="Tavoite €/km"/>
    <x:tableColumn id="10" name="Status"/>
    <x:tableColumn id="11" name="Trend"/>
    <x:tableColumn id="12" name="Huomio"/>
  </x:tableColumns>
  <x:tableStyleInfo name="TableStyleMedium2" showRowStripes="1"/>
</x:table>
</file>

<file path=xl/tables/table20.xml><?xml version="1.0" encoding="utf-8"?>
<x:table xmlns:x="http://schemas.openxmlformats.org/spreadsheetml/2006/main" id="20" name="TrailerVaikutus" displayName="TrailerVaikutus" ref="A4:N21" headerRowCount="1">
  <x:tableColumns count="14">
    <x:tableColumn id="1" name="Trailerityyppi"/>
    <x:tableColumn id="2" name="Lavapaikat"/>
    <x:tableColumn id="3" name="Max paino kg"/>
    <x:tableColumn id="4" name="Thermo?"/>
    <x:tableColumn id="5" name="ADR?"/>
    <x:tableColumn id="6" name="Sivulastaus?"/>
    <x:tableColumn id="7" name="Päivävuokra €"/>
    <x:tableColumn id="8" name="Thermolisä €"/>
    <x:tableColumn id="9" name="ADR-lisä €"/>
    <x:tableColumn id="10" name="CO₂ kg/km"/>
    <x:tableColumn id="11" name="Riskipisteet"/>
    <x:tableColumn id="12" name="Sopivuus"/>
    <x:tableColumn id="13" name="Kokonaislisä €"/>
    <x:tableColumn id="14" name="Huomio"/>
  </x:tableColumns>
  <x:tableStyleInfo name="TableStyleMedium2" showRowStripes="1"/>
</x:table>
</file>

<file path=xl/tables/table21.xml><?xml version="1.0" encoding="utf-8"?>
<x:table xmlns:x="http://schemas.openxmlformats.org/spreadsheetml/2006/main" id="21" name="CO2Yksikko" displayName="CO2Yksikko" ref="A4:N41" headerRowCount="1">
  <x:tableColumns count="14">
    <x:tableColumn id="1" name="Keikka"/>
    <x:tableColumn id="2" name="Reitti"/>
    <x:tableColumn id="3" name="Kalusto"/>
    <x:tableColumn id="4" name="Km"/>
    <x:tableColumn id="5" name="kg CO₂/km"/>
    <x:tableColumn id="6" name="CO₂ kg"/>
    <x:tableColumn id="7" name="Lavapaikat"/>
    <x:tableColumn id="8" name="Paino kg"/>
    <x:tableColumn id="9" name="Paino t"/>
    <x:tableColumn id="10" name="CO₂/lava"/>
    <x:tableColumn id="11" name="CO₂/tonni"/>
    <x:tableColumn id="12" name="Status"/>
    <x:tableColumn id="13" name="Asiakasraportti?"/>
    <x:tableColumn id="14" name="Huomio"/>
  </x:tableColumns>
  <x:tableStyleInfo name="TableStyleMedium2" showRowStripes="1"/>
</x:table>
</file>

<file path=xl/tables/table22.xml><?xml version="1.0" encoding="utf-8"?>
<x:table xmlns:x="http://schemas.openxmlformats.org/spreadsheetml/2006/main" id="22" name="AsiakasAnalyysi2" displayName="AsiakasAnalyysi2" ref="A4:N41" headerRowCount="1">
  <x:tableColumns count="14">
    <x:tableColumn id="1" name="Asiakas"/>
    <x:tableColumn id="2" name="Keikkoja"/>
    <x:tableColumn id="3" name="Myynti €"/>
    <x:tableColumn id="4" name="Kulut €"/>
    <x:tableColumn id="5" name="Kate €"/>
    <x:tableColumn id="6" name="Kate %"/>
    <x:tableColumn id="7" name="Loaded km"/>
    <x:tableColumn id="8" name="Empty km"/>
    <x:tableColumn id="9" name="Empty %"/>
    <x:tableColumn id="10" name="On-time %"/>
    <x:tableColumn id="11" name="Tavoitekate %"/>
    <x:tableColumn id="12" name="Status"/>
    <x:tableColumn id="13" name="Toimenpide"/>
    <x:tableColumn id="14" name="Huomio"/>
  </x:tableColumns>
  <x:tableStyleInfo name="TableStyleMedium2" showRowStripes="1"/>
</x:table>
</file>

<file path=xl/tables/table23.xml><?xml version="1.0" encoding="utf-8"?>
<x:table xmlns:x="http://schemas.openxmlformats.org/spreadsheetml/2006/main" id="23" name="Reittihistoria" displayName="Reittihistoria" ref="A4:N101" headerRowCount="1">
  <x:tableColumns count="14">
    <x:tableColumn id="1" name="Päivä"/>
    <x:tableColumn id="2" name="Asiakas"/>
    <x:tableColumn id="3" name="Reitti"/>
    <x:tableColumn id="4" name="Kalusto"/>
    <x:tableColumn id="5" name="Carrier"/>
    <x:tableColumn id="6" name="Loaded km"/>
    <x:tableColumn id="7" name="Empty km"/>
    <x:tableColumn id="8" name="Myynti €"/>
    <x:tableColumn id="9" name="Kulut €"/>
    <x:tableColumn id="10" name="Kate €"/>
    <x:tableColumn id="11" name="Kate %"/>
    <x:tableColumn id="12" name="On-time?"/>
    <x:tableColumn id="13" name="Poikkeama"/>
    <x:tableColumn id="14" name="Huomio"/>
  </x:tableColumns>
  <x:tableStyleInfo name="TableStyleMedium2" showRowStripes="1"/>
</x:table>
</file>

<file path=xl/tables/table24.xml><?xml version="1.0" encoding="utf-8"?>
<x:table xmlns:x="http://schemas.openxmlformats.org/spreadsheetml/2006/main" id="24" name="Riskivaroitukset" displayName="Riskivaroitukset" ref="A4:N41" headerRowCount="1">
  <x:tableColumns count="14">
    <x:tableColumn id="1" name="Keikka"/>
    <x:tableColumn id="2" name="Reitti"/>
    <x:tableColumn id="3" name="Ajoaika h"/>
    <x:tableColumn id="4" name="Täyttöaste"/>
    <x:tableColumn id="5" name="Kate %"/>
    <x:tableColumn id="6" name="Empty %"/>
    <x:tableColumn id="7" name="ETA status"/>
    <x:tableColumn id="8" name="Riskipisteet"/>
    <x:tableColumn id="9" name="Ajo varoitus"/>
    <x:tableColumn id="10" name="Täyttö varoitus"/>
    <x:tableColumn id="11" name="Kate varoitus"/>
    <x:tableColumn id="12" name="Empty varoitus"/>
    <x:tableColumn id="13" name="Kokonaisstatus"/>
    <x:tableColumn id="14" name="Toimenpide"/>
  </x:tableColumns>
  <x:tableStyleInfo name="TableStyleMedium2" showRowStripes="1"/>
</x:table>
</file>

<file path=xl/tables/table25.xml><?xml version="1.0" encoding="utf-8"?>
<x:table xmlns:x="http://schemas.openxmlformats.org/spreadsheetml/2006/main" id="25" name="PowerBIKarttadata" displayName="PowerBIKarttadata" ref="A4:N41" headerRowCount="1">
  <x:tableColumns count="14">
    <x:tableColumn id="1" name="Route ID"/>
    <x:tableColumn id="2" name="From"/>
    <x:tableColumn id="3" name="To"/>
    <x:tableColumn id="4" name="From lat"/>
    <x:tableColumn id="5" name="From lon"/>
    <x:tableColumn id="6" name="To lat"/>
    <x:tableColumn id="7" name="To lon"/>
    <x:tableColumn id="8" name="Loaded km"/>
    <x:tableColumn id="9" name="Empty km"/>
    <x:tableColumn id="10" name="Kate %"/>
    <x:tableColumn id="11" name="CO₂ kg"/>
    <x:tableColumn id="12" name="Riskitaso"/>
    <x:tableColumn id="13" name="Power BI visual"/>
    <x:tableColumn id="14" name="Huom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c54cfbc8e149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e637a145f34c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aa5b04d6a243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e1fe71a37de4418c" /><Relationship Type="http://schemas.openxmlformats.org/officeDocument/2006/relationships/table" Target="/xl/tables/table4.xml" Id="R249eb727b23b48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15cce5cb7349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0e44a480cb6841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0cd6f210811e46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2d74e8e3f08e44f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12e101d6ce5943e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cfa36fa6e08040a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0.xml" Id="Rd886aadef07641d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1.xml" Id="Re4e90c1b8219447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2.xml" Id="Rcd878d2bab3c40b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3.xml" Id="R9b987648224a4fb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4.xml" Id="R91780e5f20f74f0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5.xml" Id="R3fb24e9c2db4413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6.xml" Id="Rf8094bce6768493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7.xml" Id="R98d4097c6a0c460c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8.xml" Id="R39586ce8c8494361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9.xml" Id="R501bbf8ebb244308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0.xml" Id="R63c1bae286894b58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1.xml" Id="Rd1f95f4db5744607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2.xml" Id="Rcb930272e18d4fa0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3.xml" Id="R1fb853cfe8754204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4.xml" Id="R74a65523295b4abe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5.xml" Id="Rbe2692738a7f480a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3.xml" Id="Ra720b14da23b4c58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drawing" Target="/xl/drawings/drawing4.xml" Id="R91334ceeb3414a81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24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6" t="str">
        <x:v>AI-tyylinen reitti- ja kuormaoptimointi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>
      <x:c r="A2" s="13" t="str">
        <x:v>Excel-pohjainen pisteytysmoottori: reitti, kuorma, ajoaika, kate ja riski.</x:v>
      </x:c>
    </x:row>
    <x:row r="4">
      <x:c r="A4" s="19" t="str">
        <x:v>Suositus</x:v>
      </x:c>
    </x:row>
    <x:row r="5">
      <x:c r="A5" s="28" t="str">
        <x:v>Mittari</x:v>
      </x:c>
      <x:c r="B5" s="28" t="str">
        <x:v>Arvo</x:v>
      </x:c>
      <x:c r="C5" s="28" t="str">
        <x:v>Huomio</x:v>
      </x:c>
      <x:c r="D5" s="28" t="str"/>
      <x:c r="E5" s="28" t="str"/>
      <x:c r="F5" s="28" t="str"/>
      <x:c r="G5" s="28" t="str"/>
      <x:c r="H5" s="28" t="str"/>
      <x:c r="I5" s="28" t="str"/>
      <x:c r="J5" s="28" t="str"/>
      <x:c r="K5" s="28" t="str"/>
    </x:row>
    <x:row r="6">
      <x:c r="A6" t="str">
        <x:v>Paras reitti</x:v>
      </x:c>
      <x:c r="B6" s="35" t="str">
        <x:f>Optimointi!B33</x:f>
        <x:v>Vantaa → Tampere → Pori</x:v>
      </x:c>
      <x:c r="C6" t="str">
        <x:v>Haetaan Optimointi-välilehdeltä</x:v>
      </x:c>
    </x:row>
    <x:row r="7">
      <x:c r="A7" t="str">
        <x:v>Paras kokonaispiste</x:v>
      </x:c>
      <x:c r="B7" s="40" t="n">
        <x:f>Optimointi!C33</x:f>
        <x:v>76.18740031897926</x:v>
      </x:c>
      <x:c r="C7" t="str">
        <x:v>0–100</x:v>
      </x:c>
    </x:row>
    <x:row r="8">
      <x:c r="A8" t="str">
        <x:v>Reitin km</x:v>
      </x:c>
      <x:c r="B8" s="40" t="n">
        <x:f>Optimointi!D33</x:f>
        <x:v>290</x:v>
      </x:c>
      <x:c r="C8" t="str"/>
    </x:row>
    <x:row r="9">
      <x:c r="A9" t="str">
        <x:v>Ajoaika h</x:v>
      </x:c>
      <x:c r="B9" s="40" t="n">
        <x:f>Optimointi!E33</x:f>
        <x:v>3.9</x:v>
      </x:c>
      <x:c r="C9" t="str"/>
    </x:row>
    <x:row r="10">
      <x:c r="A10" t="str">
        <x:v>Täyttöaste</x:v>
      </x:c>
      <x:c r="B10" s="38" t="n">
        <x:f>Optimointi!F33</x:f>
        <x:v>0.5454545454545454</x:v>
      </x:c>
      <x:c r="C10" t="str"/>
    </x:row>
    <x:row r="11">
      <x:c r="A11" t="str">
        <x:v>Kate %</x:v>
      </x:c>
      <x:c r="B11" s="38" t="n">
        <x:f>Optimointi!G33</x:f>
        <x:v>0.18</x:v>
      </x:c>
      <x:c r="C11" t="str"/>
    </x:row>
    <x:row r="12">
      <x:c r="A12" t="str">
        <x:v>Riskitaso</x:v>
      </x:c>
      <x:c r="B12" s="35" t="str">
        <x:f>Optimointi!H33</x:f>
        <x:v>Matala</x:v>
      </x:c>
      <x:c r="C12" t="str"/>
    </x:row>
    <x:row r="13">
      <x:c r="A13" t="str">
        <x:v>Päätös</x:v>
      </x:c>
      <x:c r="B13" s="35" t="str">
        <x:f>Optimointi!I33</x:f>
        <x:v>Aja tällä vaihtoehdolla</x:v>
      </x:c>
      <x:c r="C13" t="str"/>
    </x:row>
    <x:row r="14">
      <x:c r="A14" t="str">
        <x:v>Perustelu</x:v>
      </x:c>
      <x:c r="B14" s="35" t="str">
        <x:f>Optimointi!J33</x:f>
        <x:v>ei taukopakkoa, täyttöaste tarkistettava, kate ok</x:v>
      </x:c>
      <x:c r="C14" t="str"/>
    </x:row>
    <x:row r="17">
      <x:c r="A17" s="19" t="str">
        <x:v>Miten pisteytys toimii?</x:v>
      </x:c>
    </x:row>
    <x:row r="18">
      <x:c r="A18" s="28" t="str">
        <x:v>Osa</x:v>
      </x:c>
      <x:c r="B18" s="28" t="str">
        <x:v>Paino</x:v>
      </x:c>
      <x:c r="C18" s="28" t="str">
        <x:v>Selitys</x:v>
      </x:c>
    </x:row>
    <x:row r="19">
      <x:c r="A19" t="str">
        <x:v>Km-score</x:v>
      </x:c>
      <x:c r="B19" t="str">
        <x:v>30 %</x:v>
      </x:c>
      <x:c r="C19" t="str">
        <x:v>Lyhyempi reitti saa paremman pisteen</x:v>
      </x:c>
    </x:row>
    <x:row r="20">
      <x:c r="A20" t="str">
        <x:v>Ajoaika-score</x:v>
      </x:c>
      <x:c r="B20" t="str">
        <x:v>20 %</x:v>
      </x:c>
      <x:c r="C20" t="str">
        <x:v>Alle 4h30 ja alle 9h saa paremman pisteen</x:v>
      </x:c>
    </x:row>
    <x:row r="21">
      <x:c r="A21" t="str">
        <x:v>Täyttöaste-score</x:v>
      </x:c>
      <x:c r="B21" t="str">
        <x:v>25 %</x:v>
      </x:c>
      <x:c r="C21" t="str">
        <x:v>Lähellä 85–95 % on hyvä</x:v>
      </x:c>
    </x:row>
    <x:row r="22">
      <x:c r="A22" t="str">
        <x:v>Kate-score</x:v>
      </x:c>
      <x:c r="B22" t="str">
        <x:v>15 %</x:v>
      </x:c>
      <x:c r="C22" t="str">
        <x:v>Suurempi kate % nostaa pisteitä</x:v>
      </x:c>
    </x:row>
    <x:row r="23">
      <x:c r="A23" t="str">
        <x:v>Riski-score</x:v>
      </x:c>
      <x:c r="B23" t="str">
        <x:v>10 %</x:v>
      </x:c>
      <x:c r="C23" t="str">
        <x:v>Matalampi riski nostaa pisteitä</x:v>
      </x:c>
    </x:row>
  </x:sheetData>
  <x:mergeCells>
    <x:mergeCell ref="A1:K1"/>
    <x:mergeCell ref="A2:K2"/>
    <x:mergeCell ref="A4:K4"/>
    <x:mergeCell ref="A17:K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20" hidden="0" customWidth="1"/>
    <x:col min="11" max="11" width="26" hidden="0" customWidth="1"/>
  </x:cols>
  <x:sheetData>
    <x:row r="1">
      <x:c r="A1" s="6" t="str">
        <x:v>Lähetykset / kuljetustarpeet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>
      <x:c r="A2" s="13" t="str">
        <x:v>Syötä lähetykset, joita optimointimoottori arvioi.</x:v>
      </x:c>
    </x:row>
    <x:row r="4">
      <x:c r="A4" s="28" t="str">
        <x:v>Lähetys</x:v>
      </x:c>
      <x:c r="B4" s="28" t="str">
        <x:v>Nouto</x:v>
      </x:c>
      <x:c r="C4" s="28" t="str">
        <x:v>Toimitus</x:v>
      </x:c>
      <x:c r="D4" s="28" t="str">
        <x:v>Lavapaikat</x:v>
      </x:c>
      <x:c r="E4" s="28" t="str">
        <x:v>Paino kg</x:v>
      </x:c>
      <x:c r="F4" s="28" t="str">
        <x:v>Lämpö min</x:v>
      </x:c>
      <x:c r="G4" s="28" t="str">
        <x:v>Lämpö max</x:v>
      </x:c>
      <x:c r="H4" s="28" t="str">
        <x:v>ADR?</x:v>
      </x:c>
      <x:c r="I4" s="28" t="str">
        <x:v>Deadline</x:v>
      </x:c>
      <x:c r="J4" s="28" t="str">
        <x:v>Pakollinen?</x:v>
      </x:c>
      <x:c r="K4" s="28" t="str">
        <x:v>Huomio</x:v>
      </x:c>
    </x:row>
    <x:row r="5">
      <x:c r="A5" s="44" t="str">
        <x:v>A</x:v>
      </x:c>
      <x:c r="B5" s="44" t="str">
        <x:v>Vantaa</x:v>
      </x:c>
      <x:c r="C5" s="44" t="str">
        <x:v>Tampere</x:v>
      </x:c>
      <x:c r="D5" s="44" t="n">
        <x:v>8</x:v>
      </x:c>
      <x:c r="E5" s="44" t="n">
        <x:v>2500</x:v>
      </x:c>
      <x:c r="F5" s="44" t="n">
        <x:v>2</x:v>
      </x:c>
      <x:c r="G5" s="44" t="n">
        <x:v>6</x:v>
      </x:c>
      <x:c r="H5" s="44" t="str">
        <x:v>Ei</x:v>
      </x:c>
      <x:c r="I5" s="44" t="str">
        <x:v>14:00</x:v>
      </x:c>
      <x:c r="J5" s="44" t="str">
        <x:v>Kyllä</x:v>
      </x:c>
      <x:c r="K5" s="44" t="str">
        <x:v>Thermo +4</x:v>
      </x:c>
    </x:row>
    <x:row r="6">
      <x:c r="A6" s="44" t="str">
        <x:v>B</x:v>
      </x:c>
      <x:c r="B6" s="44" t="str">
        <x:v>Vantaa</x:v>
      </x:c>
      <x:c r="C6" s="44" t="str">
        <x:v>Pori</x:v>
      </x:c>
      <x:c r="D6" s="44" t="n">
        <x:v>10</x:v>
      </x:c>
      <x:c r="E6" s="44" t="n">
        <x:v>3200</x:v>
      </x:c>
      <x:c r="F6" s="44" t="n">
        <x:v>2</x:v>
      </x:c>
      <x:c r="G6" s="44" t="n">
        <x:v>6</x:v>
      </x:c>
      <x:c r="H6" s="44" t="str">
        <x:v>Ei</x:v>
      </x:c>
      <x:c r="I6" s="44" t="str">
        <x:v>16:00</x:v>
      </x:c>
      <x:c r="J6" s="44" t="str">
        <x:v>Kyllä</x:v>
      </x:c>
      <x:c r="K6" s="44" t="str">
        <x:v>Thermo +4</x:v>
      </x:c>
    </x:row>
    <x:row r="7">
      <x:c r="A7" s="44" t="str">
        <x:v>C</x:v>
      </x:c>
      <x:c r="B7" s="44" t="str">
        <x:v>Tampere</x:v>
      </x:c>
      <x:c r="C7" s="44" t="str">
        <x:v>Oulu</x:v>
      </x:c>
      <x:c r="D7" s="44" t="n">
        <x:v>12</x:v>
      </x:c>
      <x:c r="E7" s="44" t="n">
        <x:v>5000</x:v>
      </x:c>
      <x:c r="F7" s="44"/>
      <x:c r="G7" s="44"/>
      <x:c r="H7" s="44" t="str">
        <x:v>Ei</x:v>
      </x:c>
      <x:c r="I7" s="44" t="str">
        <x:v>22:00</x:v>
      </x:c>
      <x:c r="J7" s="44" t="str">
        <x:v>Ei</x:v>
      </x:c>
      <x:c r="K7" s="44" t="str">
        <x:v>Kuiva jatkoreitti</x:v>
      </x:c>
    </x:row>
    <x:row r="8">
      <x:c r="A8" s="44" t="str">
        <x:v>D</x:v>
      </x:c>
      <x:c r="B8" s="44" t="str">
        <x:v>Vantaa</x:v>
      </x:c>
      <x:c r="C8" s="44" t="str">
        <x:v>Turku</x:v>
      </x:c>
      <x:c r="D8" s="44" t="n">
        <x:v>6</x:v>
      </x:c>
      <x:c r="E8" s="44" t="n">
        <x:v>1800</x:v>
      </x:c>
      <x:c r="F8" s="44"/>
      <x:c r="G8" s="44"/>
      <x:c r="H8" s="44" t="str">
        <x:v>Kyllä</x:v>
      </x:c>
      <x:c r="I8" s="44" t="str">
        <x:v>15:00</x:v>
      </x:c>
      <x:c r="J8" s="44" t="str">
        <x:v>Ei</x:v>
      </x:c>
      <x:c r="K8" s="44" t="str">
        <x:v>ADR-lisä</x:v>
      </x:c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</x:row>
  </x:sheetData>
  <x:mergeCells>
    <x:mergeCell ref="A1:K1"/>
    <x:mergeCell ref="A2:K2"/>
  </x:mergeCells>
  <x:dataValidations count="2">
    <x:dataValidation type="list" sqref="H5:H20">
      <x:formula1>"Kyllä,Ei"</x:formula1>
    </x:dataValidation>
    <x:dataValidation type="list" sqref="J5:J20">
      <x:formula1>"Kyllä,Ei"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c54cfbc8e1493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</x:cols>
  <x:sheetData>
    <x:row r="1">
      <x:c r="A1" s="6" t="str">
        <x:v>Reittivaihtoehdot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>
      <x:c r="A2" s="13" t="str">
        <x:v>Syötä tai muokkaa vaihtoehtoisia reittejä. Optimointi laskee pisteet näistä.</x:v>
      </x:c>
    </x:row>
    <x:row r="4">
      <x:c r="A4" s="28" t="str">
        <x:v>Vaihtoehto</x:v>
      </x:c>
      <x:c r="B4" s="28" t="str">
        <x:v>Reitti</x:v>
      </x:c>
      <x:c r="C4" s="28" t="str">
        <x:v>Km</x:v>
      </x:c>
      <x:c r="D4" s="28" t="str">
        <x:v>Ajoaika h</x:v>
      </x:c>
      <x:c r="E4" s="28" t="str">
        <x:v>Työaika h</x:v>
      </x:c>
      <x:c r="F4" s="28" t="str">
        <x:v>Tauko min</x:v>
      </x:c>
      <x:c r="G4" s="28" t="str">
        <x:v>Lavapaikat</x:v>
      </x:c>
      <x:c r="H4" s="28" t="str">
        <x:v>Max lavapaikat</x:v>
      </x:c>
      <x:c r="I4" s="28" t="str">
        <x:v>Kate %</x:v>
      </x:c>
      <x:c r="J4" s="28" t="str">
        <x:v>Riskipisteet</x:v>
      </x:c>
      <x:c r="K4" s="28" t="str">
        <x:v>Sisältää lähetykset</x:v>
      </x:c>
      <x:c r="L4" s="28" t="str">
        <x:v>Huomio</x:v>
      </x:c>
    </x:row>
    <x:row r="5">
      <x:c r="A5" s="44" t="str">
        <x:v>R1</x:v>
      </x:c>
      <x:c r="B5" s="44" t="str">
        <x:v>Vantaa → Tampere → Pori</x:v>
      </x:c>
      <x:c r="C5" s="44" t="n">
        <x:v>290</x:v>
      </x:c>
      <x:c r="D5" s="44" t="n">
        <x:v>3.9</x:v>
      </x:c>
      <x:c r="E5" s="44" t="n">
        <x:v>5.4</x:v>
      </x:c>
      <x:c r="F5" s="44" t="n">
        <x:v>0</x:v>
      </x:c>
      <x:c r="G5" s="44" t="n">
        <x:v>18</x:v>
      </x:c>
      <x:c r="H5" s="44" t="n">
        <x:v>33</x:v>
      </x:c>
      <x:c r="I5" s="48" t="n">
        <x:v>0.18</x:v>
      </x:c>
      <x:c r="J5" s="44" t="n">
        <x:v>2</x:v>
      </x:c>
      <x:c r="K5" s="44" t="str">
        <x:v>A,B</x:v>
      </x:c>
      <x:c r="L5" s="44" t="str">
        <x:v>Paras perusvaihtoehto</x:v>
      </x:c>
    </x:row>
    <x:row r="6">
      <x:c r="A6" s="44" t="str">
        <x:v>R2</x:v>
      </x:c>
      <x:c r="B6" s="44" t="str">
        <x:v>Vantaa → Pori → Tampere</x:v>
      </x:c>
      <x:c r="C6" s="44" t="n">
        <x:v>330</x:v>
      </x:c>
      <x:c r="D6" s="44" t="n">
        <x:v>4.4</x:v>
      </x:c>
      <x:c r="E6" s="44" t="n">
        <x:v>5.9</x:v>
      </x:c>
      <x:c r="F6" s="44" t="n">
        <x:v>0</x:v>
      </x:c>
      <x:c r="G6" s="44" t="n">
        <x:v>18</x:v>
      </x:c>
      <x:c r="H6" s="44" t="n">
        <x:v>33</x:v>
      </x:c>
      <x:c r="I6" s="48" t="n">
        <x:v>0.15</x:v>
      </x:c>
      <x:c r="J6" s="44" t="n">
        <x:v>3</x:v>
      </x:c>
      <x:c r="K6" s="44" t="str">
        <x:v>A,B</x:v>
      </x:c>
      <x:c r="L6" s="44" t="str">
        <x:v>Hieman pidempi</x:v>
      </x:c>
    </x:row>
    <x:row r="7">
      <x:c r="A7" s="44" t="str">
        <x:v>R3</x:v>
      </x:c>
      <x:c r="B7" s="44" t="str">
        <x:v>Vantaa → Tampere → Pori → Oulu</x:v>
      </x:c>
      <x:c r="C7" s="44" t="n">
        <x:v>610</x:v>
      </x:c>
      <x:c r="D7" s="44" t="n">
        <x:v>8.1</x:v>
      </x:c>
      <x:c r="E7" s="44" t="n">
        <x:v>10.2</x:v>
      </x:c>
      <x:c r="F7" s="44" t="n">
        <x:v>45</x:v>
      </x:c>
      <x:c r="G7" s="44" t="n">
        <x:v>30</x:v>
      </x:c>
      <x:c r="H7" s="44" t="n">
        <x:v>33</x:v>
      </x:c>
      <x:c r="I7" s="48" t="n">
        <x:v>0.16</x:v>
      </x:c>
      <x:c r="J7" s="44" t="n">
        <x:v>5</x:v>
      </x:c>
      <x:c r="K7" s="44" t="str">
        <x:v>A,B,C</x:v>
      </x:c>
      <x:c r="L7" s="44" t="str">
        <x:v>Pitkä mutta hyvä täyttö</x:v>
      </x:c>
    </x:row>
    <x:row r="8">
      <x:c r="A8" s="44" t="str">
        <x:v>R4</x:v>
      </x:c>
      <x:c r="B8" s="44" t="str">
        <x:v>Jaetaan kahteen autoon</x:v>
      </x:c>
      <x:c r="C8" s="44" t="n">
        <x:v>410</x:v>
      </x:c>
      <x:c r="D8" s="44" t="n">
        <x:v>5.5</x:v>
      </x:c>
      <x:c r="E8" s="44" t="n">
        <x:v>7.5</x:v>
      </x:c>
      <x:c r="F8" s="44" t="n">
        <x:v>45</x:v>
      </x:c>
      <x:c r="G8" s="44" t="n">
        <x:v>18</x:v>
      </x:c>
      <x:c r="H8" s="44" t="n">
        <x:v>66</x:v>
      </x:c>
      <x:c r="I8" s="48" t="n">
        <x:v>0.1</x:v>
      </x:c>
      <x:c r="J8" s="44" t="n">
        <x:v>2</x:v>
      </x:c>
      <x:c r="K8" s="44" t="str">
        <x:v>A,B</x:v>
      </x:c>
      <x:c r="L8" s="44" t="str">
        <x:v>Vähemmän riskiä, huono käyttöaste</x:v>
      </x:c>
    </x:row>
    <x:row r="9">
      <x:c r="A9" s="44" t="str">
        <x:v>R5</x:v>
      </x:c>
      <x:c r="B9" s="44" t="str">
        <x:v>Vantaa → Turku → Tampere → Pori</x:v>
      </x:c>
      <x:c r="C9" s="44" t="n">
        <x:v>455</x:v>
      </x:c>
      <x:c r="D9" s="44" t="n">
        <x:v>6.1</x:v>
      </x:c>
      <x:c r="E9" s="44" t="n">
        <x:v>8.1</x:v>
      </x:c>
      <x:c r="F9" s="44" t="n">
        <x:v>45</x:v>
      </x:c>
      <x:c r="G9" s="44" t="n">
        <x:v>24</x:v>
      </x:c>
      <x:c r="H9" s="44" t="n">
        <x:v>33</x:v>
      </x:c>
      <x:c r="I9" s="48" t="n">
        <x:v>0.17</x:v>
      </x:c>
      <x:c r="J9" s="44" t="n">
        <x:v>4</x:v>
      </x:c>
      <x:c r="K9" s="44" t="str">
        <x:v>A,B,D</x:v>
      </x:c>
      <x:c r="L9" s="44" t="str">
        <x:v>ADR mukana</x:v>
      </x:c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8"/>
      <x:c r="J10" s="44"/>
      <x:c r="K10" s="44"/>
      <x:c r="L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8"/>
      <x:c r="J11" s="44"/>
      <x:c r="K11" s="44"/>
      <x:c r="L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8"/>
      <x:c r="J12" s="44"/>
      <x:c r="K12" s="44"/>
      <x:c r="L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8"/>
      <x:c r="J13" s="44"/>
      <x:c r="K13" s="44"/>
      <x:c r="L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8"/>
      <x:c r="J14" s="44"/>
      <x:c r="K14" s="44"/>
      <x:c r="L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8"/>
      <x:c r="J15" s="44"/>
      <x:c r="K15" s="44"/>
      <x:c r="L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8"/>
      <x:c r="J16" s="44"/>
      <x:c r="K16" s="44"/>
      <x:c r="L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8"/>
      <x:c r="J17" s="44"/>
      <x:c r="K17" s="44"/>
      <x:c r="L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8"/>
      <x:c r="J18" s="44"/>
      <x:c r="K18" s="44"/>
      <x:c r="L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8"/>
      <x:c r="J19" s="44"/>
      <x:c r="K19" s="44"/>
      <x:c r="L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8"/>
      <x:c r="J20" s="44"/>
      <x:c r="K20" s="44"/>
      <x:c r="L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8"/>
      <x:c r="J21" s="44"/>
      <x:c r="K21" s="44"/>
      <x:c r="L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8"/>
      <x:c r="J22" s="44"/>
      <x:c r="K22" s="44"/>
      <x:c r="L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8"/>
      <x:c r="J23" s="44"/>
      <x:c r="K23" s="44"/>
      <x:c r="L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8"/>
      <x:c r="J24" s="44"/>
      <x:c r="K24" s="44"/>
      <x:c r="L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8"/>
      <x:c r="J25" s="44"/>
      <x:c r="K25" s="44"/>
      <x:c r="L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8"/>
      <x:c r="J26" s="44"/>
      <x:c r="K26" s="44"/>
      <x:c r="L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8"/>
      <x:c r="J27" s="44"/>
      <x:c r="K27" s="44"/>
      <x:c r="L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8"/>
      <x:c r="J28" s="44"/>
      <x:c r="K28" s="44"/>
      <x:c r="L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8"/>
      <x:c r="J29" s="44"/>
      <x:c r="K29" s="44"/>
      <x:c r="L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8"/>
      <x:c r="J30" s="44"/>
      <x:c r="K30" s="44"/>
      <x:c r="L30" s="44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9e637a145f34c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Optimoinnin painotukset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>
      <x:c r="A2" s="13" t="str">
        <x:v>Muuta painoja sen mukaan, mitä haluat painottaa: km, aika, täyttöaste, kate vai riski.</x:v>
      </x:c>
    </x:row>
    <x:row r="4">
      <x:c r="A4" s="28" t="str">
        <x:v>Tekijä</x:v>
      </x:c>
      <x:c r="B4" s="28" t="str">
        <x:v>Paino</x:v>
      </x:c>
      <x:c r="C4" s="28" t="str">
        <x:v>Selitys</x:v>
      </x:c>
      <x:c r="D4" s="28" t="str">
        <x:v>Minimi / tavoite</x:v>
      </x:c>
      <x:c r="E4" s="28" t="str">
        <x:v>Maksimi / raja</x:v>
      </x:c>
      <x:c r="F4" s="28" t="str"/>
      <x:c r="G4" s="28" t="str"/>
      <x:c r="H4" s="28" t="str"/>
    </x:row>
    <x:row r="5">
      <x:c r="A5" t="str">
        <x:v>Km-score</x:v>
      </x:c>
      <x:c r="B5" s="48" t="n">
        <x:v>0.3</x:v>
      </x:c>
      <x:c r="C5" t="str">
        <x:v>Lyhyempi reitti parempi</x:v>
      </x:c>
      <x:c r="D5" t="n">
        <x:v>250</x:v>
      </x:c>
      <x:c r="E5" t="n">
        <x:v>700</x:v>
      </x:c>
      <x:c r="F5"/>
      <x:c r="G5"/>
      <x:c r="H5"/>
    </x:row>
    <x:row r="6">
      <x:c r="A6" t="str">
        <x:v>Ajoaika-score</x:v>
      </x:c>
      <x:c r="B6" s="48" t="n">
        <x:v>0.2</x:v>
      </x:c>
      <x:c r="C6" t="str">
        <x:v>Lyhyempi ajoaika parempi</x:v>
      </x:c>
      <x:c r="D6" t="n">
        <x:v>3</x:v>
      </x:c>
      <x:c r="E6" t="n">
        <x:v>9</x:v>
      </x:c>
      <x:c r="F6"/>
      <x:c r="G6"/>
      <x:c r="H6"/>
    </x:row>
    <x:row r="7">
      <x:c r="A7" t="str">
        <x:v>Täyttöaste-score</x:v>
      </x:c>
      <x:c r="B7" s="48" t="n">
        <x:v>0.25</x:v>
      </x:c>
      <x:c r="C7" t="str">
        <x:v>Tavoite 85–95 %</x:v>
      </x:c>
      <x:c r="D7" s="50" t="n">
        <x:v>0.7</x:v>
      </x:c>
      <x:c r="E7" s="50" t="n">
        <x:v>0.95</x:v>
      </x:c>
      <x:c r="F7"/>
      <x:c r="G7"/>
      <x:c r="H7"/>
    </x:row>
    <x:row r="8">
      <x:c r="A8" t="str">
        <x:v>Kate-score</x:v>
      </x:c>
      <x:c r="B8" s="48" t="n">
        <x:v>0.15</x:v>
      </x:c>
      <x:c r="C8" t="str">
        <x:v>Suurempi kate parempi</x:v>
      </x:c>
      <x:c r="D8" s="50" t="n">
        <x:v>0.1</x:v>
      </x:c>
      <x:c r="E8" s="50" t="n">
        <x:v>0.22</x:v>
      </x:c>
      <x:c r="F8"/>
      <x:c r="G8"/>
      <x:c r="H8"/>
    </x:row>
    <x:row r="9">
      <x:c r="A9" t="str">
        <x:v>Riski-score</x:v>
      </x:c>
      <x:c r="B9" s="48" t="n">
        <x:v>0.1</x:v>
      </x:c>
      <x:c r="C9" t="str">
        <x:v>Matalampi riski parempi</x:v>
      </x:c>
      <x:c r="D9" t="n">
        <x:v>0</x:v>
      </x:c>
      <x:c r="E9" t="n">
        <x:v>8</x:v>
      </x:c>
      <x:c r="F9"/>
      <x:c r="G9"/>
      <x:c r="H9"/>
    </x:row>
    <x:row r="10">
      <x:c r="A10" t="str">
        <x:v>Yhteensä</x:v>
      </x:c>
      <x:c r="B10" s="38" t="n">
        <x:f>SUM(B5:B9)</x:f>
        <x:v>1</x:v>
      </x:c>
      <x:c r="C10" t="str">
        <x:v>Painojen summa tulisi olla 100 %</x:v>
      </x:c>
      <x:c r="D10"/>
      <x:c r="E10"/>
      <x:c r="F10"/>
      <x:c r="G10"/>
      <x:c r="H10"/>
    </x:row>
  </x:sheetData>
  <x:mergeCells>
    <x:mergeCell ref="A1:H1"/>
    <x:mergeCell ref="A2:H2"/>
  </x:mergeCells>
  <x:conditionalFormatting sqref="B10:B10">
    <x:cfRule type="expression" dxfId="0" priority="1">
      <x:formula>ABS(B10-1)&gt;0.001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aa5b04d6a2431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28" hidden="0" customWidth="1"/>
  </x:cols>
  <x:sheetData>
    <x:row r="1">
      <x:c r="A1" s="6" t="str">
        <x:v>Optimointimoottori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>
      <x:c r="A2" s="13" t="str">
        <x:v>Pisteyttää reittivaihtoehdot painotusten mukaan ja valitsee parhaan.</x:v>
      </x:c>
    </x:row>
    <x:row r="4">
      <x:c r="A4" s="28" t="str">
        <x:v>Vaihtoehto</x:v>
      </x:c>
      <x:c r="B4" s="28" t="str">
        <x:v>Reitti</x:v>
      </x:c>
      <x:c r="C4" s="28" t="str">
        <x:v>Km</x:v>
      </x:c>
      <x:c r="D4" s="28" t="str">
        <x:v>Ajoaika h</x:v>
      </x:c>
      <x:c r="E4" s="28" t="str">
        <x:v>Täyttöaste</x:v>
      </x:c>
      <x:c r="F4" s="28" t="str">
        <x:v>Kate %</x:v>
      </x:c>
      <x:c r="G4" s="28" t="str">
        <x:v>Riskipisteet</x:v>
      </x:c>
      <x:c r="H4" s="28" t="str">
        <x:v>Km-score</x:v>
      </x:c>
      <x:c r="I4" s="28" t="str">
        <x:v>Aika-score</x:v>
      </x:c>
      <x:c r="J4" s="28" t="str">
        <x:v>Täyttö-score</x:v>
      </x:c>
      <x:c r="K4" s="28" t="str">
        <x:v>Kate-score</x:v>
      </x:c>
      <x:c r="L4" s="28" t="str">
        <x:v>Riski-score</x:v>
      </x:c>
      <x:c r="M4" s="28" t="str">
        <x:v>Kokonaispiste</x:v>
      </x:c>
      <x:c r="N4" s="28" t="str">
        <x:v>Päätös</x:v>
      </x:c>
    </x:row>
    <x:row r="5">
      <x:c r="A5" s="35" t="str">
        <x:f>IF(Reittivaihtoehdot!A5="","",Reittivaihtoehdot!A5)</x:f>
        <x:v>R1</x:v>
      </x:c>
      <x:c r="B5" s="35" t="str">
        <x:f>IF(Reittivaihtoehdot!A5="","",Reittivaihtoehdot!B5)</x:f>
        <x:v>Vantaa → Tampere → Pori</x:v>
      </x:c>
      <x:c r="C5" s="35" t="n">
        <x:f>IF(Reittivaihtoehdot!A5="","",Reittivaihtoehdot!C5)</x:f>
        <x:v>290</x:v>
      </x:c>
      <x:c r="D5" s="35" t="n">
        <x:f>IF(Reittivaihtoehdot!A5="","",Reittivaihtoehdot!D5)</x:f>
        <x:v>3.9</x:v>
      </x:c>
      <x:c r="E5" s="38" t="n">
        <x:f>IF(Reittivaihtoehdot!A5="","",IF(Reittivaihtoehdot!H5=0,0,Reittivaihtoehdot!G5/Reittivaihtoehdot!H5))</x:f>
        <x:v>0.5454545454545454</x:v>
      </x:c>
      <x:c r="F5" s="38" t="n">
        <x:f>IF(Reittivaihtoehdot!A5="","",Reittivaihtoehdot!I5)</x:f>
        <x:v>0.18</x:v>
      </x:c>
      <x:c r="G5" s="35" t="n">
        <x:f>IF(Reittivaihtoehdot!A5="","",Reittivaihtoehdot!J5)</x:f>
        <x:v>2</x:v>
      </x:c>
      <x:c r="H5" s="52" t="n">
        <x:f>IF(A5="","",MAX(0,MIN(100,100*(1-(C5-Painotukset!D5)/(Painotukset!E5-Painotukset!D5)))))</x:f>
        <x:v>91.11111111111111</x:v>
      </x:c>
      <x:c r="I5" s="52" t="n">
        <x:f>IF(A5="","",MAX(0,MIN(100,100*(1-(D5-Painotukset!D6)/(Painotukset!E6-Painotukset!D6)))))</x:f>
        <x:v>85</x:v>
      </x:c>
      <x:c r="J5" s="52" t="n">
        <x:f>IF(A5="","",MAX(0,MIN(100,IF(E5&lt;=Painotukset!E7,100*(E5/Painotukset!E7),100*(1-(E5-Painotukset!E7)/(1-Painotukset!E7))))))</x:f>
        <x:v>57.41626794258373</x:v>
      </x:c>
      <x:c r="K5" s="52" t="n">
        <x:f>IF(A5="","",MAX(0,MIN(100,100*((F5-Painotukset!D8)/(Painotukset!E8-Painotukset!D8)))))</x:f>
        <x:v>66.66666666666666</x:v>
      </x:c>
      <x:c r="L5" s="52" t="n">
        <x:f>IF(A5="","",MAX(0,MIN(100,100*(1-(G5-Painotukset!D9)/(Painotukset!E9-Painotukset!D9)))))</x:f>
        <x:v>75</x:v>
      </x:c>
      <x:c r="M5" s="52" t="n">
        <x:f>IF(A5="","",H5*Painotukset!B5+I5*Painotukset!B6+J5*Painotukset!B7+K5*Painotukset!B8+L5*Painotukset!B9)</x:f>
        <x:v>76.18740031897926</x:v>
      </x:c>
      <x:c r="N5" s="35" t="str">
        <x:f>IF(A5="","",IF(M5=MAX($M$5:$M$14),"SUOSITUS",""))</x:f>
        <x:v>SUOSITUS</x:v>
      </x:c>
    </x:row>
    <x:row r="6">
      <x:c r="A6" s="35" t="str">
        <x:f>IF(Reittivaihtoehdot!A6="","",Reittivaihtoehdot!A6)</x:f>
        <x:v>R2</x:v>
      </x:c>
      <x:c r="B6" s="35" t="str">
        <x:f>IF(Reittivaihtoehdot!A6="","",Reittivaihtoehdot!B6)</x:f>
        <x:v>Vantaa → Pori → Tampere</x:v>
      </x:c>
      <x:c r="C6" s="35" t="n">
        <x:f>IF(Reittivaihtoehdot!A6="","",Reittivaihtoehdot!C6)</x:f>
        <x:v>330</x:v>
      </x:c>
      <x:c r="D6" s="35" t="n">
        <x:f>IF(Reittivaihtoehdot!A6="","",Reittivaihtoehdot!D6)</x:f>
        <x:v>4.4</x:v>
      </x:c>
      <x:c r="E6" s="38" t="n">
        <x:f>IF(Reittivaihtoehdot!A6="","",IF(Reittivaihtoehdot!H6=0,0,Reittivaihtoehdot!G6/Reittivaihtoehdot!H6))</x:f>
        <x:v>0.5454545454545454</x:v>
      </x:c>
      <x:c r="F6" s="38" t="n">
        <x:f>IF(Reittivaihtoehdot!A6="","",Reittivaihtoehdot!I6)</x:f>
        <x:v>0.15</x:v>
      </x:c>
      <x:c r="G6" s="35" t="n">
        <x:f>IF(Reittivaihtoehdot!A6="","",Reittivaihtoehdot!J6)</x:f>
        <x:v>3</x:v>
      </x:c>
      <x:c r="H6" s="52" t="n">
        <x:f>IF(A6="","",MAX(0,MIN(100,100*(1-(C6-Painotukset!D5)/(Painotukset!E5-Painotukset!D5)))))</x:f>
        <x:v>82.22222222222221</x:v>
      </x:c>
      <x:c r="I6" s="52" t="n">
        <x:f>IF(A6="","",MAX(0,MIN(100,100*(1-(D6-Painotukset!D6)/(Painotukset!E6-Painotukset!D6)))))</x:f>
        <x:v>76.66666666666666</x:v>
      </x:c>
      <x:c r="J6" s="52" t="n">
        <x:f>IF(A6="","",MAX(0,MIN(100,IF(E6&lt;=Painotukset!E7,100*(E6/Painotukset!E7),100*(1-(E6-Painotukset!E7)/(1-Painotukset!E7))))))</x:f>
        <x:v>57.41626794258373</x:v>
      </x:c>
      <x:c r="K6" s="52" t="n">
        <x:f>IF(A6="","",MAX(0,MIN(100,100*((F6-Painotukset!D8)/(Painotukset!E8-Painotukset!D8)))))</x:f>
        <x:v>41.66666666666666</x:v>
      </x:c>
      <x:c r="L6" s="52" t="n">
        <x:f>IF(A6="","",MAX(0,MIN(100,100*(1-(G6-Painotukset!D9)/(Painotukset!E9-Painotukset!D9)))))</x:f>
        <x:v>62.5</x:v>
      </x:c>
      <x:c r="M6" s="52" t="n">
        <x:f>IF(A6="","",H6*Painotukset!B5+I6*Painotukset!B6+J6*Painotukset!B7+K6*Painotukset!B8+L6*Painotukset!B9)</x:f>
        <x:v>66.85406698564593</x:v>
      </x:c>
      <x:c r="N6" s="35" t="str">
        <x:f>IF(A6="","",IF(M6=MAX($M$5:$M$14),"SUOSITUS",""))</x:f>
      </x:c>
    </x:row>
    <x:row r="7">
      <x:c r="A7" s="35" t="str">
        <x:f>IF(Reittivaihtoehdot!A7="","",Reittivaihtoehdot!A7)</x:f>
        <x:v>R3</x:v>
      </x:c>
      <x:c r="B7" s="35" t="str">
        <x:f>IF(Reittivaihtoehdot!A7="","",Reittivaihtoehdot!B7)</x:f>
        <x:v>Vantaa → Tampere → Pori → Oulu</x:v>
      </x:c>
      <x:c r="C7" s="35" t="n">
        <x:f>IF(Reittivaihtoehdot!A7="","",Reittivaihtoehdot!C7)</x:f>
        <x:v>610</x:v>
      </x:c>
      <x:c r="D7" s="35" t="n">
        <x:f>IF(Reittivaihtoehdot!A7="","",Reittivaihtoehdot!D7)</x:f>
        <x:v>8.1</x:v>
      </x:c>
      <x:c r="E7" s="38" t="n">
        <x:f>IF(Reittivaihtoehdot!A7="","",IF(Reittivaihtoehdot!H7=0,0,Reittivaihtoehdot!G7/Reittivaihtoehdot!H7))</x:f>
        <x:v>0.9090909090909091</x:v>
      </x:c>
      <x:c r="F7" s="38" t="n">
        <x:f>IF(Reittivaihtoehdot!A7="","",Reittivaihtoehdot!I7)</x:f>
        <x:v>0.16</x:v>
      </x:c>
      <x:c r="G7" s="35" t="n">
        <x:f>IF(Reittivaihtoehdot!A7="","",Reittivaihtoehdot!J7)</x:f>
        <x:v>5</x:v>
      </x:c>
      <x:c r="H7" s="52" t="n">
        <x:f>IF(A7="","",MAX(0,MIN(100,100*(1-(C7-Painotukset!D5)/(Painotukset!E5-Painotukset!D5)))))</x:f>
        <x:v>19.999999999999996</x:v>
      </x:c>
      <x:c r="I7" s="52" t="n">
        <x:f>IF(A7="","",MAX(0,MIN(100,100*(1-(D7-Painotukset!D6)/(Painotukset!E6-Painotukset!D6)))))</x:f>
        <x:v>15.000000000000002</x:v>
      </x:c>
      <x:c r="J7" s="52" t="n">
        <x:f>IF(A7="","",MAX(0,MIN(100,IF(E7&lt;=Painotukset!E7,100*(E7/Painotukset!E7),100*(1-(E7-Painotukset!E7)/(1-Painotukset!E7))))))</x:f>
        <x:v>95.69377990430623</x:v>
      </x:c>
      <x:c r="K7" s="52" t="n">
        <x:f>IF(A7="","",MAX(0,MIN(100,100*((F7-Painotukset!D8)/(Painotukset!E8-Painotukset!D8)))))</x:f>
        <x:v>50</x:v>
      </x:c>
      <x:c r="L7" s="52" t="n">
        <x:f>IF(A7="","",MAX(0,MIN(100,100*(1-(G7-Painotukset!D9)/(Painotukset!E9-Painotukset!D9)))))</x:f>
        <x:v>37.5</x:v>
      </x:c>
      <x:c r="M7" s="52" t="n">
        <x:f>IF(A7="","",H7*Painotukset!B5+I7*Painotukset!B6+J7*Painotukset!B7+K7*Painotukset!B8+L7*Painotukset!B9)</x:f>
        <x:v>44.17344497607655</x:v>
      </x:c>
      <x:c r="N7" s="35" t="str">
        <x:f>IF(A7="","",IF(M7=MAX($M$5:$M$14),"SUOSITUS",""))</x:f>
      </x:c>
    </x:row>
    <x:row r="8">
      <x:c r="A8" s="35" t="str">
        <x:f>IF(Reittivaihtoehdot!A8="","",Reittivaihtoehdot!A8)</x:f>
        <x:v>R4</x:v>
      </x:c>
      <x:c r="B8" s="35" t="str">
        <x:f>IF(Reittivaihtoehdot!A8="","",Reittivaihtoehdot!B8)</x:f>
        <x:v>Jaetaan kahteen autoon</x:v>
      </x:c>
      <x:c r="C8" s="35" t="n">
        <x:f>IF(Reittivaihtoehdot!A8="","",Reittivaihtoehdot!C8)</x:f>
        <x:v>410</x:v>
      </x:c>
      <x:c r="D8" s="35" t="n">
        <x:f>IF(Reittivaihtoehdot!A8="","",Reittivaihtoehdot!D8)</x:f>
        <x:v>5.5</x:v>
      </x:c>
      <x:c r="E8" s="38" t="n">
        <x:f>IF(Reittivaihtoehdot!A8="","",IF(Reittivaihtoehdot!H8=0,0,Reittivaihtoehdot!G8/Reittivaihtoehdot!H8))</x:f>
        <x:v>0.2727272727272727</x:v>
      </x:c>
      <x:c r="F8" s="38" t="n">
        <x:f>IF(Reittivaihtoehdot!A8="","",Reittivaihtoehdot!I8)</x:f>
        <x:v>0.1</x:v>
      </x:c>
      <x:c r="G8" s="35" t="n">
        <x:f>IF(Reittivaihtoehdot!A8="","",Reittivaihtoehdot!J8)</x:f>
        <x:v>2</x:v>
      </x:c>
      <x:c r="H8" s="52" t="n">
        <x:f>IF(A8="","",MAX(0,MIN(100,100*(1-(C8-Painotukset!D5)/(Painotukset!E5-Painotukset!D5)))))</x:f>
        <x:v>64.44444444444444</x:v>
      </x:c>
      <x:c r="I8" s="52" t="n">
        <x:f>IF(A8="","",MAX(0,MIN(100,100*(1-(D8-Painotukset!D6)/(Painotukset!E6-Painotukset!D6)))))</x:f>
        <x:v>58.33333333333333</x:v>
      </x:c>
      <x:c r="J8" s="52" t="n">
        <x:f>IF(A8="","",MAX(0,MIN(100,IF(E8&lt;=Painotukset!E7,100*(E8/Painotukset!E7),100*(1-(E8-Painotukset!E7)/(1-Painotukset!E7))))))</x:f>
        <x:v>28.708133971291865</x:v>
      </x:c>
      <x:c r="K8" s="52" t="n">
        <x:f>IF(A8="","",MAX(0,MIN(100,100*((F8-Painotukset!D8)/(Painotukset!E8-Painotukset!D8)))))</x:f>
        <x:v>0</x:v>
      </x:c>
      <x:c r="L8" s="52" t="n">
        <x:f>IF(A8="","",MAX(0,MIN(100,100*(1-(G8-Painotukset!D9)/(Painotukset!E9-Painotukset!D9)))))</x:f>
        <x:v>75</x:v>
      </x:c>
      <x:c r="M8" s="52" t="n">
        <x:f>IF(A8="","",H8*Painotukset!B5+I8*Painotukset!B6+J8*Painotukset!B7+K8*Painotukset!B8+L8*Painotukset!B9)</x:f>
        <x:v>45.677033492822964</x:v>
      </x:c>
      <x:c r="N8" s="35" t="str">
        <x:f>IF(A8="","",IF(M8=MAX($M$5:$M$14),"SUOSITUS",""))</x:f>
      </x:c>
    </x:row>
    <x:row r="9">
      <x:c r="A9" s="35" t="str">
        <x:f>IF(Reittivaihtoehdot!A9="","",Reittivaihtoehdot!A9)</x:f>
        <x:v>R5</x:v>
      </x:c>
      <x:c r="B9" s="35" t="str">
        <x:f>IF(Reittivaihtoehdot!A9="","",Reittivaihtoehdot!B9)</x:f>
        <x:v>Vantaa → Turku → Tampere → Pori</x:v>
      </x:c>
      <x:c r="C9" s="35" t="n">
        <x:f>IF(Reittivaihtoehdot!A9="","",Reittivaihtoehdot!C9)</x:f>
        <x:v>455</x:v>
      </x:c>
      <x:c r="D9" s="35" t="n">
        <x:f>IF(Reittivaihtoehdot!A9="","",Reittivaihtoehdot!D9)</x:f>
        <x:v>6.1</x:v>
      </x:c>
      <x:c r="E9" s="38" t="n">
        <x:f>IF(Reittivaihtoehdot!A9="","",IF(Reittivaihtoehdot!H9=0,0,Reittivaihtoehdot!G9/Reittivaihtoehdot!H9))</x:f>
        <x:v>0.7272727272727273</x:v>
      </x:c>
      <x:c r="F9" s="38" t="n">
        <x:f>IF(Reittivaihtoehdot!A9="","",Reittivaihtoehdot!I9)</x:f>
        <x:v>0.17</x:v>
      </x:c>
      <x:c r="G9" s="35" t="n">
        <x:f>IF(Reittivaihtoehdot!A9="","",Reittivaihtoehdot!J9)</x:f>
        <x:v>4</x:v>
      </x:c>
      <x:c r="H9" s="52" t="n">
        <x:f>IF(A9="","",MAX(0,MIN(100,100*(1-(C9-Painotukset!D5)/(Painotukset!E5-Painotukset!D5)))))</x:f>
        <x:v>54.44444444444445</x:v>
      </x:c>
      <x:c r="I9" s="52" t="n">
        <x:f>IF(A9="","",MAX(0,MIN(100,100*(1-(D9-Painotukset!D6)/(Painotukset!E6-Painotukset!D6)))))</x:f>
        <x:v>48.33333333333334</x:v>
      </x:c>
      <x:c r="J9" s="52" t="n">
        <x:f>IF(A9="","",MAX(0,MIN(100,IF(E9&lt;=Painotukset!E7,100*(E9/Painotukset!E7),100*(1-(E9-Painotukset!E7)/(1-Painotukset!E7))))))</x:f>
        <x:v>76.55502392344499</x:v>
      </x:c>
      <x:c r="K9" s="52" t="n">
        <x:f>IF(A9="","",MAX(0,MIN(100,100*((F9-Painotukset!D8)/(Painotukset!E8-Painotukset!D8)))))</x:f>
        <x:v>58.333333333333336</x:v>
      </x:c>
      <x:c r="L9" s="52" t="n">
        <x:f>IF(A9="","",MAX(0,MIN(100,100*(1-(G9-Painotukset!D9)/(Painotukset!E9-Painotukset!D9)))))</x:f>
        <x:v>50</x:v>
      </x:c>
      <x:c r="M9" s="52" t="n">
        <x:f>IF(A9="","",H9*Painotukset!B5+I9*Painotukset!B6+J9*Painotukset!B7+K9*Painotukset!B8+L9*Painotukset!B9)</x:f>
        <x:v>58.888755980861255</x:v>
      </x:c>
      <x:c r="N9" s="35" t="str">
        <x:f>IF(A9="","",IF(M9=MAX($M$5:$M$14),"SUOSITUS",""))</x:f>
      </x:c>
    </x:row>
    <x:row r="10">
      <x:c r="A10" s="35" t="str">
        <x:f>IF(Reittivaihtoehdot!A10="","",Reittivaihtoehdot!A10)</x:f>
      </x:c>
      <x:c r="B10" s="35" t="str">
        <x:f>IF(Reittivaihtoehdot!A10="","",Reittivaihtoehdot!B10)</x:f>
      </x:c>
      <x:c r="C10" s="35" t="str">
        <x:f>IF(Reittivaihtoehdot!A10="","",Reittivaihtoehdot!C10)</x:f>
      </x:c>
      <x:c r="D10" s="35" t="str">
        <x:f>IF(Reittivaihtoehdot!A10="","",Reittivaihtoehdot!D10)</x:f>
      </x:c>
      <x:c r="E10" s="38" t="str">
        <x:f>IF(Reittivaihtoehdot!A10="","",IF(Reittivaihtoehdot!H10=0,0,Reittivaihtoehdot!G10/Reittivaihtoehdot!H10))</x:f>
      </x:c>
      <x:c r="F10" s="38" t="str">
        <x:f>IF(Reittivaihtoehdot!A10="","",Reittivaihtoehdot!I10)</x:f>
      </x:c>
      <x:c r="G10" s="35" t="str">
        <x:f>IF(Reittivaihtoehdot!A10="","",Reittivaihtoehdot!J10)</x:f>
      </x:c>
      <x:c r="H10" s="52" t="str">
        <x:f>IF(A10="","",MAX(0,MIN(100,100*(1-(C10-Painotukset!D5)/(Painotukset!E5-Painotukset!D5)))))</x:f>
      </x:c>
      <x:c r="I10" s="52" t="str">
        <x:f>IF(A10="","",MAX(0,MIN(100,100*(1-(D10-Painotukset!D6)/(Painotukset!E6-Painotukset!D6)))))</x:f>
      </x:c>
      <x:c r="J10" s="52" t="str">
        <x:f>IF(A10="","",MAX(0,MIN(100,IF(E10&lt;=Painotukset!E7,100*(E10/Painotukset!E7),100*(1-(E10-Painotukset!E7)/(1-Painotukset!E7))))))</x:f>
      </x:c>
      <x:c r="K10" s="52" t="str">
        <x:f>IF(A10="","",MAX(0,MIN(100,100*((F10-Painotukset!D8)/(Painotukset!E8-Painotukset!D8)))))</x:f>
      </x:c>
      <x:c r="L10" s="52" t="str">
        <x:f>IF(A10="","",MAX(0,MIN(100,100*(1-(G10-Painotukset!D9)/(Painotukset!E9-Painotukset!D9)))))</x:f>
      </x:c>
      <x:c r="M10" s="52" t="str">
        <x:f>IF(A10="","",H10*Painotukset!B5+I10*Painotukset!B6+J10*Painotukset!B7+K10*Painotukset!B8+L10*Painotukset!B9)</x:f>
      </x:c>
      <x:c r="N10" s="35" t="str">
        <x:f>IF(A10="","",IF(M10=MAX($M$5:$M$14),"SUOSITUS",""))</x:f>
      </x:c>
    </x:row>
    <x:row r="11">
      <x:c r="A11" s="35" t="str">
        <x:f>IF(Reittivaihtoehdot!A11="","",Reittivaihtoehdot!A11)</x:f>
      </x:c>
      <x:c r="B11" s="35" t="str">
        <x:f>IF(Reittivaihtoehdot!A11="","",Reittivaihtoehdot!B11)</x:f>
      </x:c>
      <x:c r="C11" s="35" t="str">
        <x:f>IF(Reittivaihtoehdot!A11="","",Reittivaihtoehdot!C11)</x:f>
      </x:c>
      <x:c r="D11" s="35" t="str">
        <x:f>IF(Reittivaihtoehdot!A11="","",Reittivaihtoehdot!D11)</x:f>
      </x:c>
      <x:c r="E11" s="38" t="str">
        <x:f>IF(Reittivaihtoehdot!A11="","",IF(Reittivaihtoehdot!H11=0,0,Reittivaihtoehdot!G11/Reittivaihtoehdot!H11))</x:f>
      </x:c>
      <x:c r="F11" s="38" t="str">
        <x:f>IF(Reittivaihtoehdot!A11="","",Reittivaihtoehdot!I11)</x:f>
      </x:c>
      <x:c r="G11" s="35" t="str">
        <x:f>IF(Reittivaihtoehdot!A11="","",Reittivaihtoehdot!J11)</x:f>
      </x:c>
      <x:c r="H11" s="52" t="str">
        <x:f>IF(A11="","",MAX(0,MIN(100,100*(1-(C11-Painotukset!D5)/(Painotukset!E5-Painotukset!D5)))))</x:f>
      </x:c>
      <x:c r="I11" s="52" t="str">
        <x:f>IF(A11="","",MAX(0,MIN(100,100*(1-(D11-Painotukset!D6)/(Painotukset!E6-Painotukset!D6)))))</x:f>
      </x:c>
      <x:c r="J11" s="52" t="str">
        <x:f>IF(A11="","",MAX(0,MIN(100,IF(E11&lt;=Painotukset!E7,100*(E11/Painotukset!E7),100*(1-(E11-Painotukset!E7)/(1-Painotukset!E7))))))</x:f>
      </x:c>
      <x:c r="K11" s="52" t="str">
        <x:f>IF(A11="","",MAX(0,MIN(100,100*((F11-Painotukset!D8)/(Painotukset!E8-Painotukset!D8)))))</x:f>
      </x:c>
      <x:c r="L11" s="52" t="str">
        <x:f>IF(A11="","",MAX(0,MIN(100,100*(1-(G11-Painotukset!D9)/(Painotukset!E9-Painotukset!D9)))))</x:f>
      </x:c>
      <x:c r="M11" s="52" t="str">
        <x:f>IF(A11="","",H11*Painotukset!B5+I11*Painotukset!B6+J11*Painotukset!B7+K11*Painotukset!B8+L11*Painotukset!B9)</x:f>
      </x:c>
      <x:c r="N11" s="35" t="str">
        <x:f>IF(A11="","",IF(M11=MAX($M$5:$M$14),"SUOSITUS",""))</x:f>
      </x:c>
    </x:row>
    <x:row r="12">
      <x:c r="A12" s="35" t="str">
        <x:f>IF(Reittivaihtoehdot!A12="","",Reittivaihtoehdot!A12)</x:f>
      </x:c>
      <x:c r="B12" s="35" t="str">
        <x:f>IF(Reittivaihtoehdot!A12="","",Reittivaihtoehdot!B12)</x:f>
      </x:c>
      <x:c r="C12" s="35" t="str">
        <x:f>IF(Reittivaihtoehdot!A12="","",Reittivaihtoehdot!C12)</x:f>
      </x:c>
      <x:c r="D12" s="35" t="str">
        <x:f>IF(Reittivaihtoehdot!A12="","",Reittivaihtoehdot!D12)</x:f>
      </x:c>
      <x:c r="E12" s="38" t="str">
        <x:f>IF(Reittivaihtoehdot!A12="","",IF(Reittivaihtoehdot!H12=0,0,Reittivaihtoehdot!G12/Reittivaihtoehdot!H12))</x:f>
      </x:c>
      <x:c r="F12" s="38" t="str">
        <x:f>IF(Reittivaihtoehdot!A12="","",Reittivaihtoehdot!I12)</x:f>
      </x:c>
      <x:c r="G12" s="35" t="str">
        <x:f>IF(Reittivaihtoehdot!A12="","",Reittivaihtoehdot!J12)</x:f>
      </x:c>
      <x:c r="H12" s="52" t="str">
        <x:f>IF(A12="","",MAX(0,MIN(100,100*(1-(C12-Painotukset!D5)/(Painotukset!E5-Painotukset!D5)))))</x:f>
      </x:c>
      <x:c r="I12" s="52" t="str">
        <x:f>IF(A12="","",MAX(0,MIN(100,100*(1-(D12-Painotukset!D6)/(Painotukset!E6-Painotukset!D6)))))</x:f>
      </x:c>
      <x:c r="J12" s="52" t="str">
        <x:f>IF(A12="","",MAX(0,MIN(100,IF(E12&lt;=Painotukset!E7,100*(E12/Painotukset!E7),100*(1-(E12-Painotukset!E7)/(1-Painotukset!E7))))))</x:f>
      </x:c>
      <x:c r="K12" s="52" t="str">
        <x:f>IF(A12="","",MAX(0,MIN(100,100*((F12-Painotukset!D8)/(Painotukset!E8-Painotukset!D8)))))</x:f>
      </x:c>
      <x:c r="L12" s="52" t="str">
        <x:f>IF(A12="","",MAX(0,MIN(100,100*(1-(G12-Painotukset!D9)/(Painotukset!E9-Painotukset!D9)))))</x:f>
      </x:c>
      <x:c r="M12" s="52" t="str">
        <x:f>IF(A12="","",H12*Painotukset!B5+I12*Painotukset!B6+J12*Painotukset!B7+K12*Painotukset!B8+L12*Painotukset!B9)</x:f>
      </x:c>
      <x:c r="N12" s="35" t="str">
        <x:f>IF(A12="","",IF(M12=MAX($M$5:$M$14),"SUOSITUS",""))</x:f>
      </x:c>
    </x:row>
    <x:row r="13">
      <x:c r="A13" s="35" t="str">
        <x:f>IF(Reittivaihtoehdot!A13="","",Reittivaihtoehdot!A13)</x:f>
      </x:c>
      <x:c r="B13" s="35" t="str">
        <x:f>IF(Reittivaihtoehdot!A13="","",Reittivaihtoehdot!B13)</x:f>
      </x:c>
      <x:c r="C13" s="35" t="str">
        <x:f>IF(Reittivaihtoehdot!A13="","",Reittivaihtoehdot!C13)</x:f>
      </x:c>
      <x:c r="D13" s="35" t="str">
        <x:f>IF(Reittivaihtoehdot!A13="","",Reittivaihtoehdot!D13)</x:f>
      </x:c>
      <x:c r="E13" s="38" t="str">
        <x:f>IF(Reittivaihtoehdot!A13="","",IF(Reittivaihtoehdot!H13=0,0,Reittivaihtoehdot!G13/Reittivaihtoehdot!H13))</x:f>
      </x:c>
      <x:c r="F13" s="38" t="str">
        <x:f>IF(Reittivaihtoehdot!A13="","",Reittivaihtoehdot!I13)</x:f>
      </x:c>
      <x:c r="G13" s="35" t="str">
        <x:f>IF(Reittivaihtoehdot!A13="","",Reittivaihtoehdot!J13)</x:f>
      </x:c>
      <x:c r="H13" s="52" t="str">
        <x:f>IF(A13="","",MAX(0,MIN(100,100*(1-(C13-Painotukset!D5)/(Painotukset!E5-Painotukset!D5)))))</x:f>
      </x:c>
      <x:c r="I13" s="52" t="str">
        <x:f>IF(A13="","",MAX(0,MIN(100,100*(1-(D13-Painotukset!D6)/(Painotukset!E6-Painotukset!D6)))))</x:f>
      </x:c>
      <x:c r="J13" s="52" t="str">
        <x:f>IF(A13="","",MAX(0,MIN(100,IF(E13&lt;=Painotukset!E7,100*(E13/Painotukset!E7),100*(1-(E13-Painotukset!E7)/(1-Painotukset!E7))))))</x:f>
      </x:c>
      <x:c r="K13" s="52" t="str">
        <x:f>IF(A13="","",MAX(0,MIN(100,100*((F13-Painotukset!D8)/(Painotukset!E8-Painotukset!D8)))))</x:f>
      </x:c>
      <x:c r="L13" s="52" t="str">
        <x:f>IF(A13="","",MAX(0,MIN(100,100*(1-(G13-Painotukset!D9)/(Painotukset!E9-Painotukset!D9)))))</x:f>
      </x:c>
      <x:c r="M13" s="52" t="str">
        <x:f>IF(A13="","",H13*Painotukset!B5+I13*Painotukset!B6+J13*Painotukset!B7+K13*Painotukset!B8+L13*Painotukset!B9)</x:f>
      </x:c>
      <x:c r="N13" s="35" t="str">
        <x:f>IF(A13="","",IF(M13=MAX($M$5:$M$14),"SUOSITUS",""))</x:f>
      </x:c>
    </x:row>
    <x:row r="14">
      <x:c r="A14" s="35" t="str">
        <x:f>IF(Reittivaihtoehdot!A14="","",Reittivaihtoehdot!A14)</x:f>
      </x:c>
      <x:c r="B14" s="35" t="str">
        <x:f>IF(Reittivaihtoehdot!A14="","",Reittivaihtoehdot!B14)</x:f>
      </x:c>
      <x:c r="C14" s="35" t="str">
        <x:f>IF(Reittivaihtoehdot!A14="","",Reittivaihtoehdot!C14)</x:f>
      </x:c>
      <x:c r="D14" s="35" t="str">
        <x:f>IF(Reittivaihtoehdot!A14="","",Reittivaihtoehdot!D14)</x:f>
      </x:c>
      <x:c r="E14" s="38" t="str">
        <x:f>IF(Reittivaihtoehdot!A14="","",IF(Reittivaihtoehdot!H14=0,0,Reittivaihtoehdot!G14/Reittivaihtoehdot!H14))</x:f>
      </x:c>
      <x:c r="F14" s="38" t="str">
        <x:f>IF(Reittivaihtoehdot!A14="","",Reittivaihtoehdot!I14)</x:f>
      </x:c>
      <x:c r="G14" s="35" t="str">
        <x:f>IF(Reittivaihtoehdot!A14="","",Reittivaihtoehdot!J14)</x:f>
      </x:c>
      <x:c r="H14" s="52" t="str">
        <x:f>IF(A14="","",MAX(0,MIN(100,100*(1-(C14-Painotukset!D5)/(Painotukset!E5-Painotukset!D5)))))</x:f>
      </x:c>
      <x:c r="I14" s="52" t="str">
        <x:f>IF(A14="","",MAX(0,MIN(100,100*(1-(D14-Painotukset!D6)/(Painotukset!E6-Painotukset!D6)))))</x:f>
      </x:c>
      <x:c r="J14" s="52" t="str">
        <x:f>IF(A14="","",MAX(0,MIN(100,IF(E14&lt;=Painotukset!E7,100*(E14/Painotukset!E7),100*(1-(E14-Painotukset!E7)/(1-Painotukset!E7))))))</x:f>
      </x:c>
      <x:c r="K14" s="52" t="str">
        <x:f>IF(A14="","",MAX(0,MIN(100,100*((F14-Painotukset!D8)/(Painotukset!E8-Painotukset!D8)))))</x:f>
      </x:c>
      <x:c r="L14" s="52" t="str">
        <x:f>IF(A14="","",MAX(0,MIN(100,100*(1-(G14-Painotukset!D9)/(Painotukset!E9-Painotukset!D9)))))</x:f>
      </x:c>
      <x:c r="M14" s="52" t="str">
        <x:f>IF(A14="","",H14*Painotukset!B5+I14*Painotukset!B6+J14*Painotukset!B7+K14*Painotukset!B8+L14*Painotukset!B9)</x:f>
      </x:c>
      <x:c r="N14" s="35" t="str">
        <x:f>IF(A14="","",IF(M14=MAX($M$5:$M$14),"SUOSITUS",""))</x:f>
      </x:c>
    </x:row>
    <x:row r="31">
      <x:c r="A31" s="19" t="str">
        <x:v>Paras vaihtoehto</x:v>
      </x:c>
    </x:row>
    <x:row r="32">
      <x:c r="A32" s="28" t="str">
        <x:v>Tunnus</x:v>
      </x:c>
      <x:c r="B32" s="28" t="str">
        <x:v>Reitti</x:v>
      </x:c>
      <x:c r="C32" s="28" t="str">
        <x:v>Pisteet</x:v>
      </x:c>
      <x:c r="D32" s="28" t="str">
        <x:v>Km</x:v>
      </x:c>
      <x:c r="E32" s="28" t="str">
        <x:v>Ajoaika h</x:v>
      </x:c>
      <x:c r="F32" s="28" t="str">
        <x:v>Täyttöaste</x:v>
      </x:c>
      <x:c r="G32" s="28" t="str">
        <x:v>Kate %</x:v>
      </x:c>
      <x:c r="H32" s="28" t="str">
        <x:v>Riskitaso</x:v>
      </x:c>
      <x:c r="I32" s="28" t="str">
        <x:v>Päätös</x:v>
      </x:c>
      <x:c r="J32" s="28" t="str">
        <x:v>Perustelu</x:v>
      </x:c>
    </x:row>
    <x:row r="33">
      <x:c r="A33" s="35" t="str">
        <x:f>INDEX(A5:A14,MATCH(MAX(M5:M14),M5:M14,0))</x:f>
        <x:v>R1</x:v>
      </x:c>
      <x:c r="B33" s="35" t="str">
        <x:f>INDEX(B5:B14,MATCH(MAX(M5:M14),M5:M14,0))</x:f>
        <x:v>Vantaa → Tampere → Pori</x:v>
      </x:c>
      <x:c r="C33" s="35" t="n">
        <x:f>MAX(M5:M14)</x:f>
        <x:v>76.18740031897926</x:v>
      </x:c>
      <x:c r="D33" s="35" t="n">
        <x:f>INDEX(C5:C14,MATCH(MAX(M5:M14),M5:M14,0))</x:f>
        <x:v>290</x:v>
      </x:c>
      <x:c r="E33" s="35" t="n">
        <x:f>INDEX(D5:D14,MATCH(MAX(M5:M14),M5:M14,0))</x:f>
        <x:v>3.9</x:v>
      </x:c>
      <x:c r="F33" s="38" t="n">
        <x:f>INDEX(E5:E14,MATCH(MAX(M5:M14),M5:M14,0))</x:f>
        <x:v>0.5454545454545454</x:v>
      </x:c>
      <x:c r="G33" s="38" t="n">
        <x:f>INDEX(F5:F14,MATCH(MAX(M5:M14),M5:M14,0))</x:f>
        <x:v>0.18</x:v>
      </x:c>
      <x:c r="H33" s="35" t="str">
        <x:f>IF(INDEX(G5:G14,MATCH(MAX(M5:M14),M5:M14,0))&gt;=5,"Korkea",IF(INDEX(G5:G14,MATCH(MAX(M5:M14),M5:M14,0))&gt;=3,"Keskitaso","Matala"))</x:f>
        <x:v>Matala</x:v>
      </x:c>
      <x:c r="I33" s="35" t="str">
        <x:f>IF(C33&gt;=75,"Aja tällä vaihtoehdolla",IF(C33&gt;=60,"Tarkista manuaalisesti","Ei suositella"))</x:f>
        <x:v>Aja tällä vaihtoehdolla</x:v>
      </x:c>
      <x:c r="J33" s="35" t="str">
        <x:f>TEXTJOIN(", ",TRUE,IF(E33&lt;=4.5,"ei taukopakkoa","tauko huomioitava"),IF(F33&gt;=0.85,"hyvä täyttöaste","täyttöaste tarkistettava"),IF(G33&gt;=0.15,"kate ok","kate matala"))</x:f>
        <x:v>ei taukopakkoa, täyttöaste tarkistettava, kate ok</x:v>
      </x:c>
    </x:row>
  </x:sheetData>
  <x:mergeCells>
    <x:mergeCell ref="A1:N1"/>
    <x:mergeCell ref="A2:N2"/>
    <x:mergeCell ref="A31:N31"/>
  </x:mergeCells>
  <x:conditionalFormatting sqref="M5:M14">
    <x:cfRule type="colorScale" priority="1">
      <x:colorScale>
        <x:cfvo type="min"/>
        <x:cfvo type="percentile" val="50"/>
        <x:cfvo type="max"/>
        <x:color rgb="F4CCCC"/>
        <x:color rgb="FFF2CC"/>
        <x:color rgb="E2F0D9"/>
      </x:colorScale>
    </x:cfRule>
  </x:conditionalFormatting>
  <x:conditionalFormatting sqref="N5:N14">
    <x:cfRule type="expression" dxfId="1" priority="2">
      <x:formula>N5="SUOSITUS"</x:formula>
    </x:cfRule>
  </x:conditionalFormatting>
  <x:pageMargins left="0.7" right="0.7" top="0.75" bottom="0.75" header="0.3" footer="0.3"/>
  <x:drawing xmlns:r="http://schemas.openxmlformats.org/officeDocument/2006/relationships" r:id="Re1fe71a37de4418c"/>
  <x:tableParts count="1">
    <x:tablePart xmlns:r="http://schemas.openxmlformats.org/officeDocument/2006/relationships" r:id="R249eb727b23b488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26" hidden="0" customWidth="1"/>
  </x:cols>
  <x:sheetData>
    <x:row r="1">
      <x:c r="A1" s="6" t="str">
        <x:v>Kuormaoptimointi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>
      <x:c r="A2" s="13" t="str">
        <x:v>Arvioi lavapaikat, painon, lämpötilan, ADR:n ja purkujärjestyksen.</x:v>
      </x:c>
    </x:row>
    <x:row r="4">
      <x:c r="A4" s="62" t="str">
        <x:v>Lähetys</x:v>
      </x:c>
      <x:c r="B4" s="62" t="str">
        <x:v>Mukana suosituksessa?</x:v>
      </x:c>
      <x:c r="C4" s="62" t="str">
        <x:v>Toimitus</x:v>
      </x:c>
      <x:c r="D4" s="62" t="str">
        <x:v>Lavapaikat</x:v>
      </x:c>
      <x:c r="E4" s="62" t="str">
        <x:v>Paino kg</x:v>
      </x:c>
      <x:c r="F4" s="62" t="str">
        <x:v>Lämpö min</x:v>
      </x:c>
      <x:c r="G4" s="62" t="str">
        <x:v>Lämpö max</x:v>
      </x:c>
      <x:c r="H4" s="62" t="str">
        <x:v>ADR?</x:v>
      </x:c>
      <x:c r="I4" s="62" t="str">
        <x:v>Purkujärjestys</x:v>
      </x:c>
      <x:c r="J4" s="62" t="str">
        <x:v>Sijoitus</x:v>
      </x:c>
      <x:c r="K4" s="62" t="str">
        <x:v>Sopii kuormaan?</x:v>
      </x:c>
      <x:c r="L4" s="62" t="str">
        <x:v>Riski</x:v>
      </x:c>
      <x:c r="M4" s="62" t="str">
        <x:v>Huomio</x:v>
      </x:c>
    </x:row>
    <x:row r="5">
      <x:c r="A5" s="73" t="str">
        <x:f>IF('Lähetykset'!A5="","",'Lähetykset'!A5)</x:f>
        <x:v>A</x:v>
      </x:c>
      <x:c r="B5" s="73" t="str">
        <x:f>IF(A5="","",IF(ISNUMBER(SEARCH(A5,INDEX(Reittivaihtoehdot!K:K,MATCH(Optimointi!A33,Reittivaihtoehdot!A:A,0)))),"Kyllä","Ei"))</x:f>
        <x:v>Kyllä</x:v>
      </x:c>
      <x:c r="C5" s="74" t="str">
        <x:f>IF(A5="","",'Lähetykset'!C5)</x:f>
        <x:v>Tampere</x:v>
      </x:c>
      <x:c r="D5" s="74" t="n">
        <x:f>IF(A5="","",'Lähetykset'!D5)</x:f>
        <x:v>8</x:v>
      </x:c>
      <x:c r="E5" s="73" t="n">
        <x:f>IF(A5="","",'Lähetykset'!E5)</x:f>
        <x:v>2500</x:v>
      </x:c>
      <x:c r="F5" s="73" t="n">
        <x:f>IF(OR(A5="",'Lähetykset'!F5=""),"",'Lähetykset'!F5)</x:f>
        <x:v>2</x:v>
      </x:c>
      <x:c r="G5" s="73" t="n">
        <x:f>IF(OR(A5="",'Lähetykset'!G5=""),"",'Lähetykset'!G5)</x:f>
        <x:v>6</x:v>
      </x:c>
      <x:c r="H5" s="73" t="str">
        <x:f>IF(A5="","",'Lähetykset'!H5)</x:f>
        <x:v>Ei</x:v>
      </x:c>
      <x:c r="I5" s="73" t="n">
        <x:f>IF(A5="","",COUNTIF($B$5:B5,"Kyllä"))</x:f>
        <x:v>1</x:v>
      </x:c>
      <x:c r="J5" s="73" t="str">
        <x:f>IF(B5&lt;&gt;"Kyllä","",IF(I5=1,"Perä",IF(I5=2,"Keskiosa","Keula")))</x:f>
        <x:v>Perä</x:v>
      </x:c>
      <x:c r="K5" s="73" t="str">
        <x:f>IF(B5&lt;&gt;"Kyllä","",IF(SUMIF($B$5:$B$14,"Kyllä",$D$5:$D$14)&gt;33,"Ei mahdu",IF(SUMIF($B$5:$B$14,"Kyllä",$E$5:$E$14)&gt;24000,"Paino yli","OK")))</x:f>
        <x:v>OK</x:v>
      </x:c>
      <x:c r="L5" s="73" t="str">
        <x:f>IF(B5&lt;&gt;"Kyllä","",IF(H5="Kyllä","ADR",IF(AND(F5&lt;&gt;"",G5&lt;&gt;""),"Thermo","Normaali")))</x:f>
        <x:v>Thermo</x:v>
      </x:c>
      <x:c r="M5" s="73" t="str">
        <x:f>IF(B5&lt;&gt;"Kyllä","",IF(K5&lt;&gt;"OK","Tarkista kapasiteetti",IF(L5="ADR","ADR-lisä",IF(L5="Thermo","Thermolisä",""))))</x:f>
        <x:v>Thermolisä</x:v>
      </x:c>
    </x:row>
    <x:row r="6">
      <x:c r="A6" s="73" t="str">
        <x:f>IF('Lähetykset'!A6="","",'Lähetykset'!A6)</x:f>
        <x:v>B</x:v>
      </x:c>
      <x:c r="B6" s="73" t="str">
        <x:f>IF(A6="","",IF(ISNUMBER(SEARCH(A6,INDEX(Reittivaihtoehdot!K:K,MATCH(Optimointi!A33,Reittivaihtoehdot!A:A,0)))),"Kyllä","Ei"))</x:f>
        <x:v>Kyllä</x:v>
      </x:c>
      <x:c r="C6" s="74" t="str">
        <x:f>IF(A6="","",'Lähetykset'!C6)</x:f>
        <x:v>Pori</x:v>
      </x:c>
      <x:c r="D6" s="74" t="n">
        <x:f>IF(A6="","",'Lähetykset'!D6)</x:f>
        <x:v>10</x:v>
      </x:c>
      <x:c r="E6" s="73" t="n">
        <x:f>IF(A6="","",'Lähetykset'!E6)</x:f>
        <x:v>3200</x:v>
      </x:c>
      <x:c r="F6" s="73" t="n">
        <x:f>IF(OR(A6="",'Lähetykset'!F6=""),"",'Lähetykset'!F6)</x:f>
        <x:v>2</x:v>
      </x:c>
      <x:c r="G6" s="73" t="n">
        <x:f>IF(OR(A6="",'Lähetykset'!G6=""),"",'Lähetykset'!G6)</x:f>
        <x:v>6</x:v>
      </x:c>
      <x:c r="H6" s="73" t="str">
        <x:f>IF(A6="","",'Lähetykset'!H6)</x:f>
        <x:v>Ei</x:v>
      </x:c>
      <x:c r="I6" s="73" t="n">
        <x:f>IF(A6="","",COUNTIF($B$5:B6,"Kyllä"))</x:f>
        <x:v>2</x:v>
      </x:c>
      <x:c r="J6" s="73" t="str">
        <x:f>IF(B6&lt;&gt;"Kyllä","",IF(I6=1,"Perä",IF(I6=2,"Keskiosa","Keula")))</x:f>
        <x:v>Keskiosa</x:v>
      </x:c>
      <x:c r="K6" s="73" t="str">
        <x:f>IF(B6&lt;&gt;"Kyllä","",IF(SUMIF($B$5:$B$14,"Kyllä",$D$5:$D$14)&gt;33,"Ei mahdu",IF(SUMIF($B$5:$B$14,"Kyllä",$E$5:$E$14)&gt;24000,"Paino yli","OK")))</x:f>
        <x:v>OK</x:v>
      </x:c>
      <x:c r="L6" s="73" t="str">
        <x:f>IF(B6&lt;&gt;"Kyllä","",IF(H6="Kyllä","ADR",IF(AND(F6&lt;&gt;"",G6&lt;&gt;""),"Thermo","Normaali")))</x:f>
        <x:v>Thermo</x:v>
      </x:c>
      <x:c r="M6" s="73" t="str">
        <x:f>IF(B6&lt;&gt;"Kyllä","",IF(K6&lt;&gt;"OK","Tarkista kapasiteetti",IF(L6="ADR","ADR-lisä",IF(L6="Thermo","Thermolisä",""))))</x:f>
        <x:v>Thermolisä</x:v>
      </x:c>
    </x:row>
    <x:row r="7">
      <x:c r="A7" s="73" t="str">
        <x:f>IF('Lähetykset'!A7="","",'Lähetykset'!A7)</x:f>
        <x:v>C</x:v>
      </x:c>
      <x:c r="B7" s="73" t="str">
        <x:f>IF(A7="","",IF(ISNUMBER(SEARCH(A7,INDEX(Reittivaihtoehdot!K:K,MATCH(Optimointi!A33,Reittivaihtoehdot!A:A,0)))),"Kyllä","Ei"))</x:f>
        <x:v>Ei</x:v>
      </x:c>
      <x:c r="C7" s="74" t="str">
        <x:f>IF(A7="","",'Lähetykset'!C7)</x:f>
        <x:v>Oulu</x:v>
      </x:c>
      <x:c r="D7" s="74" t="n">
        <x:f>IF(A7="","",'Lähetykset'!D7)</x:f>
        <x:v>12</x:v>
      </x:c>
      <x:c r="E7" s="73" t="n">
        <x:f>IF(A7="","",'Lähetykset'!E7)</x:f>
        <x:v>5000</x:v>
      </x:c>
      <x:c r="F7" s="73" t="str">
        <x:f>IF(OR(A7="",'Lähetykset'!F7=""),"",'Lähetykset'!F7)</x:f>
      </x:c>
      <x:c r="G7" s="73" t="str">
        <x:f>IF(OR(A7="",'Lähetykset'!G7=""),"",'Lähetykset'!G7)</x:f>
      </x:c>
      <x:c r="H7" s="73" t="str">
        <x:f>IF(A7="","",'Lähetykset'!H7)</x:f>
        <x:v>Ei</x:v>
      </x:c>
      <x:c r="I7" s="73" t="n">
        <x:f>IF(A7="","",COUNTIF($B$5:B7,"Kyllä"))</x:f>
        <x:v>2</x:v>
      </x:c>
      <x:c r="J7" s="73" t="str">
        <x:f>IF(B7&lt;&gt;"Kyllä","",IF(I7=1,"Perä",IF(I7=2,"Keskiosa","Keula")))</x:f>
      </x:c>
      <x:c r="K7" s="73" t="str">
        <x:f>IF(B7&lt;&gt;"Kyllä","",IF(SUMIF($B$5:$B$14,"Kyllä",$D$5:$D$14)&gt;33,"Ei mahdu",IF(SUMIF($B$5:$B$14,"Kyllä",$E$5:$E$14)&gt;24000,"Paino yli","OK")))</x:f>
      </x:c>
      <x:c r="L7" s="73" t="str">
        <x:f>IF(B7&lt;&gt;"Kyllä","",IF(H7="Kyllä","ADR",IF(AND(F7&lt;&gt;"",G7&lt;&gt;""),"Thermo","Normaali")))</x:f>
      </x:c>
      <x:c r="M7" s="73" t="str">
        <x:f>IF(B7&lt;&gt;"Kyllä","",IF(K7&lt;&gt;"OK","Tarkista kapasiteetti",IF(L7="ADR","ADR-lisä",IF(L7="Thermo","Thermolisä",""))))</x:f>
      </x:c>
    </x:row>
    <x:row r="8">
      <x:c r="A8" s="73" t="str">
        <x:f>IF('Lähetykset'!A8="","",'Lähetykset'!A8)</x:f>
        <x:v>D</x:v>
      </x:c>
      <x:c r="B8" s="73" t="str">
        <x:f>IF(A8="","",IF(ISNUMBER(SEARCH(A8,INDEX(Reittivaihtoehdot!K:K,MATCH(Optimointi!A33,Reittivaihtoehdot!A:A,0)))),"Kyllä","Ei"))</x:f>
        <x:v>Ei</x:v>
      </x:c>
      <x:c r="C8" s="74" t="str">
        <x:f>IF(A8="","",'Lähetykset'!C8)</x:f>
        <x:v>Turku</x:v>
      </x:c>
      <x:c r="D8" s="74" t="n">
        <x:f>IF(A8="","",'Lähetykset'!D8)</x:f>
        <x:v>6</x:v>
      </x:c>
      <x:c r="E8" s="73" t="n">
        <x:f>IF(A8="","",'Lähetykset'!E8)</x:f>
        <x:v>1800</x:v>
      </x:c>
      <x:c r="F8" s="73" t="str">
        <x:f>IF(OR(A8="",'Lähetykset'!F8=""),"",'Lähetykset'!F8)</x:f>
      </x:c>
      <x:c r="G8" s="73" t="str">
        <x:f>IF(OR(A8="",'Lähetykset'!G8=""),"",'Lähetykset'!G8)</x:f>
      </x:c>
      <x:c r="H8" s="73" t="str">
        <x:f>IF(A8="","",'Lähetykset'!H8)</x:f>
        <x:v>Kyllä</x:v>
      </x:c>
      <x:c r="I8" s="73" t="n">
        <x:f>IF(A8="","",COUNTIF($B$5:B8,"Kyllä"))</x:f>
        <x:v>2</x:v>
      </x:c>
      <x:c r="J8" s="73" t="str">
        <x:f>IF(B8&lt;&gt;"Kyllä","",IF(I8=1,"Perä",IF(I8=2,"Keskiosa","Keula")))</x:f>
      </x:c>
      <x:c r="K8" s="73" t="str">
        <x:f>IF(B8&lt;&gt;"Kyllä","",IF(SUMIF($B$5:$B$14,"Kyllä",$D$5:$D$14)&gt;33,"Ei mahdu",IF(SUMIF($B$5:$B$14,"Kyllä",$E$5:$E$14)&gt;24000,"Paino yli","OK")))</x:f>
      </x:c>
      <x:c r="L8" s="73" t="str">
        <x:f>IF(B8&lt;&gt;"Kyllä","",IF(H8="Kyllä","ADR",IF(AND(F8&lt;&gt;"",G8&lt;&gt;""),"Thermo","Normaali")))</x:f>
      </x:c>
      <x:c r="M8" s="73" t="str">
        <x:f>IF(B8&lt;&gt;"Kyllä","",IF(K8&lt;&gt;"OK","Tarkista kapasiteetti",IF(L8="ADR","ADR-lisä",IF(L8="Thermo","Thermolisä",""))))</x:f>
      </x:c>
    </x:row>
    <x:row r="9">
      <x:c r="A9" s="73" t="str">
        <x:f>IF('Lähetykset'!A9="","",'Lähetykset'!A9)</x:f>
      </x:c>
      <x:c r="B9" s="73" t="str">
        <x:f>IF(A9="","",IF(ISNUMBER(SEARCH(A9,INDEX(Reittivaihtoehdot!K:K,MATCH(Optimointi!A33,Reittivaihtoehdot!A:A,0)))),"Kyllä","Ei"))</x:f>
      </x:c>
      <x:c r="C9" s="74" t="str">
        <x:f>IF(A9="","",'Lähetykset'!C9)</x:f>
      </x:c>
      <x:c r="D9" s="74" t="str">
        <x:f>IF(A9="","",'Lähetykset'!D9)</x:f>
      </x:c>
      <x:c r="E9" s="73" t="str">
        <x:f>IF(A9="","",'Lähetykset'!E9)</x:f>
      </x:c>
      <x:c r="F9" s="73" t="str">
        <x:f>IF(OR(A9="",'Lähetykset'!F9=""),"",'Lähetykset'!F9)</x:f>
      </x:c>
      <x:c r="G9" s="73" t="str">
        <x:f>IF(OR(A9="",'Lähetykset'!G9=""),"",'Lähetykset'!G9)</x:f>
      </x:c>
      <x:c r="H9" s="73" t="str">
        <x:f>IF(A9="","",'Lähetykset'!H9)</x:f>
      </x:c>
      <x:c r="I9" s="73" t="str">
        <x:f>IF(A9="","",COUNTIF($B$5:B9,"Kyllä"))</x:f>
      </x:c>
      <x:c r="J9" s="73" t="str">
        <x:f>IF(B9&lt;&gt;"Kyllä","",IF(I9=1,"Perä",IF(I9=2,"Keskiosa","Keula")))</x:f>
      </x:c>
      <x:c r="K9" s="73" t="str">
        <x:f>IF(B9&lt;&gt;"Kyllä","",IF(SUMIF($B$5:$B$14,"Kyllä",$D$5:$D$14)&gt;33,"Ei mahdu",IF(SUMIF($B$5:$B$14,"Kyllä",$E$5:$E$14)&gt;24000,"Paino yli","OK")))</x:f>
      </x:c>
      <x:c r="L9" s="73" t="str">
        <x:f>IF(B9&lt;&gt;"Kyllä","",IF(H9="Kyllä","ADR",IF(AND(F9&lt;&gt;"",G9&lt;&gt;""),"Thermo","Normaali")))</x:f>
      </x:c>
      <x:c r="M9" s="73" t="str">
        <x:f>IF(B9&lt;&gt;"Kyllä","",IF(K9&lt;&gt;"OK","Tarkista kapasiteetti",IF(L9="ADR","ADR-lisä",IF(L9="Thermo","Thermolisä",""))))</x:f>
      </x:c>
    </x:row>
    <x:row r="10">
      <x:c r="A10" s="73" t="str">
        <x:f>IF('Lähetykset'!A10="","",'Lähetykset'!A10)</x:f>
      </x:c>
      <x:c r="B10" s="73" t="str">
        <x:f>IF(A10="","",IF(ISNUMBER(SEARCH(A10,INDEX(Reittivaihtoehdot!K:K,MATCH(Optimointi!A33,Reittivaihtoehdot!A:A,0)))),"Kyllä","Ei"))</x:f>
      </x:c>
      <x:c r="C10" s="74" t="str">
        <x:f>IF(A10="","",'Lähetykset'!C10)</x:f>
      </x:c>
      <x:c r="D10" s="74" t="str">
        <x:f>IF(A10="","",'Lähetykset'!D10)</x:f>
      </x:c>
      <x:c r="E10" s="73" t="str">
        <x:f>IF(A10="","",'Lähetykset'!E10)</x:f>
      </x:c>
      <x:c r="F10" s="73" t="str">
        <x:f>IF(OR(A10="",'Lähetykset'!F10=""),"",'Lähetykset'!F10)</x:f>
      </x:c>
      <x:c r="G10" s="73" t="str">
        <x:f>IF(OR(A10="",'Lähetykset'!G10=""),"",'Lähetykset'!G10)</x:f>
      </x:c>
      <x:c r="H10" s="73" t="str">
        <x:f>IF(A10="","",'Lähetykset'!H10)</x:f>
      </x:c>
      <x:c r="I10" s="73" t="str">
        <x:f>IF(A10="","",COUNTIF($B$5:B10,"Kyllä"))</x:f>
      </x:c>
      <x:c r="J10" s="73" t="str">
        <x:f>IF(B10&lt;&gt;"Kyllä","",IF(I10=1,"Perä",IF(I10=2,"Keskiosa","Keula")))</x:f>
      </x:c>
      <x:c r="K10" s="73" t="str">
        <x:f>IF(B10&lt;&gt;"Kyllä","",IF(SUMIF($B$5:$B$14,"Kyllä",$D$5:$D$14)&gt;33,"Ei mahdu",IF(SUMIF($B$5:$B$14,"Kyllä",$E$5:$E$14)&gt;24000,"Paino yli","OK")))</x:f>
      </x:c>
      <x:c r="L10" s="73" t="str">
        <x:f>IF(B10&lt;&gt;"Kyllä","",IF(H10="Kyllä","ADR",IF(AND(F10&lt;&gt;"",G10&lt;&gt;""),"Thermo","Normaali")))</x:f>
      </x:c>
      <x:c r="M10" s="73" t="str">
        <x:f>IF(B10&lt;&gt;"Kyllä","",IF(K10&lt;&gt;"OK","Tarkista kapasiteetti",IF(L10="ADR","ADR-lisä",IF(L10="Thermo","Thermolisä",""))))</x:f>
      </x:c>
    </x:row>
    <x:row r="11">
      <x:c r="A11" s="73" t="str">
        <x:f>IF('Lähetykset'!A11="","",'Lähetykset'!A11)</x:f>
      </x:c>
      <x:c r="B11" s="73" t="str">
        <x:f>IF(A11="","",IF(ISNUMBER(SEARCH(A11,INDEX(Reittivaihtoehdot!K:K,MATCH(Optimointi!A33,Reittivaihtoehdot!A:A,0)))),"Kyllä","Ei"))</x:f>
      </x:c>
      <x:c r="C11" s="74" t="str">
        <x:f>IF(A11="","",'Lähetykset'!C11)</x:f>
      </x:c>
      <x:c r="D11" s="74" t="str">
        <x:f>IF(A11="","",'Lähetykset'!D11)</x:f>
      </x:c>
      <x:c r="E11" s="73" t="str">
        <x:f>IF(A11="","",'Lähetykset'!E11)</x:f>
      </x:c>
      <x:c r="F11" s="73" t="str">
        <x:f>IF(OR(A11="",'Lähetykset'!F11=""),"",'Lähetykset'!F11)</x:f>
      </x:c>
      <x:c r="G11" s="73" t="str">
        <x:f>IF(OR(A11="",'Lähetykset'!G11=""),"",'Lähetykset'!G11)</x:f>
      </x:c>
      <x:c r="H11" s="73" t="str">
        <x:f>IF(A11="","",'Lähetykset'!H11)</x:f>
      </x:c>
      <x:c r="I11" s="73" t="str">
        <x:f>IF(A11="","",COUNTIF($B$5:B11,"Kyllä"))</x:f>
      </x:c>
      <x:c r="J11" s="73" t="str">
        <x:f>IF(B11&lt;&gt;"Kyllä","",IF(I11=1,"Perä",IF(I11=2,"Keskiosa","Keula")))</x:f>
      </x:c>
      <x:c r="K11" s="73" t="str">
        <x:f>IF(B11&lt;&gt;"Kyllä","",IF(SUMIF($B$5:$B$14,"Kyllä",$D$5:$D$14)&gt;33,"Ei mahdu",IF(SUMIF($B$5:$B$14,"Kyllä",$E$5:$E$14)&gt;24000,"Paino yli","OK")))</x:f>
      </x:c>
      <x:c r="L11" s="73" t="str">
        <x:f>IF(B11&lt;&gt;"Kyllä","",IF(H11="Kyllä","ADR",IF(AND(F11&lt;&gt;"",G11&lt;&gt;""),"Thermo","Normaali")))</x:f>
      </x:c>
      <x:c r="M11" s="73" t="str">
        <x:f>IF(B11&lt;&gt;"Kyllä","",IF(K11&lt;&gt;"OK","Tarkista kapasiteetti",IF(L11="ADR","ADR-lisä",IF(L11="Thermo","Thermolisä",""))))</x:f>
      </x:c>
    </x:row>
    <x:row r="12">
      <x:c r="A12" s="73" t="str">
        <x:f>IF('Lähetykset'!A12="","",'Lähetykset'!A12)</x:f>
      </x:c>
      <x:c r="B12" s="73" t="str">
        <x:f>IF(A12="","",IF(ISNUMBER(SEARCH(A12,INDEX(Reittivaihtoehdot!K:K,MATCH(Optimointi!A33,Reittivaihtoehdot!A:A,0)))),"Kyllä","Ei"))</x:f>
      </x:c>
      <x:c r="C12" s="74" t="str">
        <x:f>IF(A12="","",'Lähetykset'!C12)</x:f>
      </x:c>
      <x:c r="D12" s="74" t="str">
        <x:f>IF(A12="","",'Lähetykset'!D12)</x:f>
      </x:c>
      <x:c r="E12" s="73" t="str">
        <x:f>IF(A12="","",'Lähetykset'!E12)</x:f>
      </x:c>
      <x:c r="F12" s="73" t="str">
        <x:f>IF(OR(A12="",'Lähetykset'!F12=""),"",'Lähetykset'!F12)</x:f>
      </x:c>
      <x:c r="G12" s="73" t="str">
        <x:f>IF(OR(A12="",'Lähetykset'!G12=""),"",'Lähetykset'!G12)</x:f>
      </x:c>
      <x:c r="H12" s="73" t="str">
        <x:f>IF(A12="","",'Lähetykset'!H12)</x:f>
      </x:c>
      <x:c r="I12" s="73" t="str">
        <x:f>IF(A12="","",COUNTIF($B$5:B12,"Kyllä"))</x:f>
      </x:c>
      <x:c r="J12" s="73" t="str">
        <x:f>IF(B12&lt;&gt;"Kyllä","",IF(I12=1,"Perä",IF(I12=2,"Keskiosa","Keula")))</x:f>
      </x:c>
      <x:c r="K12" s="73" t="str">
        <x:f>IF(B12&lt;&gt;"Kyllä","",IF(SUMIF($B$5:$B$14,"Kyllä",$D$5:$D$14)&gt;33,"Ei mahdu",IF(SUMIF($B$5:$B$14,"Kyllä",$E$5:$E$14)&gt;24000,"Paino yli","OK")))</x:f>
      </x:c>
      <x:c r="L12" s="73" t="str">
        <x:f>IF(B12&lt;&gt;"Kyllä","",IF(H12="Kyllä","ADR",IF(AND(F12&lt;&gt;"",G12&lt;&gt;""),"Thermo","Normaali")))</x:f>
      </x:c>
      <x:c r="M12" s="73" t="str">
        <x:f>IF(B12&lt;&gt;"Kyllä","",IF(K12&lt;&gt;"OK","Tarkista kapasiteetti",IF(L12="ADR","ADR-lisä",IF(L12="Thermo","Thermolisä",""))))</x:f>
      </x:c>
    </x:row>
    <x:row r="13">
      <x:c r="A13" s="73" t="str">
        <x:f>IF('Lähetykset'!A13="","",'Lähetykset'!A13)</x:f>
      </x:c>
      <x:c r="B13" s="73" t="str">
        <x:f>IF(A13="","",IF(ISNUMBER(SEARCH(A13,INDEX(Reittivaihtoehdot!K:K,MATCH(Optimointi!A33,Reittivaihtoehdot!A:A,0)))),"Kyllä","Ei"))</x:f>
      </x:c>
      <x:c r="C13" s="74" t="str">
        <x:f>IF(A13="","",'Lähetykset'!C13)</x:f>
      </x:c>
      <x:c r="D13" s="74" t="str">
        <x:f>IF(A13="","",'Lähetykset'!D13)</x:f>
      </x:c>
      <x:c r="E13" s="73" t="str">
        <x:f>IF(A13="","",'Lähetykset'!E13)</x:f>
      </x:c>
      <x:c r="F13" s="73" t="str">
        <x:f>IF(OR(A13="",'Lähetykset'!F13=""),"",'Lähetykset'!F13)</x:f>
      </x:c>
      <x:c r="G13" s="73" t="str">
        <x:f>IF(OR(A13="",'Lähetykset'!G13=""),"",'Lähetykset'!G13)</x:f>
      </x:c>
      <x:c r="H13" s="73" t="str">
        <x:f>IF(A13="","",'Lähetykset'!H13)</x:f>
      </x:c>
      <x:c r="I13" s="73" t="str">
        <x:f>IF(A13="","",COUNTIF($B$5:B13,"Kyllä"))</x:f>
      </x:c>
      <x:c r="J13" s="73" t="str">
        <x:f>IF(B13&lt;&gt;"Kyllä","",IF(I13=1,"Perä",IF(I13=2,"Keskiosa","Keula")))</x:f>
      </x:c>
      <x:c r="K13" s="73" t="str">
        <x:f>IF(B13&lt;&gt;"Kyllä","",IF(SUMIF($B$5:$B$14,"Kyllä",$D$5:$D$14)&gt;33,"Ei mahdu",IF(SUMIF($B$5:$B$14,"Kyllä",$E$5:$E$14)&gt;24000,"Paino yli","OK")))</x:f>
      </x:c>
      <x:c r="L13" s="73" t="str">
        <x:f>IF(B13&lt;&gt;"Kyllä","",IF(H13="Kyllä","ADR",IF(AND(F13&lt;&gt;"",G13&lt;&gt;""),"Thermo","Normaali")))</x:f>
      </x:c>
      <x:c r="M13" s="73" t="str">
        <x:f>IF(B13&lt;&gt;"Kyllä","",IF(K13&lt;&gt;"OK","Tarkista kapasiteetti",IF(L13="ADR","ADR-lisä",IF(L13="Thermo","Thermolisä",""))))</x:f>
      </x:c>
    </x:row>
    <x:row r="14">
      <x:c r="A14" s="73" t="str">
        <x:f>IF('Lähetykset'!A14="","",'Lähetykset'!A14)</x:f>
      </x:c>
      <x:c r="B14" s="73" t="str">
        <x:f>IF(A14="","",IF(ISNUMBER(SEARCH(A14,INDEX(Reittivaihtoehdot!K:K,MATCH(Optimointi!A33,Reittivaihtoehdot!A:A,0)))),"Kyllä","Ei"))</x:f>
      </x:c>
      <x:c r="C14" s="74" t="str">
        <x:f>IF(A14="","",'Lähetykset'!C14)</x:f>
      </x:c>
      <x:c r="D14" s="74" t="str">
        <x:f>IF(A14="","",'Lähetykset'!D14)</x:f>
      </x:c>
      <x:c r="E14" s="73" t="str">
        <x:f>IF(A14="","",'Lähetykset'!E14)</x:f>
      </x:c>
      <x:c r="F14" s="73" t="str">
        <x:f>IF(OR(A14="",'Lähetykset'!F14=""),"",'Lähetykset'!F14)</x:f>
      </x:c>
      <x:c r="G14" s="73" t="str">
        <x:f>IF(OR(A14="",'Lähetykset'!G14=""),"",'Lähetykset'!G14)</x:f>
      </x:c>
      <x:c r="H14" s="73" t="str">
        <x:f>IF(A14="","",'Lähetykset'!H14)</x:f>
      </x:c>
      <x:c r="I14" s="73" t="str">
        <x:f>IF(A14="","",COUNTIF($B$5:B14,"Kyllä"))</x:f>
      </x:c>
      <x:c r="J14" s="73" t="str">
        <x:f>IF(B14&lt;&gt;"Kyllä","",IF(I14=1,"Perä",IF(I14=2,"Keskiosa","Keula")))</x:f>
      </x:c>
      <x:c r="K14" s="73" t="str">
        <x:f>IF(B14&lt;&gt;"Kyllä","",IF(SUMIF($B$5:$B$14,"Kyllä",$D$5:$D$14)&gt;33,"Ei mahdu",IF(SUMIF($B$5:$B$14,"Kyllä",$E$5:$E$14)&gt;24000,"Paino yli","OK")))</x:f>
      </x:c>
      <x:c r="L14" s="73" t="str">
        <x:f>IF(B14&lt;&gt;"Kyllä","",IF(H14="Kyllä","ADR",IF(AND(F14&lt;&gt;"",G14&lt;&gt;""),"Thermo","Normaali")))</x:f>
      </x:c>
      <x:c r="M14" s="73" t="str">
        <x:f>IF(B14&lt;&gt;"Kyllä","",IF(K14&lt;&gt;"OK","Tarkista kapasiteetti",IF(L14="ADR","ADR-lisä",IF(L14="Thermo","Thermolisä",""))))</x:f>
      </x:c>
    </x:row>
    <x:row r="17">
      <x:c r="A17" s="75" t="str">
        <x:v>Kuorman yhteenveto</x:v>
      </x:c>
    </x:row>
    <x:row r="18">
      <x:c r="A18" s="62" t="str">
        <x:v>Mittari</x:v>
      </x:c>
      <x:c r="B18" s="62" t="str">
        <x:v>Arvo</x:v>
      </x:c>
      <x:c r="C18" s="62" t="str">
        <x:v>Raja</x:v>
      </x:c>
      <x:c r="D18" s="62" t="str">
        <x:v>Status</x:v>
      </x:c>
      <x:c r="E18" s="62" t="str">
        <x:v>Huomio</x:v>
      </x:c>
      <x:c r="F18" s="62" t="str"/>
    </x:row>
    <x:row r="19">
      <x:c r="A19" t="str">
        <x:v>Lavapaikat yhteensä</x:v>
      </x:c>
      <x:c r="B19" s="66" t="n">
        <x:f>SUMIF($B$5:$B$14,"Kyllä",$D$5:$D$14)</x:f>
        <x:v>18</x:v>
      </x:c>
      <x:c r="C19" s="66" t="n">
        <x:v>33</x:v>
      </x:c>
      <x:c r="D19" s="66" t="str">
        <x:f>IF(B19&gt;C19,"Ei mahdu",IF(B19&gt;=29,"Lähes täysi","OK"))</x:f>
        <x:v>OK</x:v>
      </x:c>
      <x:c r="E19" t="str">
        <x:v>Vain suositukseen kuuluvat lähetykset</x:v>
      </x:c>
      <x:c r="F19" t="str"/>
    </x:row>
    <x:row r="20">
      <x:c r="A20" t="str">
        <x:v>Paino kg yhteensä</x:v>
      </x:c>
      <x:c r="B20" s="66" t="n">
        <x:f>SUMIF($B$5:$B$14,"Kyllä",$E$5:$E$14)</x:f>
        <x:v>5700</x:v>
      </x:c>
      <x:c r="C20" s="66" t="n">
        <x:v>24000</x:v>
      </x:c>
      <x:c r="D20" s="66" t="str">
        <x:f>IF(B20&gt;C20,"Paino yli","OK")</x:f>
        <x:v>OK</x:v>
      </x:c>
      <x:c r="E20" t="str">
        <x:v>Vain suositukseen kuuluvat lähetykset</x:v>
      </x:c>
      <x:c r="F20" t="str"/>
    </x:row>
    <x:row r="21">
      <x:c r="A21" t="str">
        <x:v>Täyttöaste</x:v>
      </x:c>
      <x:c r="B21" s="76" t="n">
        <x:f>B19/C19</x:f>
        <x:v>0.5454545454545454</x:v>
      </x:c>
      <x:c r="C21" s="66" t="str">
        <x:v>85–95 % tavoite</x:v>
      </x:c>
      <x:c r="D21" s="66" t="str">
        <x:f>IF(B21&lt;0.7,"Vajaakuorma",IF(B21&gt;0.95,"Liian täysi","Hyvä"))</x:f>
        <x:v>Vajaakuorma</x:v>
      </x:c>
      <x:c r="E21" t="str"/>
      <x:c r="F21" t="str"/>
    </x:row>
    <x:row r="22">
      <x:c r="A22" t="str">
        <x:v>ADR-lähetyksiä</x:v>
      </x:c>
      <x:c r="B22" s="66" t="n">
        <x:f>COUNTIFS($B$5:$B$14,"Kyllä",$H$5:$H$14,"Kyllä")</x:f>
        <x:v>0</x:v>
      </x:c>
      <x:c r="C22" s="66" t="str"/>
      <x:c r="D22" s="66" t="str">
        <x:f>IF(B22&gt;0,"ADR-lisä","OK")</x:f>
        <x:v>OK</x:v>
      </x:c>
      <x:c r="E22" t="str"/>
      <x:c r="F22" t="str"/>
    </x:row>
    <x:row r="23">
      <x:c r="A23" t="str">
        <x:v>Thermo-lähetyksiä</x:v>
      </x:c>
      <x:c r="B23" s="66" t="n">
        <x:f>COUNTIFS($B$5:$B$14,"Kyllä",$L$5:$L$14,"Thermo")</x:f>
        <x:v>2</x:v>
      </x:c>
      <x:c r="C23" s="66" t="str"/>
      <x:c r="D23" s="66" t="str">
        <x:f>IF(B23&gt;0,"Thermolisä","OK")</x:f>
        <x:v>Thermolisä</x:v>
      </x:c>
      <x:c r="E23" t="str"/>
      <x:c r="F23" t="str"/>
    </x:row>
  </x:sheetData>
  <x:mergeCells>
    <x:mergeCell ref="A1:L1"/>
    <x:mergeCell ref="A2:L2"/>
    <x:mergeCell ref="A17:L17"/>
    <x:mergeCell ref="A17:M17"/>
  </x:mergeCells>
  <x:pageMargins left="0.7" right="0.7" top="0.75" bottom="0.75" header="0.3" footer="0.3"/>
  <x:tableParts count="1">
    <x:tablePart xmlns:r="http://schemas.openxmlformats.org/officeDocument/2006/relationships" r:id="Reb15cce5cb7349a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8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Optimointimoottorin käyttöohje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  <x:c r="O1" s="56"/>
      <x:c r="P1" s="56"/>
      <x:c r="Q1" s="56"/>
      <x:c r="R1" s="56"/>
      <x:c r="S1" s="56"/>
      <x:c r="T1" s="56"/>
      <x:c r="U1" s="56"/>
      <x:c r="V1" s="56"/>
      <x:c r="W1" s="56"/>
      <x:c r="X1" s="56"/>
      <x:c r="Y1" s="56"/>
      <x:c r="Z1" s="56"/>
    </x:row>
    <x:row r="2">
      <x:c r="A2" s="13" t="str">
        <x:v>Tämä on sääntöpohjainen AI-tyylinen malli, ei oikea koneoppiva AI. Se toimii pisteytyksen ja painotusten avulla.</x:v>
      </x:c>
    </x:row>
    <x:row r="4">
      <x:c r="A4" s="28" t="str">
        <x:v>Vaihe</x:v>
      </x:c>
      <x:c r="B4" s="28" t="str">
        <x:v>Mitä teet</x:v>
      </x:c>
      <x:c r="C4" s="28" t="str">
        <x:v>Missä välilehdessä</x:v>
      </x:c>
    </x:row>
    <x:row r="5">
      <x:c r="A5" t="str">
        <x:v>1</x:v>
      </x:c>
      <x:c r="B5" t="str">
        <x:v>Syötä lähetykset: nouto, toimitus, lavapaikat, paino, lämpötila ja ADR.</x:v>
      </x:c>
      <x:c r="C5" t="str">
        <x:v>Lähetykset</x:v>
      </x:c>
    </x:row>
    <x:row r="6">
      <x:c r="A6" t="str">
        <x:v>2</x:v>
      </x:c>
      <x:c r="B6" t="str">
        <x:v>Syötä reittivaihtoehdot: km, ajoaika, täyttö, kate ja riskipisteet.</x:v>
      </x:c>
      <x:c r="C6" t="str">
        <x:v>Reittivaihtoehdot</x:v>
      </x:c>
    </x:row>
    <x:row r="7">
      <x:c r="A7" t="str">
        <x:v>3</x:v>
      </x:c>
      <x:c r="B7" t="str">
        <x:v>Muuta painotuksia, jos haluat painottaa esim. katetta enemmän kuin kilometrejä.</x:v>
      </x:c>
      <x:c r="C7" t="str">
        <x:v>Painotukset</x:v>
      </x:c>
    </x:row>
    <x:row r="8">
      <x:c r="A8" t="str">
        <x:v>4</x:v>
      </x:c>
      <x:c r="B8" t="str">
        <x:v>Katso suositus ja pisteet.</x:v>
      </x:c>
      <x:c r="C8" t="str">
        <x:v>Optimointi</x:v>
      </x:c>
    </x:row>
    <x:row r="9">
      <x:c r="A9" t="str">
        <x:v>5</x:v>
      </x:c>
      <x:c r="B9" t="str">
        <x:v>Tarkista kuorman sopivuus, purkujärjestys ja lisät.</x:v>
      </x:c>
      <x:c r="C9" t="str">
        <x:v>Kuormaoptimointi</x:v>
      </x:c>
    </x:row>
    <x:row r="10">
      <x:c r="A10" t="str">
        <x:v>6</x:v>
      </x:c>
      <x:c r="B10" t="str">
        <x:v>Käytä Dashboardia päätöksenteon nopeaan näkymään.</x:v>
      </x:c>
      <x:c r="C10" t="str">
        <x:v>Optimizer Dashboard</x:v>
      </x:c>
    </x:row>
    <x:row r="11">
      <x:c r="A11" t="str">
        <x:v>Huomio</x:v>
      </x:c>
      <x:c r="B11" t="str">
        <x:v>Jos haluat oikean AI-/VRP-optimoinnin, seuraava taso olisi Python + Google OR-Tools.</x:v>
      </x:c>
      <x:c r="C11" t="str"/>
    </x:row>
    <x:row r="12">
      <x:c r="A12" t="str">
        <x:v>Portfolio</x:v>
      </x:c>
      <x:c r="B12" t="str">
        <x:v>Tämä toimii hyvänä Excel-projektina logistiikan data-/TMS-kehitysrooleihin.</x:v>
      </x:c>
      <x:c r="C12" t="str"/>
    </x:row>
    <x:row r="14">
      <x:c r="A14" s="192" t="str">
        <x:v>Portfolio-lisäys</x:v>
      </x:c>
      <x:c r="B14" s="192" t="str">
        <x:v>Mitä näyttää</x:v>
      </x:c>
      <x:c r="C14" s="192" t="str">
        <x:v>Missä</x:v>
      </x:c>
    </x:row>
    <x:row r="15">
      <x:c r="A15" t="str">
        <x:v>AI Score Dashboard</x:v>
      </x:c>
      <x:c r="B15" t="str">
        <x:v>Painotettu reittipisteytys ja suositus</x:v>
      </x:c>
      <x:c r="C15" t="str">
        <x:v>AI Score Dashboard</x:v>
      </x:c>
    </x:row>
    <x:row r="16">
      <x:c r="A16" t="str">
        <x:v>Trailer Layout</x:v>
      </x:c>
      <x:c r="B16" t="str">
        <x:v>Visuaalinen 33 lavapaikan kuormakuva</x:v>
      </x:c>
      <x:c r="C16" t="str">
        <x:v>Trailer Layout</x:v>
      </x:c>
    </x:row>
    <x:row r="17">
      <x:c r="A17" t="str">
        <x:v>Power BI KPI Dashboard</x:v>
      </x:c>
      <x:c r="B17" t="str">
        <x:v>Power BI -tyylinen Excel-esikatselu</x:v>
      </x:c>
      <x:c r="C17" t="str">
        <x:v>Power BI KPI Dashboard</x:v>
      </x:c>
    </x:row>
    <x:row r="18">
      <x:c r="A18" t="str">
        <x:v>GitHub-kuvat</x:v>
      </x:c>
      <x:c r="B18" t="str">
        <x:v>Ota screenshotit näistä kolmesta sivusta</x:v>
      </x:c>
      <x:c r="C18" t="str">
        <x:v>README.md</x:v>
      </x:c>
    </x:row>
    <x:row r="19">
      <x:c r="A19" t="str">
        <x:v>Power BI jatko</x:v>
      </x:c>
      <x:c r="B19" t="str">
        <x:v>Power BI voi käyttää Reittihistoria- ja PowerBI karttadata -sivuja</x:v>
      </x:c>
      <x:c r="C19" t="str">
        <x:v>Power BI</x:v>
      </x:c>
    </x:row>
    <x:row r="20">
      <x:c r="A20" t="str">
        <x:v>Haastattelukäyttö</x:v>
      </x:c>
      <x:c r="B20" t="str">
        <x:v>Näytä score-logiikka, kuorma ja KPI:t</x:v>
      </x:c>
      <x:c r="C20" t="str">
        <x:v>Portfolio</x:v>
      </x:c>
    </x:row>
    <x:row r="21">
      <x:c r="A21" t="str">
        <x:v>Huomio</x:v>
      </x:c>
      <x:c r="B21" t="str">
        <x:v>Tämä on sääntöpohjainen optimointimalli, ei koneoppiva AI</x:v>
      </x:c>
      <x:c r="C21" t="str"/>
    </x:row>
    <x:row r="22">
      <x:c r="A22" t="str"/>
      <x:c r="B22" t="str"/>
      <x:c r="C22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22" hidden="0" customWidth="1"/>
    <x:col min="4" max="4" width="24" hidden="0" customWidth="1"/>
    <x:col min="5" max="5" width="16" hidden="0" customWidth="1"/>
    <x:col min="6" max="6" width="40" hidden="0" customWidth="1"/>
    <x:col min="7" max="7" width="12" hidden="0" customWidth="1"/>
    <x:col min="8" max="8" width="12" hidden="0" customWidth="1"/>
  </x:cols>
  <x:sheetData>
    <x:row r="1">
      <x:c r="A1" s="90" t="str">
        <x:v>Testiraportti – AI reitti- ja kuormaoptimointi</x:v>
      </x:c>
      <x:c r="B1" s="56"/>
      <x:c r="C1" s="56"/>
      <x:c r="D1" s="56"/>
      <x:c r="E1" s="56"/>
      <x:c r="F1" s="56"/>
      <x:c r="G1" s="56"/>
      <x:c r="H1" s="56"/>
    </x:row>
    <x:row r="2">
      <x:c r="A2" s="13" t="str">
        <x:v>Automaattinen tarkistus: linkit, kaavat, suositus, kuormasummat ja virheskannaus.</x:v>
      </x:c>
    </x:row>
    <x:row r="4">
      <x:c r="A4" s="95" t="str">
        <x:v>Testi</x:v>
      </x:c>
      <x:c r="B4" s="95" t="str">
        <x:v>Tarkistus</x:v>
      </x:c>
      <x:c r="C4" s="95" t="str">
        <x:v>Odotettu</x:v>
      </x:c>
      <x:c r="D4" s="95" t="str">
        <x:v>Tulos</x:v>
      </x:c>
      <x:c r="E4" s="95" t="str">
        <x:v>Status</x:v>
      </x:c>
      <x:c r="F4" s="95" t="str">
        <x:v>Huomio</x:v>
      </x:c>
      <x:c r="G4" s="95" t="str"/>
      <x:c r="H4" s="95" t="str"/>
    </x:row>
    <x:row r="5">
      <x:c r="A5" s="98" t="str">
        <x:v>Kaavavirheet</x:v>
      </x:c>
      <x:c r="B5" s="98" t="str">
        <x:v>Ei Excelin virhekoodeja (#REF, #VALUE, #NAME, jne.)</x:v>
      </x:c>
      <x:c r="C5" s="98" t="str">
        <x:v>0 virhettä</x:v>
      </x:c>
      <x:c r="D5" s="98" t="str">
        <x:v>Tarkistettu työkalulla</x:v>
      </x:c>
      <x:c r="E5" s="98" t="str">
        <x:v>OK</x:v>
      </x:c>
      <x:c r="F5" s="98" t="str">
        <x:v>Virheskannaus ei löytänyt osumia</x:v>
      </x:c>
    </x:row>
    <x:row r="6">
      <x:c r="A6" s="98" t="str">
        <x:v>Dashboard-linkki</x:v>
      </x:c>
      <x:c r="B6" s="98" t="str">
        <x:v>Dashboardin paras reitti = Optimoinnin paras reitti</x:v>
      </x:c>
      <x:c r="C6" s="98" t="str">
        <x:f>Optimointi!B33</x:f>
        <x:v>Vantaa → Tampere → Pori</x:v>
      </x:c>
      <x:c r="D6" s="100" t="e">
        <x:f>IF('Optimizer Dashboard'!B6=Optimointi!B33,"OK","VIRHE")</x:f>
      </x:c>
      <x:c r="E6" s="100" t="e">
        <x:f>D6</x:f>
      </x:c>
      <x:c r="F6" s="98" t="str"/>
    </x:row>
    <x:row r="7">
      <x:c r="A7" s="98" t="str">
        <x:v>Paras piste</x:v>
      </x:c>
      <x:c r="B7" s="98" t="str">
        <x:v>Optimointi!C33 = MAX kokonaispisteistä</x:v>
      </x:c>
      <x:c r="C7" s="98" t="n">
        <x:f>MAX(Optimointi!M5:M14)</x:f>
        <x:v>76.18740031897926</x:v>
      </x:c>
      <x:c r="D7" s="100" t="str">
        <x:f>IF(ABS(Optimointi!C33-MAX(Optimointi!M5:M14))&lt;0.0001,"OK","VIRHE")</x:f>
        <x:v>OK</x:v>
      </x:c>
      <x:c r="E7" s="100" t="str">
        <x:f>D7</x:f>
        <x:v>OK</x:v>
      </x:c>
      <x:c r="F7" s="98" t="str"/>
    </x:row>
    <x:row r="8">
      <x:c r="A8" s="98" t="str">
        <x:v>Tyhjät reittirivit</x:v>
      </x:c>
      <x:c r="B8" s="98" t="str">
        <x:v>Tyhjillä riveillä ei saa olla numeerisia pisteitä</x:v>
      </x:c>
      <x:c r="C8" s="98" t="str">
        <x:v>Tyhjä</x:v>
      </x:c>
      <x:c r="D8" s="100" t="str">
        <x:f>IF(COUNT(Optimointi!M10:M14)=0,"OK","TARKISTA")</x:f>
        <x:v>OK</x:v>
      </x:c>
      <x:c r="E8" s="100" t="str">
        <x:f>D8</x:f>
        <x:v>OK</x:v>
      </x:c>
      <x:c r="F8" s="98" t="str"/>
    </x:row>
    <x:row r="9">
      <x:c r="A9" s="98" t="str">
        <x:v>Suositusmerkintä</x:v>
      </x:c>
      <x:c r="B9" s="98" t="str">
        <x:v>Vain yksi SUOSITUS</x:v>
      </x:c>
      <x:c r="C9" s="98" t="str">
        <x:v>1</x:v>
      </x:c>
      <x:c r="D9" s="100" t="n">
        <x:f>COUNTIF(Optimointi!N5:N14,"SUOSITUS")</x:f>
        <x:v>1</x:v>
      </x:c>
      <x:c r="E9" s="100" t="str">
        <x:f>IF(D9=1,"OK","VIRHE")</x:f>
        <x:v>OK</x:v>
      </x:c>
      <x:c r="F9" s="98" t="str"/>
    </x:row>
    <x:row r="10">
      <x:c r="A10" s="98" t="str">
        <x:v>Kuorma: lavapaikat</x:v>
      </x:c>
      <x:c r="B10" s="98" t="str">
        <x:v>Suositukseen kuuluvat lavapaikat = yhteenveto</x:v>
      </x:c>
      <x:c r="C10" s="98" t="n">
        <x:f>SUMIF(Kuormaoptimointi!B5:B14,"Kyllä",Kuormaoptimointi!D5:D14)</x:f>
        <x:v>18</x:v>
      </x:c>
      <x:c r="D10" s="100" t="str">
        <x:f>IF(Kuormaoptimointi!B19=SUMIF(Kuormaoptimointi!B5:B14,"Kyllä",Kuormaoptimointi!D5:D14),"OK","VIRHE")</x:f>
        <x:v>OK</x:v>
      </x:c>
      <x:c r="E10" s="100" t="str">
        <x:f>D10</x:f>
        <x:v>OK</x:v>
      </x:c>
      <x:c r="F10" s="98" t="str"/>
    </x:row>
    <x:row r="11">
      <x:c r="A11" s="98" t="str">
        <x:v>Kuorma: paino</x:v>
      </x:c>
      <x:c r="B11" s="98" t="str">
        <x:v>Suositukseen kuuluva paino = yhteenveto</x:v>
      </x:c>
      <x:c r="C11" s="98" t="n">
        <x:f>SUMIF(Kuormaoptimointi!B5:B14,"Kyllä",Kuormaoptimointi!E5:E14)</x:f>
        <x:v>5700</x:v>
      </x:c>
      <x:c r="D11" s="100" t="str">
        <x:f>IF(Kuormaoptimointi!B20=SUMIF(Kuormaoptimointi!B5:B14,"Kyllä",Kuormaoptimointi!E5:E14),"OK","VIRHE")</x:f>
        <x:v>OK</x:v>
      </x:c>
      <x:c r="E11" s="100" t="str">
        <x:f>D11</x:f>
        <x:v>OK</x:v>
      </x:c>
      <x:c r="F11" s="98" t="str"/>
    </x:row>
    <x:row r="12">
      <x:c r="A12" s="98" t="str">
        <x:v>Painotusten summa</x:v>
      </x:c>
      <x:c r="B12" s="98" t="str">
        <x:v>Painotukset yhteensä = 100 %</x:v>
      </x:c>
      <x:c r="C12" s="98" t="str">
        <x:v>100 %</x:v>
      </x:c>
      <x:c r="D12" s="100" t="str">
        <x:f>IF(ABS(Painotukset!B10-1)&lt;0.0001,"OK","VIRHE")</x:f>
        <x:v>OK</x:v>
      </x:c>
      <x:c r="E12" s="100" t="str">
        <x:f>D12</x:f>
        <x:v>OK</x:v>
      </x:c>
      <x:c r="F12" s="98" t="str"/>
    </x:row>
    <x:row r="13">
      <x:c r="A13" s="99" t="str">
        <x:v>Kuormastatus</x:v>
      </x:c>
      <x:c r="B13" s="99" t="str">
        <x:v>Kuormaoptimointi antaa statusarvot</x:v>
      </x:c>
      <x:c r="C13" s="99" t="str">
        <x:v>OK / huomio</x:v>
      </x:c>
      <x:c r="D13" s="101" t="str">
        <x:f>IF(AND(Kuormaoptimointi!D19&lt;&gt;"",Kuormaoptimointi!D20&lt;&gt;"",Kuormaoptimointi!D21&lt;&gt;""),"OK","VIRHE")</x:f>
        <x:v>OK</x:v>
      </x:c>
      <x:c r="E13" s="101" t="str">
        <x:f>D13</x:f>
        <x:v>OK</x:v>
      </x:c>
      <x:c r="F13" s="99" t="str"/>
    </x:row>
  </x:sheetData>
  <x:mergeCells>
    <x:mergeCell ref="A1:H1"/>
    <x:mergeCell ref="A2:H2"/>
  </x:mergeCells>
  <x:conditionalFormatting sqref="E5:E13">
    <x:cfRule type="expression" dxfId="2" priority="1">
      <x:formula>E5="OK"</x:formula>
    </x:cfRule>
    <x:cfRule type="expression" dxfId="3" priority="2">
      <x:formula>OR(E5="VIRHE",E5="TARKISTA")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08" t="str">
        <x:v>Mini TMS Dashboard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Koonti TMS-tyyppisistä prosesseista: order → planning → execution → tracking → analytics.</x:v>
      </x:c>
    </x:row>
    <x:row r="4">
      <x:c r="A4" s="112" t="str">
        <x:v>TMS-toiminnot lisätty työkaluun</x:v>
      </x:c>
    </x:row>
    <x:row r="5">
      <x:c r="A5" s="118" t="str">
        <x:v>#</x:v>
      </x:c>
      <x:c r="B5" s="118" t="str">
        <x:v>Toiminto</x:v>
      </x:c>
      <x:c r="C5" s="118" t="str">
        <x:v>Välilehti</x:v>
      </x:c>
      <x:c r="D5" s="118" t="str">
        <x:v>Mitä tekee</x:v>
      </x:c>
      <x:c r="E5" s="118" t="str">
        <x:v>Status</x:v>
      </x:c>
      <x:c r="F5" s="118" t="str">
        <x:v>Huomio</x:v>
      </x:c>
    </x:row>
    <x:row r="6">
      <x:c r="A6" s="121" t="n">
        <x:v>1</x:v>
      </x:c>
      <x:c r="B6" s="121" t="str">
        <x:v>Order → Planning → Execution</x:v>
      </x:c>
      <x:c r="C6" s="121" t="str">
        <x:v>TMS Orders</x:v>
      </x:c>
      <x:c r="D6" s="121" t="str">
        <x:v>Tilausten eteneminen prosessin läpi</x:v>
      </x:c>
      <x:c r="E6" s="121" t="str">
        <x:v>Valmis</x:v>
      </x:c>
      <x:c r="F6" s="121" t="str"/>
    </x:row>
    <x:row r="7">
      <x:c r="A7" s="121" t="n">
        <x:v>2</x:v>
      </x:c>
      <x:c r="B7" s="121" t="str">
        <x:v>Consolidation</x:v>
      </x:c>
      <x:c r="C7" s="121" t="str">
        <x:v>TMS Consolidation</x:v>
      </x:c>
      <x:c r="D7" s="121" t="str">
        <x:v>Lähetysten yhdistäminen kuljetuksiksi</x:v>
      </x:c>
      <x:c r="E7" s="121" t="str">
        <x:v>Valmis</x:v>
      </x:c>
      <x:c r="F7" s="121" t="str"/>
    </x:row>
    <x:row r="8">
      <x:c r="A8" s="121" t="n">
        <x:v>3</x:v>
      </x:c>
      <x:c r="B8" s="121" t="str">
        <x:v>Dynamic routing</x:v>
      </x:c>
      <x:c r="C8" s="121" t="str">
        <x:v>TMS Dynamic Routing</x:v>
      </x:c>
      <x:c r="D8" s="121" t="str">
        <x:v>Viiveiden vaikutus ETAan ja reittiin</x:v>
      </x:c>
      <x:c r="E8" s="121" t="str">
        <x:v>Valmis</x:v>
      </x:c>
      <x:c r="F8" s="121" t="str"/>
    </x:row>
    <x:row r="9">
      <x:c r="A9" s="121" t="n">
        <x:v>4</x:v>
      </x:c>
      <x:c r="B9" s="121" t="str">
        <x:v>Carrier selection</x:v>
      </x:c>
      <x:c r="C9" s="121" t="str">
        <x:v>TMS Carrier Selection</x:v>
      </x:c>
      <x:c r="D9" s="121" t="str">
        <x:v>Kuljetusliikkeen valinta hinnan, laadun ja kapasiteetin perusteella</x:v>
      </x:c>
      <x:c r="E9" s="121" t="str">
        <x:v>Valmis</x:v>
      </x:c>
      <x:c r="F9" s="121" t="str"/>
    </x:row>
    <x:row r="10">
      <x:c r="A10" s="121" t="n">
        <x:v>5</x:v>
      </x:c>
      <x:c r="B10" s="121" t="str">
        <x:v>Cost per order</x:v>
      </x:c>
      <x:c r="C10" s="121" t="str">
        <x:v>TMS Cost per Order</x:v>
      </x:c>
      <x:c r="D10" s="121" t="str">
        <x:v>Kustannus ja kate tilauskohtaisesti</x:v>
      </x:c>
      <x:c r="E10" s="121" t="str">
        <x:v>Valmis</x:v>
      </x:c>
      <x:c r="F10" s="121" t="str"/>
    </x:row>
    <x:row r="11">
      <x:c r="A11" s="121" t="n">
        <x:v>6</x:v>
      </x:c>
      <x:c r="B11" s="121" t="str">
        <x:v>Tracking / ETA</x:v>
      </x:c>
      <x:c r="C11" s="121" t="str">
        <x:v>TMS Tracking</x:v>
      </x:c>
      <x:c r="D11" s="121" t="str">
        <x:v>Seuranta, ETA ja myöhästymisriski</x:v>
      </x:c>
      <x:c r="E11" s="121" t="str">
        <x:v>Valmis</x:v>
      </x:c>
      <x:c r="F11" s="121" t="str"/>
    </x:row>
    <x:row r="12">
      <x:c r="A12" s="121" t="n">
        <x:v>7</x:v>
      </x:c>
      <x:c r="B12" s="121" t="str">
        <x:v>Exception management</x:v>
      </x:c>
      <x:c r="C12" s="121" t="str">
        <x:v>TMS Exceptions</x:v>
      </x:c>
      <x:c r="D12" s="121" t="str">
        <x:v>Poikkeamat, vakavuus ja toimenpiteet</x:v>
      </x:c>
      <x:c r="E12" s="121" t="str">
        <x:v>Valmis</x:v>
      </x:c>
      <x:c r="F12" s="121" t="str"/>
    </x:row>
    <x:row r="13">
      <x:c r="A13" s="121" t="n">
        <x:v>8</x:v>
      </x:c>
      <x:c r="B13" s="121" t="str">
        <x:v>Tendering</x:v>
      </x:c>
      <x:c r="C13" s="121" t="str">
        <x:v>TMS Tendering</x:v>
      </x:c>
      <x:c r="D13" s="121" t="str">
        <x:v>Tarjouspyynnöt useille carrier-toimijoille</x:v>
      </x:c>
      <x:c r="E13" s="121" t="str">
        <x:v>Valmis</x:v>
      </x:c>
      <x:c r="F13" s="121" t="str"/>
    </x:row>
    <x:row r="14">
      <x:c r="A14" s="121" t="n">
        <x:v>9</x:v>
      </x:c>
      <x:c r="B14" s="121" t="str">
        <x:v>Capacity planning</x:v>
      </x:c>
      <x:c r="C14" s="121" t="str">
        <x:v>TMS Capacity</x:v>
      </x:c>
      <x:c r="D14" s="121" t="str">
        <x:v>Trailerit, kuljettajat ja resurssit päiväkohtaisesti</x:v>
      </x:c>
      <x:c r="E14" s="121" t="str">
        <x:v>Valmis</x:v>
      </x:c>
      <x:c r="F14" s="121" t="str"/>
    </x:row>
    <x:row r="15">
      <x:c r="A15" s="121" t="n">
        <x:v>10</x:v>
      </x:c>
      <x:c r="B15" s="121" t="str">
        <x:v>Network optimization</x:v>
      </x:c>
      <x:c r="C15" s="121" t="str">
        <x:v>TMS Network</x:v>
      </x:c>
      <x:c r="D15" s="121" t="str">
        <x:v>Hubien ja verkoston kustannus-/aikavertailu</x:v>
      </x:c>
      <x:c r="E15" s="121" t="str">
        <x:v>Valmis</x:v>
      </x:c>
      <x:c r="F15" s="121" t="str"/>
    </x:row>
    <x:row r="18">
      <x:c r="A18" s="112" t="str">
        <x:v>Nopeat KPI:t</x:v>
      </x:c>
    </x:row>
    <x:row r="19">
      <x:c r="A19" s="118" t="str">
        <x:v>KPI</x:v>
      </x:c>
      <x:c r="B19" s="118" t="str">
        <x:v>Arvo</x:v>
      </x:c>
      <x:c r="C19" s="118" t="str">
        <x:v>Tavoite</x:v>
      </x:c>
      <x:c r="D19" s="118" t="str">
        <x:v>Status</x:v>
      </x:c>
      <x:c r="E19" s="118" t="str">
        <x:v>Lähde</x:v>
      </x:c>
      <x:c r="F19" s="118" t="str">
        <x:v>Huomio</x:v>
      </x:c>
    </x:row>
    <x:row r="20">
      <x:c r="A20" t="str">
        <x:v>Avoimet tilaukset</x:v>
      </x:c>
      <x:c r="B20" s="123" t="n">
        <x:f>COUNTIFS('TMS Orders'!H5:H40,"&lt;&gt;Delivered",'TMS Orders'!H5:H40,"&lt;&gt;")</x:f>
        <x:v>4</x:v>
      </x:c>
      <x:c r="C20" s="123" t="str">
        <x:v>0</x:v>
      </x:c>
      <x:c r="D20" s="123" t="str">
        <x:f>IF(B20&gt;0,"Seurattava","OK")</x:f>
        <x:v>Seurattava</x:v>
      </x:c>
      <x:c r="E20" t="str">
        <x:v>TMS Orders</x:v>
      </x:c>
      <x:c r="F20" t="str"/>
    </x:row>
    <x:row r="21">
      <x:c r="A21" t="str">
        <x:v>Korkeat poikkeamat</x:v>
      </x:c>
      <x:c r="B21" s="123" t="n">
        <x:f>COUNTIF('TMS Exceptions'!F5:F40,"Korkea")</x:f>
        <x:v>1</x:v>
      </x:c>
      <x:c r="C21" s="123" t="str">
        <x:v>0</x:v>
      </x:c>
      <x:c r="D21" s="123" t="str">
        <x:f>IF(B21&gt;0,"Punainen","OK")</x:f>
        <x:v>Punainen</x:v>
      </x:c>
      <x:c r="E21" t="str">
        <x:v>TMS Exceptions</x:v>
      </x:c>
      <x:c r="F21" t="str"/>
    </x:row>
    <x:row r="22">
      <x:c r="A22" t="str">
        <x:v>Kapasiteetin käyttöaste</x:v>
      </x:c>
      <x:c r="B22" s="124" t="n">
        <x:f>AVERAGE('TMS Capacity'!H5:H20)</x:f>
        <x:v>1.0107142857142857</x:v>
      </x:c>
      <x:c r="C22" s="123" t="str">
        <x:v>&gt;= 80 %</x:v>
      </x:c>
      <x:c r="D22" s="123" t="str">
        <x:f>IF(B22&lt;0.8,"Keltainen","OK")</x:f>
        <x:v>OK</x:v>
      </x:c>
      <x:c r="E22" t="str">
        <x:v>TMS Capacity</x:v>
      </x:c>
      <x:c r="F22" t="str"/>
    </x:row>
    <x:row r="23">
      <x:c r="A23" t="str">
        <x:v>Paras carrier score</x:v>
      </x:c>
      <x:c r="B23" s="123" t="n">
        <x:f>MAX('TMS Carrier Selection'!K5:K20)</x:f>
        <x:v>94.32500033482137</x:v>
      </x:c>
      <x:c r="C23" s="123" t="str">
        <x:v>maksimi</x:v>
      </x:c>
      <x:c r="D23" s="123" t="str">
        <x:f>IF(B23&gt;0,"OK","Tarkista")</x:f>
        <x:v>OK</x:v>
      </x:c>
      <x:c r="E23" t="str">
        <x:v>TMS Carrier Selection</x:v>
      </x:c>
      <x:c r="F23" t="str"/>
    </x:row>
    <x:row r="24">
      <x:c r="A24" t="str">
        <x:v>Paras verkostovaihtoehto</x:v>
      </x:c>
      <x:c r="B24" s="123" t="str">
        <x:f>INDEX('TMS Network'!A5:A20,MATCH(MAX('TMS Network'!I5:I20),'TMS Network'!I5:I20,0))</x:f>
        <x:v>N1</x:v>
      </x:c>
      <x:c r="C24" s="123" t="str">
        <x:v>korkein score</x:v>
      </x:c>
      <x:c r="D24" s="123" t="str">
        <x:v>OK</x:v>
      </x:c>
      <x:c r="E24" t="str">
        <x:v>TMS Network</x:v>
      </x:c>
      <x:c r="F24" t="str"/>
    </x:row>
  </x:sheetData>
  <x:mergeCells>
    <x:mergeCell ref="A1:N1"/>
    <x:mergeCell ref="A2:N2"/>
    <x:mergeCell ref="A4:N4"/>
    <x:mergeCell ref="A18:N18"/>
  </x:mergeCells>
  <x:pageMargins left="0.7" right="0.7" top="0.75" bottom="0.75" header="0.3" footer="0.3"/>
  <x:drawing xmlns:r="http://schemas.openxmlformats.org/officeDocument/2006/relationships" r:id="R0e44a480cb684131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8" hidden="0" customWidth="1"/>
    <x:col min="9" max="9" width="20" hidden="0" customWidth="1"/>
    <x:col min="10" max="10" width="18" hidden="0" customWidth="1"/>
    <x:col min="11" max="11" width="18" hidden="0" customWidth="1"/>
    <x:col min="12" max="12" width="18" hidden="0" customWidth="1"/>
    <x:col min="13" max="13" width="26" hidden="0" customWidth="1"/>
    <x:col min="14" max="14" width="24" hidden="0" customWidth="1"/>
  </x:cols>
  <x:sheetData>
    <x:row r="1">
      <x:c r="A1" s="108" t="str">
        <x:v>1. Order → Planning → Execution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Tilausvirta: Order → Planning → Execution → Tracking → Delivered.</x:v>
      </x:c>
    </x:row>
    <x:row r="4">
      <x:c r="A4" s="118" t="str">
        <x:v>Order ID</x:v>
      </x:c>
      <x:c r="B4" s="118" t="str">
        <x:v>Päivä</x:v>
      </x:c>
      <x:c r="C4" s="118" t="str">
        <x:v>Asiakas</x:v>
      </x:c>
      <x:c r="D4" s="118" t="str">
        <x:v>Nouto</x:v>
      </x:c>
      <x:c r="E4" s="118" t="str">
        <x:v>Toimitus</x:v>
      </x:c>
      <x:c r="F4" s="118" t="str">
        <x:v>Lavapaikat</x:v>
      </x:c>
      <x:c r="G4" s="118" t="str">
        <x:v>Paino kg</x:v>
      </x:c>
      <x:c r="H4" s="118" t="str">
        <x:v>Status</x:v>
      </x:c>
      <x:c r="I4" s="118" t="str">
        <x:v>Reitti ID</x:v>
      </x:c>
      <x:c r="J4" s="118" t="str">
        <x:v>Carrier</x:v>
      </x:c>
      <x:c r="K4" s="118" t="str">
        <x:v>ETA</x:v>
      </x:c>
      <x:c r="L4" s="118" t="str">
        <x:v>Toteuma</x:v>
      </x:c>
      <x:c r="M4" s="118" t="str">
        <x:v>Seuraava toimenpide</x:v>
      </x:c>
      <x:c r="N4" s="118" t="str">
        <x:v>Huomio</x:v>
      </x:c>
    </x:row>
    <x:row r="5">
      <x:c r="A5" s="121" t="str">
        <x:v>O-1001</x:v>
      </x:c>
      <x:c r="B5" s="125" t="n">
        <x:v>46147</x:v>
      </x:c>
      <x:c r="C5" s="121" t="str">
        <x:v>Asiakas A</x:v>
      </x:c>
      <x:c r="D5" s="121" t="str">
        <x:v>Vantaa</x:v>
      </x:c>
      <x:c r="E5" s="121" t="str">
        <x:v>Tampere</x:v>
      </x:c>
      <x:c r="F5" s="121" t="n">
        <x:v>8</x:v>
      </x:c>
      <x:c r="G5" s="121" t="n">
        <x:v>2500</x:v>
      </x:c>
      <x:c r="H5" s="121" t="str">
        <x:v>Planning</x:v>
      </x:c>
      <x:c r="I5" s="121" t="str">
        <x:v>R1</x:v>
      </x:c>
      <x:c r="J5" s="121" t="str"/>
      <x:c r="K5" s="121" t="str"/>
      <x:c r="L5" s="121" t="str"/>
      <x:c r="M5" s="123" t="str">
        <x:f>IF(A5="","",IF(H5="Order","Suunnittele",IF(H5="Planning","Valitse carrier",IF(H5="Execution","Seuraa ETA",IF(H5="Tracking","Tarkista poikkeamat","Valmis")))))</x:f>
        <x:v>Valitse carrier</x:v>
      </x:c>
      <x:c r="N5" t="str"/>
    </x:row>
    <x:row r="6">
      <x:c r="A6" s="121" t="str">
        <x:v>O-1002</x:v>
      </x:c>
      <x:c r="B6" s="125" t="n">
        <x:v>46147</x:v>
      </x:c>
      <x:c r="C6" s="121" t="str">
        <x:v>Asiakas A</x:v>
      </x:c>
      <x:c r="D6" s="121" t="str">
        <x:v>Vantaa</x:v>
      </x:c>
      <x:c r="E6" s="121" t="str">
        <x:v>Pori</x:v>
      </x:c>
      <x:c r="F6" s="121" t="n">
        <x:v>10</x:v>
      </x:c>
      <x:c r="G6" s="121" t="n">
        <x:v>3200</x:v>
      </x:c>
      <x:c r="H6" s="121" t="str">
        <x:v>Planning</x:v>
      </x:c>
      <x:c r="I6" s="121" t="str">
        <x:v>R1</x:v>
      </x:c>
      <x:c r="J6" s="121" t="str"/>
      <x:c r="K6" s="121" t="str"/>
      <x:c r="L6" s="121" t="str"/>
      <x:c r="M6" s="123" t="str">
        <x:f>IF(A6="","",IF(H6="Order","Suunnittele",IF(H6="Planning","Valitse carrier",IF(H6="Execution","Seuraa ETA",IF(H6="Tracking","Tarkista poikkeamat","Valmis")))))</x:f>
        <x:v>Valitse carrier</x:v>
      </x:c>
      <x:c r="N6" t="str"/>
    </x:row>
    <x:row r="7">
      <x:c r="A7" s="121" t="str">
        <x:v>O-1003</x:v>
      </x:c>
      <x:c r="B7" s="125" t="n">
        <x:v>46148</x:v>
      </x:c>
      <x:c r="C7" s="121" t="str">
        <x:v>Asiakas B</x:v>
      </x:c>
      <x:c r="D7" s="121" t="str">
        <x:v>Tampere</x:v>
      </x:c>
      <x:c r="E7" s="121" t="str">
        <x:v>Oulu</x:v>
      </x:c>
      <x:c r="F7" s="121" t="n">
        <x:v>12</x:v>
      </x:c>
      <x:c r="G7" s="121" t="n">
        <x:v>5000</x:v>
      </x:c>
      <x:c r="H7" s="121" t="str">
        <x:v>Order</x:v>
      </x:c>
      <x:c r="I7" s="121" t="str">
        <x:v>R3</x:v>
      </x:c>
      <x:c r="J7" s="121" t="str"/>
      <x:c r="K7" s="121" t="str"/>
      <x:c r="L7" s="121" t="str"/>
      <x:c r="M7" s="123" t="str">
        <x:f>IF(A7="","",IF(H7="Order","Suunnittele",IF(H7="Planning","Valitse carrier",IF(H7="Execution","Seuraa ETA",IF(H7="Tracking","Tarkista poikkeamat","Valmis")))))</x:f>
        <x:v>Suunnittele</x:v>
      </x:c>
      <x:c r="N7" t="str"/>
    </x:row>
    <x:row r="8">
      <x:c r="A8" s="121" t="str">
        <x:v>O-1004</x:v>
      </x:c>
      <x:c r="B8" s="125" t="n">
        <x:v>46148</x:v>
      </x:c>
      <x:c r="C8" s="121" t="str">
        <x:v>Asiakas F</x:v>
      </x:c>
      <x:c r="D8" s="121" t="str">
        <x:v>Vantaa</x:v>
      </x:c>
      <x:c r="E8" s="121" t="str">
        <x:v>Turku</x:v>
      </x:c>
      <x:c r="F8" s="121" t="n">
        <x:v>6</x:v>
      </x:c>
      <x:c r="G8" s="121" t="n">
        <x:v>1800</x:v>
      </x:c>
      <x:c r="H8" s="121" t="str">
        <x:v>Order</x:v>
      </x:c>
      <x:c r="I8" s="121" t="str">
        <x:v>R5</x:v>
      </x:c>
      <x:c r="J8" s="121" t="str"/>
      <x:c r="K8" s="121" t="str"/>
      <x:c r="L8" s="121" t="str"/>
      <x:c r="M8" s="123" t="str">
        <x:f>IF(A8="","",IF(H8="Order","Suunnittele",IF(H8="Planning","Valitse carrier",IF(H8="Execution","Seuraa ETA",IF(H8="Tracking","Tarkista poikkeamat","Valmis")))))</x:f>
        <x:v>Suunnittele</x:v>
      </x:c>
      <x:c r="N8" t="str">
        <x:v>ADR</x:v>
      </x:c>
    </x:row>
    <x:row r="9">
      <x:c r="A9" s="121"/>
      <x:c r="B9" s="125"/>
      <x:c r="C9" s="121"/>
      <x:c r="D9" s="121"/>
      <x:c r="E9" s="121"/>
      <x:c r="F9" s="121"/>
      <x:c r="G9" s="121"/>
      <x:c r="H9" s="121"/>
      <x:c r="I9" s="121"/>
      <x:c r="J9" s="121"/>
      <x:c r="K9" s="121"/>
      <x:c r="L9" s="121"/>
      <x:c r="M9" s="123" t="str">
        <x:f>IF(A9="","",IF(H9="Order","Suunnittele",IF(H9="Planning","Valitse carrier",IF(H9="Execution","Seuraa ETA",IF(H9="Tracking","Tarkista poikkeamat","Valmis")))))</x:f>
      </x:c>
    </x:row>
    <x:row r="10">
      <x:c r="A10" s="121"/>
      <x:c r="B10" s="125"/>
      <x:c r="C10" s="121"/>
      <x:c r="D10" s="121"/>
      <x:c r="E10" s="121"/>
      <x:c r="F10" s="121"/>
      <x:c r="G10" s="121"/>
      <x:c r="H10" s="121"/>
      <x:c r="I10" s="121"/>
      <x:c r="J10" s="121"/>
      <x:c r="K10" s="121"/>
      <x:c r="L10" s="121"/>
      <x:c r="M10" s="123" t="str">
        <x:f>IF(A10="","",IF(H10="Order","Suunnittele",IF(H10="Planning","Valitse carrier",IF(H10="Execution","Seuraa ETA",IF(H10="Tracking","Tarkista poikkeamat","Valmis")))))</x:f>
      </x:c>
    </x:row>
    <x:row r="11">
      <x:c r="A11" s="121"/>
      <x:c r="B11" s="125"/>
      <x:c r="C11" s="121"/>
      <x:c r="D11" s="121"/>
      <x:c r="E11" s="121"/>
      <x:c r="F11" s="121"/>
      <x:c r="G11" s="121"/>
      <x:c r="H11" s="121"/>
      <x:c r="I11" s="121"/>
      <x:c r="J11" s="121"/>
      <x:c r="K11" s="121"/>
      <x:c r="L11" s="121"/>
      <x:c r="M11" s="123" t="str">
        <x:f>IF(A11="","",IF(H11="Order","Suunnittele",IF(H11="Planning","Valitse carrier",IF(H11="Execution","Seuraa ETA",IF(H11="Tracking","Tarkista poikkeamat","Valmis")))))</x:f>
      </x:c>
    </x:row>
    <x:row r="12">
      <x:c r="A12" s="121"/>
      <x:c r="B12" s="125"/>
      <x:c r="C12" s="121"/>
      <x:c r="D12" s="121"/>
      <x:c r="E12" s="121"/>
      <x:c r="F12" s="121"/>
      <x:c r="G12" s="121"/>
      <x:c r="H12" s="121"/>
      <x:c r="I12" s="121"/>
      <x:c r="J12" s="121"/>
      <x:c r="K12" s="121"/>
      <x:c r="L12" s="121"/>
      <x:c r="M12" s="123" t="str">
        <x:f>IF(A12="","",IF(H12="Order","Suunnittele",IF(H12="Planning","Valitse carrier",IF(H12="Execution","Seuraa ETA",IF(H12="Tracking","Tarkista poikkeamat","Valmis")))))</x:f>
      </x:c>
    </x:row>
    <x:row r="13">
      <x:c r="A13" s="121"/>
      <x:c r="B13" s="125"/>
      <x:c r="C13" s="121"/>
      <x:c r="D13" s="121"/>
      <x:c r="E13" s="121"/>
      <x:c r="F13" s="121"/>
      <x:c r="G13" s="121"/>
      <x:c r="H13" s="121"/>
      <x:c r="I13" s="121"/>
      <x:c r="J13" s="121"/>
      <x:c r="K13" s="121"/>
      <x:c r="L13" s="121"/>
      <x:c r="M13" s="123" t="str">
        <x:f>IF(A13="","",IF(H13="Order","Suunnittele",IF(H13="Planning","Valitse carrier",IF(H13="Execution","Seuraa ETA",IF(H13="Tracking","Tarkista poikkeamat","Valmis")))))</x:f>
      </x:c>
    </x:row>
    <x:row r="14">
      <x:c r="A14" s="121"/>
      <x:c r="B14" s="125"/>
      <x:c r="C14" s="121"/>
      <x:c r="D14" s="121"/>
      <x:c r="E14" s="121"/>
      <x:c r="F14" s="121"/>
      <x:c r="G14" s="121"/>
      <x:c r="H14" s="121"/>
      <x:c r="I14" s="121"/>
      <x:c r="J14" s="121"/>
      <x:c r="K14" s="121"/>
      <x:c r="L14" s="121"/>
      <x:c r="M14" s="123" t="str">
        <x:f>IF(A14="","",IF(H14="Order","Suunnittele",IF(H14="Planning","Valitse carrier",IF(H14="Execution","Seuraa ETA",IF(H14="Tracking","Tarkista poikkeamat","Valmis")))))</x:f>
      </x:c>
    </x:row>
    <x:row r="15">
      <x:c r="A15" s="121"/>
      <x:c r="B15" s="125"/>
      <x:c r="C15" s="121"/>
      <x:c r="D15" s="121"/>
      <x:c r="E15" s="121"/>
      <x:c r="F15" s="121"/>
      <x:c r="G15" s="121"/>
      <x:c r="H15" s="121"/>
      <x:c r="I15" s="121"/>
      <x:c r="J15" s="121"/>
      <x:c r="K15" s="121"/>
      <x:c r="L15" s="121"/>
      <x:c r="M15" s="123" t="str">
        <x:f>IF(A15="","",IF(H15="Order","Suunnittele",IF(H15="Planning","Valitse carrier",IF(H15="Execution","Seuraa ETA",IF(H15="Tracking","Tarkista poikkeamat","Valmis")))))</x:f>
      </x:c>
    </x:row>
    <x:row r="16">
      <x:c r="A16" s="121"/>
      <x:c r="B16" s="125"/>
      <x:c r="C16" s="121"/>
      <x:c r="D16" s="121"/>
      <x:c r="E16" s="121"/>
      <x:c r="F16" s="121"/>
      <x:c r="G16" s="121"/>
      <x:c r="H16" s="121"/>
      <x:c r="I16" s="121"/>
      <x:c r="J16" s="121"/>
      <x:c r="K16" s="121"/>
      <x:c r="L16" s="121"/>
      <x:c r="M16" s="123" t="str">
        <x:f>IF(A16="","",IF(H16="Order","Suunnittele",IF(H16="Planning","Valitse carrier",IF(H16="Execution","Seuraa ETA",IF(H16="Tracking","Tarkista poikkeamat","Valmis")))))</x:f>
      </x:c>
    </x:row>
    <x:row r="17">
      <x:c r="A17" s="121"/>
      <x:c r="B17" s="125"/>
      <x:c r="C17" s="121"/>
      <x:c r="D17" s="121"/>
      <x:c r="E17" s="121"/>
      <x:c r="F17" s="121"/>
      <x:c r="G17" s="121"/>
      <x:c r="H17" s="121"/>
      <x:c r="I17" s="121"/>
      <x:c r="J17" s="121"/>
      <x:c r="K17" s="121"/>
      <x:c r="L17" s="121"/>
      <x:c r="M17" s="123" t="str">
        <x:f>IF(A17="","",IF(H17="Order","Suunnittele",IF(H17="Planning","Valitse carrier",IF(H17="Execution","Seuraa ETA",IF(H17="Tracking","Tarkista poikkeamat","Valmis")))))</x:f>
      </x:c>
    </x:row>
    <x:row r="18">
      <x:c r="A18" s="121"/>
      <x:c r="B18" s="125"/>
      <x:c r="C18" s="121"/>
      <x:c r="D18" s="121"/>
      <x:c r="E18" s="121"/>
      <x:c r="F18" s="121"/>
      <x:c r="G18" s="121"/>
      <x:c r="H18" s="121"/>
      <x:c r="I18" s="121"/>
      <x:c r="J18" s="121"/>
      <x:c r="K18" s="121"/>
      <x:c r="L18" s="121"/>
      <x:c r="M18" s="123" t="str">
        <x:f>IF(A18="","",IF(H18="Order","Suunnittele",IF(H18="Planning","Valitse carrier",IF(H18="Execution","Seuraa ETA",IF(H18="Tracking","Tarkista poikkeamat","Valmis")))))</x:f>
      </x:c>
    </x:row>
    <x:row r="19">
      <x:c r="A19" s="121"/>
      <x:c r="B19" s="125"/>
      <x:c r="C19" s="121"/>
      <x:c r="D19" s="121"/>
      <x:c r="E19" s="121"/>
      <x:c r="F19" s="121"/>
      <x:c r="G19" s="121"/>
      <x:c r="H19" s="121"/>
      <x:c r="I19" s="121"/>
      <x:c r="J19" s="121"/>
      <x:c r="K19" s="121"/>
      <x:c r="L19" s="121"/>
      <x:c r="M19" s="123" t="str">
        <x:f>IF(A19="","",IF(H19="Order","Suunnittele",IF(H19="Planning","Valitse carrier",IF(H19="Execution","Seuraa ETA",IF(H19="Tracking","Tarkista poikkeamat","Valmis")))))</x:f>
      </x:c>
    </x:row>
    <x:row r="20">
      <x:c r="A20" s="121"/>
      <x:c r="B20" s="125"/>
      <x:c r="C20" s="121"/>
      <x:c r="D20" s="121"/>
      <x:c r="E20" s="121"/>
      <x:c r="F20" s="121"/>
      <x:c r="G20" s="121"/>
      <x:c r="H20" s="121"/>
      <x:c r="I20" s="121"/>
      <x:c r="J20" s="121"/>
      <x:c r="K20" s="121"/>
      <x:c r="L20" s="121"/>
      <x:c r="M20" s="123" t="str">
        <x:f>IF(A20="","",IF(H20="Order","Suunnittele",IF(H20="Planning","Valitse carrier",IF(H20="Execution","Seuraa ETA",IF(H20="Tracking","Tarkista poikkeamat","Valmis")))))</x:f>
      </x:c>
    </x:row>
    <x:row r="21">
      <x:c r="A21" s="121"/>
      <x:c r="B21" s="125"/>
      <x:c r="C21" s="121"/>
      <x:c r="D21" s="121"/>
      <x:c r="E21" s="121"/>
      <x:c r="F21" s="121"/>
      <x:c r="G21" s="121"/>
      <x:c r="H21" s="121"/>
      <x:c r="I21" s="121"/>
      <x:c r="J21" s="121"/>
      <x:c r="K21" s="121"/>
      <x:c r="L21" s="121"/>
      <x:c r="M21" s="123" t="str">
        <x:f>IF(A21="","",IF(H21="Order","Suunnittele",IF(H21="Planning","Valitse carrier",IF(H21="Execution","Seuraa ETA",IF(H21="Tracking","Tarkista poikkeamat","Valmis")))))</x:f>
      </x:c>
    </x:row>
    <x:row r="22">
      <x:c r="A22" s="121"/>
      <x:c r="B22" s="125"/>
      <x:c r="C22" s="121"/>
      <x:c r="D22" s="121"/>
      <x:c r="E22" s="121"/>
      <x:c r="F22" s="121"/>
      <x:c r="G22" s="121"/>
      <x:c r="H22" s="121"/>
      <x:c r="I22" s="121"/>
      <x:c r="J22" s="121"/>
      <x:c r="K22" s="121"/>
      <x:c r="L22" s="121"/>
      <x:c r="M22" s="123" t="str">
        <x:f>IF(A22="","",IF(H22="Order","Suunnittele",IF(H22="Planning","Valitse carrier",IF(H22="Execution","Seuraa ETA",IF(H22="Tracking","Tarkista poikkeamat","Valmis")))))</x:f>
      </x:c>
    </x:row>
    <x:row r="23">
      <x:c r="A23" s="121"/>
      <x:c r="B23" s="125"/>
      <x:c r="C23" s="121"/>
      <x:c r="D23" s="121"/>
      <x:c r="E23" s="121"/>
      <x:c r="F23" s="121"/>
      <x:c r="G23" s="121"/>
      <x:c r="H23" s="121"/>
      <x:c r="I23" s="121"/>
      <x:c r="J23" s="121"/>
      <x:c r="K23" s="121"/>
      <x:c r="L23" s="121"/>
      <x:c r="M23" s="123" t="str">
        <x:f>IF(A23="","",IF(H23="Order","Suunnittele",IF(H23="Planning","Valitse carrier",IF(H23="Execution","Seuraa ETA",IF(H23="Tracking","Tarkista poikkeamat","Valmis")))))</x:f>
      </x:c>
    </x:row>
    <x:row r="24">
      <x:c r="A24" s="121"/>
      <x:c r="B24" s="125"/>
      <x:c r="C24" s="121"/>
      <x:c r="D24" s="121"/>
      <x:c r="E24" s="121"/>
      <x:c r="F24" s="121"/>
      <x:c r="G24" s="121"/>
      <x:c r="H24" s="121"/>
      <x:c r="I24" s="121"/>
      <x:c r="J24" s="121"/>
      <x:c r="K24" s="121"/>
      <x:c r="L24" s="121"/>
      <x:c r="M24" s="123" t="str">
        <x:f>IF(A24="","",IF(H24="Order","Suunnittele",IF(H24="Planning","Valitse carrier",IF(H24="Execution","Seuraa ETA",IF(H24="Tracking","Tarkista poikkeamat","Valmis")))))</x:f>
      </x:c>
    </x:row>
    <x:row r="25">
      <x:c r="A25" s="121"/>
      <x:c r="B25" s="125"/>
      <x:c r="C25" s="121"/>
      <x:c r="D25" s="121"/>
      <x:c r="E25" s="121"/>
      <x:c r="F25" s="121"/>
      <x:c r="G25" s="121"/>
      <x:c r="H25" s="121"/>
      <x:c r="I25" s="121"/>
      <x:c r="J25" s="121"/>
      <x:c r="K25" s="121"/>
      <x:c r="L25" s="121"/>
      <x:c r="M25" s="123" t="str">
        <x:f>IF(A25="","",IF(H25="Order","Suunnittele",IF(H25="Planning","Valitse carrier",IF(H25="Execution","Seuraa ETA",IF(H25="Tracking","Tarkista poikkeamat","Valmis")))))</x:f>
      </x:c>
    </x:row>
    <x:row r="26">
      <x:c r="A26" s="121"/>
      <x:c r="B26" s="125"/>
      <x:c r="C26" s="121"/>
      <x:c r="D26" s="121"/>
      <x:c r="E26" s="121"/>
      <x:c r="F26" s="121"/>
      <x:c r="G26" s="121"/>
      <x:c r="H26" s="121"/>
      <x:c r="I26" s="121"/>
      <x:c r="J26" s="121"/>
      <x:c r="K26" s="121"/>
      <x:c r="L26" s="121"/>
      <x:c r="M26" s="123" t="str">
        <x:f>IF(A26="","",IF(H26="Order","Suunnittele",IF(H26="Planning","Valitse carrier",IF(H26="Execution","Seuraa ETA",IF(H26="Tracking","Tarkista poikkeamat","Valmis")))))</x:f>
      </x:c>
    </x:row>
    <x:row r="27">
      <x:c r="A27" s="121"/>
      <x:c r="B27" s="125"/>
      <x:c r="C27" s="121"/>
      <x:c r="D27" s="121"/>
      <x:c r="E27" s="121"/>
      <x:c r="F27" s="121"/>
      <x:c r="G27" s="121"/>
      <x:c r="H27" s="121"/>
      <x:c r="I27" s="121"/>
      <x:c r="J27" s="121"/>
      <x:c r="K27" s="121"/>
      <x:c r="L27" s="121"/>
      <x:c r="M27" s="123" t="str">
        <x:f>IF(A27="","",IF(H27="Order","Suunnittele",IF(H27="Planning","Valitse carrier",IF(H27="Execution","Seuraa ETA",IF(H27="Tracking","Tarkista poikkeamat","Valmis")))))</x:f>
      </x:c>
    </x:row>
    <x:row r="28">
      <x:c r="A28" s="121"/>
      <x:c r="B28" s="125"/>
      <x:c r="C28" s="121"/>
      <x:c r="D28" s="121"/>
      <x:c r="E28" s="121"/>
      <x:c r="F28" s="121"/>
      <x:c r="G28" s="121"/>
      <x:c r="H28" s="121"/>
      <x:c r="I28" s="121"/>
      <x:c r="J28" s="121"/>
      <x:c r="K28" s="121"/>
      <x:c r="L28" s="121"/>
      <x:c r="M28" s="123" t="str">
        <x:f>IF(A28="","",IF(H28="Order","Suunnittele",IF(H28="Planning","Valitse carrier",IF(H28="Execution","Seuraa ETA",IF(H28="Tracking","Tarkista poikkeamat","Valmis")))))</x:f>
      </x:c>
    </x:row>
    <x:row r="29">
      <x:c r="A29" s="121"/>
      <x:c r="B29" s="125"/>
      <x:c r="C29" s="121"/>
      <x:c r="D29" s="121"/>
      <x:c r="E29" s="121"/>
      <x:c r="F29" s="121"/>
      <x:c r="G29" s="121"/>
      <x:c r="H29" s="121"/>
      <x:c r="I29" s="121"/>
      <x:c r="J29" s="121"/>
      <x:c r="K29" s="121"/>
      <x:c r="L29" s="121"/>
      <x:c r="M29" s="123" t="str">
        <x:f>IF(A29="","",IF(H29="Order","Suunnittele",IF(H29="Planning","Valitse carrier",IF(H29="Execution","Seuraa ETA",IF(H29="Tracking","Tarkista poikkeamat","Valmis")))))</x:f>
      </x:c>
    </x:row>
    <x:row r="30">
      <x:c r="A30" s="121"/>
      <x:c r="B30" s="125"/>
      <x:c r="C30" s="121"/>
      <x:c r="D30" s="121"/>
      <x:c r="E30" s="121"/>
      <x:c r="F30" s="121"/>
      <x:c r="G30" s="121"/>
      <x:c r="H30" s="121"/>
      <x:c r="I30" s="121"/>
      <x:c r="J30" s="121"/>
      <x:c r="K30" s="121"/>
      <x:c r="L30" s="121"/>
      <x:c r="M30" s="123" t="str">
        <x:f>IF(A30="","",IF(H30="Order","Suunnittele",IF(H30="Planning","Valitse carrier",IF(H30="Execution","Seuraa ETA",IF(H30="Tracking","Tarkista poikkeamat","Valmis")))))</x:f>
      </x:c>
    </x:row>
    <x:row r="31">
      <x:c r="A31" s="121"/>
      <x:c r="B31" s="125"/>
      <x:c r="C31" s="121"/>
      <x:c r="D31" s="121"/>
      <x:c r="E31" s="121"/>
      <x:c r="F31" s="121"/>
      <x:c r="G31" s="121"/>
      <x:c r="H31" s="121"/>
      <x:c r="I31" s="121"/>
      <x:c r="J31" s="121"/>
      <x:c r="K31" s="121"/>
      <x:c r="L31" s="121"/>
      <x:c r="M31" s="123" t="str">
        <x:f>IF(A31="","",IF(H31="Order","Suunnittele",IF(H31="Planning","Valitse carrier",IF(H31="Execution","Seuraa ETA",IF(H31="Tracking","Tarkista poikkeamat","Valmis")))))</x:f>
      </x:c>
    </x:row>
    <x:row r="32">
      <x:c r="A32" s="121"/>
      <x:c r="B32" s="125"/>
      <x:c r="C32" s="121"/>
      <x:c r="D32" s="121"/>
      <x:c r="E32" s="121"/>
      <x:c r="F32" s="121"/>
      <x:c r="G32" s="121"/>
      <x:c r="H32" s="121"/>
      <x:c r="I32" s="121"/>
      <x:c r="J32" s="121"/>
      <x:c r="K32" s="121"/>
      <x:c r="L32" s="121"/>
      <x:c r="M32" s="123" t="str">
        <x:f>IF(A32="","",IF(H32="Order","Suunnittele",IF(H32="Planning","Valitse carrier",IF(H32="Execution","Seuraa ETA",IF(H32="Tracking","Tarkista poikkeamat","Valmis")))))</x:f>
      </x:c>
    </x:row>
    <x:row r="33">
      <x:c r="A33" s="121"/>
      <x:c r="B33" s="125"/>
      <x:c r="C33" s="121"/>
      <x:c r="D33" s="121"/>
      <x:c r="E33" s="121"/>
      <x:c r="F33" s="121"/>
      <x:c r="G33" s="121"/>
      <x:c r="H33" s="121"/>
      <x:c r="I33" s="121"/>
      <x:c r="J33" s="121"/>
      <x:c r="K33" s="121"/>
      <x:c r="L33" s="121"/>
      <x:c r="M33" s="123" t="str">
        <x:f>IF(A33="","",IF(H33="Order","Suunnittele",IF(H33="Planning","Valitse carrier",IF(H33="Execution","Seuraa ETA",IF(H33="Tracking","Tarkista poikkeamat","Valmis")))))</x:f>
      </x:c>
    </x:row>
    <x:row r="34">
      <x:c r="A34" s="121"/>
      <x:c r="B34" s="125"/>
      <x:c r="C34" s="121"/>
      <x:c r="D34" s="121"/>
      <x:c r="E34" s="121"/>
      <x:c r="F34" s="121"/>
      <x:c r="G34" s="121"/>
      <x:c r="H34" s="121"/>
      <x:c r="I34" s="121"/>
      <x:c r="J34" s="121"/>
      <x:c r="K34" s="121"/>
      <x:c r="L34" s="121"/>
      <x:c r="M34" s="123" t="str">
        <x:f>IF(A34="","",IF(H34="Order","Suunnittele",IF(H34="Planning","Valitse carrier",IF(H34="Execution","Seuraa ETA",IF(H34="Tracking","Tarkista poikkeamat","Valmis")))))</x:f>
      </x:c>
    </x:row>
    <x:row r="35">
      <x:c r="A35" s="121"/>
      <x:c r="B35" s="125"/>
      <x:c r="C35" s="121"/>
      <x:c r="D35" s="121"/>
      <x:c r="E35" s="121"/>
      <x:c r="F35" s="121"/>
      <x:c r="G35" s="121"/>
      <x:c r="H35" s="121"/>
      <x:c r="I35" s="121"/>
      <x:c r="J35" s="121"/>
      <x:c r="K35" s="121"/>
      <x:c r="L35" s="121"/>
      <x:c r="M35" s="123" t="str">
        <x:f>IF(A35="","",IF(H35="Order","Suunnittele",IF(H35="Planning","Valitse carrier",IF(H35="Execution","Seuraa ETA",IF(H35="Tracking","Tarkista poikkeamat","Valmis")))))</x:f>
      </x:c>
    </x:row>
    <x:row r="36">
      <x:c r="A36" s="121"/>
      <x:c r="B36" s="125"/>
      <x:c r="C36" s="121"/>
      <x:c r="D36" s="121"/>
      <x:c r="E36" s="121"/>
      <x:c r="F36" s="121"/>
      <x:c r="G36" s="121"/>
      <x:c r="H36" s="121"/>
      <x:c r="I36" s="121"/>
      <x:c r="J36" s="121"/>
      <x:c r="K36" s="121"/>
      <x:c r="L36" s="121"/>
      <x:c r="M36" s="123" t="str">
        <x:f>IF(A36="","",IF(H36="Order","Suunnittele",IF(H36="Planning","Valitse carrier",IF(H36="Execution","Seuraa ETA",IF(H36="Tracking","Tarkista poikkeamat","Valmis")))))</x:f>
      </x:c>
    </x:row>
    <x:row r="37">
      <x:c r="A37" s="121"/>
      <x:c r="B37" s="125"/>
      <x:c r="C37" s="121"/>
      <x:c r="D37" s="121"/>
      <x:c r="E37" s="121"/>
      <x:c r="F37" s="121"/>
      <x:c r="G37" s="121"/>
      <x:c r="H37" s="121"/>
      <x:c r="I37" s="121"/>
      <x:c r="J37" s="121"/>
      <x:c r="K37" s="121"/>
      <x:c r="L37" s="121"/>
      <x:c r="M37" s="123" t="str">
        <x:f>IF(A37="","",IF(H37="Order","Suunnittele",IF(H37="Planning","Valitse carrier",IF(H37="Execution","Seuraa ETA",IF(H37="Tracking","Tarkista poikkeamat","Valmis")))))</x:f>
      </x:c>
    </x:row>
    <x:row r="38">
      <x:c r="A38" s="121"/>
      <x:c r="B38" s="125"/>
      <x:c r="C38" s="121"/>
      <x:c r="D38" s="121"/>
      <x:c r="E38" s="121"/>
      <x:c r="F38" s="121"/>
      <x:c r="G38" s="121"/>
      <x:c r="H38" s="121"/>
      <x:c r="I38" s="121"/>
      <x:c r="J38" s="121"/>
      <x:c r="K38" s="121"/>
      <x:c r="L38" s="121"/>
      <x:c r="M38" s="123" t="str">
        <x:f>IF(A38="","",IF(H38="Order","Suunnittele",IF(H38="Planning","Valitse carrier",IF(H38="Execution","Seuraa ETA",IF(H38="Tracking","Tarkista poikkeamat","Valmis")))))</x:f>
      </x:c>
    </x:row>
    <x:row r="39">
      <x:c r="A39" s="121"/>
      <x:c r="B39" s="125"/>
      <x:c r="C39" s="121"/>
      <x:c r="D39" s="121"/>
      <x:c r="E39" s="121"/>
      <x:c r="F39" s="121"/>
      <x:c r="G39" s="121"/>
      <x:c r="H39" s="121"/>
      <x:c r="I39" s="121"/>
      <x:c r="J39" s="121"/>
      <x:c r="K39" s="121"/>
      <x:c r="L39" s="121"/>
      <x:c r="M39" s="123" t="str">
        <x:f>IF(A39="","",IF(H39="Order","Suunnittele",IF(H39="Planning","Valitse carrier",IF(H39="Execution","Seuraa ETA",IF(H39="Tracking","Tarkista poikkeamat","Valmis")))))</x:f>
      </x:c>
    </x:row>
    <x:row r="40">
      <x:c r="A40" s="121"/>
      <x:c r="B40" s="125"/>
      <x:c r="C40" s="121"/>
      <x:c r="D40" s="121"/>
      <x:c r="E40" s="121"/>
      <x:c r="F40" s="121"/>
      <x:c r="G40" s="121"/>
      <x:c r="H40" s="121"/>
      <x:c r="I40" s="121"/>
      <x:c r="J40" s="121"/>
      <x:c r="K40" s="121"/>
      <x:c r="L40" s="121"/>
      <x:c r="M40" s="123" t="str">
        <x:f>IF(A40="","",IF(H40="Order","Suunnittele",IF(H40="Planning","Valitse carrier",IF(H40="Execution","Seuraa ETA",IF(H40="Tracking","Tarkista poikkeamat","Valmis")))))</x:f>
      </x:c>
    </x:row>
  </x:sheetData>
  <x:mergeCells>
    <x:mergeCell ref="A1:N1"/>
    <x:mergeCell ref="A2:N2"/>
  </x:mergeCells>
  <x:dataValidations count="1">
    <x:dataValidation type="list" sqref="H5:H40">
      <x:formula1>"Order,Planning,Execution,Tracking,Delivered"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d6f210811e465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18" hidden="0" customWidth="1"/>
    <x:col min="13" max="13" width="18" hidden="0" customWidth="1"/>
    <x:col min="14" max="14" width="26" hidden="0" customWidth="1"/>
  </x:cols>
  <x:sheetData>
    <x:row r="1">
      <x:c r="A1" s="108" t="str">
        <x:v>2. Consolidation – kuormien yhdistäminen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Arvioi, mitkä tilaukset kannattaa yhdistää samaan kuljetukseen.</x:v>
      </x:c>
    </x:row>
    <x:row r="4">
      <x:c r="A4" s="118" t="str">
        <x:v>Plan ID</x:v>
      </x:c>
      <x:c r="B4" s="118" t="str">
        <x:v>Orderit</x:v>
      </x:c>
      <x:c r="C4" s="118" t="str">
        <x:v>Lähtö</x:v>
      </x:c>
      <x:c r="D4" s="118" t="str">
        <x:v>Pääte</x:v>
      </x:c>
      <x:c r="E4" s="118" t="str">
        <x:v>Välipisteet</x:v>
      </x:c>
      <x:c r="F4" s="118" t="str">
        <x:v>Lavapaikat</x:v>
      </x:c>
      <x:c r="G4" s="118" t="str">
        <x:v>Max lavat</x:v>
      </x:c>
      <x:c r="H4" s="118" t="str">
        <x:v>Täyttö %</x:v>
      </x:c>
      <x:c r="I4" s="118" t="str">
        <x:v>Km yhteensä</x:v>
      </x:c>
      <x:c r="J4" s="118" t="str">
        <x:v>Km säästö</x:v>
      </x:c>
      <x:c r="K4" s="118" t="str">
        <x:v>Aikasäästö h</x:v>
      </x:c>
      <x:c r="L4" s="118" t="str">
        <x:v>Consolidation score</x:v>
      </x:c>
      <x:c r="M4" s="118" t="str">
        <x:v>Päätös</x:v>
      </x:c>
      <x:c r="N4" s="118" t="str">
        <x:v>Huomio</x:v>
      </x:c>
    </x:row>
    <x:row r="5">
      <x:c r="A5" s="121" t="str">
        <x:v>C1</x:v>
      </x:c>
      <x:c r="B5" s="121" t="str">
        <x:v>O-1001,O-1002</x:v>
      </x:c>
      <x:c r="C5" s="121" t="str">
        <x:v>Vantaa</x:v>
      </x:c>
      <x:c r="D5" s="121" t="str">
        <x:v>Pori</x:v>
      </x:c>
      <x:c r="E5" s="121" t="str">
        <x:v>Tampere</x:v>
      </x:c>
      <x:c r="F5" s="121" t="n">
        <x:v>18</x:v>
      </x:c>
      <x:c r="G5" s="121" t="n">
        <x:v>33</x:v>
      </x:c>
      <x:c r="H5" s="124" t="n">
        <x:f>IF(A5="","",IF(G5=0,"",F5/G5))</x:f>
        <x:v>0.5454545454545454</x:v>
      </x:c>
      <x:c r="I5" s="121" t="n">
        <x:v>290</x:v>
      </x:c>
      <x:c r="J5" s="121" t="n">
        <x:v>40</x:v>
      </x:c>
      <x:c r="K5" s="121" t="n">
        <x:v>0.5</x:v>
      </x:c>
      <x:c r="L5" s="123" t="n">
        <x:f>IF(A5="","",H5*50+J5/100*30+K5*20)</x:f>
        <x:v>49.272727272727266</x:v>
      </x:c>
      <x:c r="M5" s="123" t="str">
        <x:f>IF(A5="","",IF(L5&gt;=60,"Yhdistä","Tarkista"))</x:f>
        <x:v>Tarkista</x:v>
      </x:c>
      <x:c r="N5" s="121" t="str"/>
    </x:row>
    <x:row r="6">
      <x:c r="A6" s="121" t="str">
        <x:v>C2</x:v>
      </x:c>
      <x:c r="B6" s="121" t="str">
        <x:v>O-1001,O-1002,O-1003</x:v>
      </x:c>
      <x:c r="C6" s="121" t="str">
        <x:v>Vantaa</x:v>
      </x:c>
      <x:c r="D6" s="121" t="str">
        <x:v>Oulu</x:v>
      </x:c>
      <x:c r="E6" s="121" t="str">
        <x:v>Tampere,Pori</x:v>
      </x:c>
      <x:c r="F6" s="121" t="n">
        <x:v>30</x:v>
      </x:c>
      <x:c r="G6" s="121" t="n">
        <x:v>33</x:v>
      </x:c>
      <x:c r="H6" s="124" t="n">
        <x:f>IF(A6="","",IF(G6=0,"",F6/G6))</x:f>
        <x:v>0.9090909090909091</x:v>
      </x:c>
      <x:c r="I6" s="121" t="n">
        <x:v>610</x:v>
      </x:c>
      <x:c r="J6" s="121" t="n">
        <x:v>80</x:v>
      </x:c>
      <x:c r="K6" s="121" t="n">
        <x:v>1</x:v>
      </x:c>
      <x:c r="L6" s="123" t="n">
        <x:f>IF(A6="","",H6*50+J6/100*30+K6*20)</x:f>
        <x:v>89.45454545454545</x:v>
      </x:c>
      <x:c r="M6" s="123" t="str">
        <x:f>IF(A6="","",IF(L6&gt;=60,"Yhdistä","Tarkista"))</x:f>
        <x:v>Yhdistä</x:v>
      </x:c>
      <x:c r="N6" s="121" t="str"/>
    </x:row>
    <x:row r="7">
      <x:c r="A7" s="121" t="str">
        <x:v>C3</x:v>
      </x:c>
      <x:c r="B7" s="121" t="str">
        <x:v>O-1001 erikseen + O-1002 erikseen</x:v>
      </x:c>
      <x:c r="C7" s="121" t="str">
        <x:v>Vantaa</x:v>
      </x:c>
      <x:c r="D7" s="121" t="str">
        <x:v>Tampere/Pori</x:v>
      </x:c>
      <x:c r="E7" s="121" t="str"/>
      <x:c r="F7" s="121" t="n">
        <x:v>18</x:v>
      </x:c>
      <x:c r="G7" s="121" t="n">
        <x:v>66</x:v>
      </x:c>
      <x:c r="H7" s="124" t="n">
        <x:f>IF(A7="","",IF(G7=0,"",F7/G7))</x:f>
        <x:v>0.2727272727272727</x:v>
      </x:c>
      <x:c r="I7" s="121" t="n">
        <x:v>410</x:v>
      </x:c>
      <x:c r="J7" s="121" t="n">
        <x:v>0</x:v>
      </x:c>
      <x:c r="K7" s="121" t="n">
        <x:v>0</x:v>
      </x:c>
      <x:c r="L7" s="123" t="n">
        <x:f>IF(A7="","",H7*50+J7/100*30+K7*20)</x:f>
        <x:v>13.636363636363635</x:v>
      </x:c>
      <x:c r="M7" s="123" t="str">
        <x:f>IF(A7="","",IF(L7&gt;=60,"Yhdistä","Tarkista"))</x:f>
        <x:v>Tarkista</x:v>
      </x:c>
      <x:c r="N7" s="121" t="str"/>
    </x:row>
    <x:row r="8">
      <x:c r="A8" s="121"/>
      <x:c r="B8" s="121"/>
      <x:c r="C8" s="121"/>
      <x:c r="D8" s="121"/>
      <x:c r="E8" s="121"/>
      <x:c r="F8" s="121"/>
      <x:c r="G8" s="121"/>
      <x:c r="H8" s="124" t="str">
        <x:f>IF(A8="","",IF(G8=0,"",F8/G8))</x:f>
      </x:c>
      <x:c r="I8" s="121">
        <x:f>I8</x:f>
      </x:c>
      <x:c r="J8" s="121">
        <x:f>J8</x:f>
      </x:c>
      <x:c r="K8" s="121">
        <x:f>K8</x:f>
      </x:c>
      <x:c r="L8" s="123" t="str">
        <x:f>IF(A8="","",H8*50+J8/100*30+K8*20)</x:f>
      </x:c>
      <x:c r="M8" s="123" t="str">
        <x:f>IF(A8="","",IF(L8&gt;=60,"Yhdistä","Tarkista"))</x:f>
      </x:c>
      <x:c r="N8" s="121"/>
    </x:row>
    <x:row r="9">
      <x:c r="A9" s="121"/>
      <x:c r="B9" s="121"/>
      <x:c r="C9" s="121"/>
      <x:c r="D9" s="121"/>
      <x:c r="E9" s="121"/>
      <x:c r="F9" s="121"/>
      <x:c r="G9" s="121"/>
      <x:c r="H9" s="124" t="str">
        <x:f>IF(A9="","",IF(G9=0,"",F9/G9))</x:f>
      </x:c>
      <x:c r="I9" s="121">
        <x:f>I9</x:f>
      </x:c>
      <x:c r="J9" s="121">
        <x:f>J9</x:f>
      </x:c>
      <x:c r="K9" s="121">
        <x:f>K9</x:f>
      </x:c>
      <x:c r="L9" s="123" t="str">
        <x:f>IF(A9="","",H9*50+J9/100*30+K9*20)</x:f>
      </x:c>
      <x:c r="M9" s="123" t="str">
        <x:f>IF(A9="","",IF(L9&gt;=60,"Yhdistä","Tarkista"))</x:f>
      </x:c>
      <x:c r="N9" s="121"/>
    </x:row>
    <x:row r="10">
      <x:c r="A10" s="121"/>
      <x:c r="B10" s="121"/>
      <x:c r="C10" s="121"/>
      <x:c r="D10" s="121"/>
      <x:c r="E10" s="121"/>
      <x:c r="F10" s="121"/>
      <x:c r="G10" s="121"/>
      <x:c r="H10" s="124" t="str">
        <x:f>IF(A10="","",IF(G10=0,"",F10/G10))</x:f>
      </x:c>
      <x:c r="I10" s="121">
        <x:f>I10</x:f>
      </x:c>
      <x:c r="J10" s="121">
        <x:f>J10</x:f>
      </x:c>
      <x:c r="K10" s="121">
        <x:f>K10</x:f>
      </x:c>
      <x:c r="L10" s="123" t="str">
        <x:f>IF(A10="","",H10*50+J10/100*30+K10*20)</x:f>
      </x:c>
      <x:c r="M10" s="123" t="str">
        <x:f>IF(A10="","",IF(L10&gt;=60,"Yhdistä","Tarkista"))</x:f>
      </x:c>
      <x:c r="N10" s="121"/>
    </x:row>
    <x:row r="11">
      <x:c r="A11" s="121"/>
      <x:c r="B11" s="121"/>
      <x:c r="C11" s="121"/>
      <x:c r="D11" s="121"/>
      <x:c r="E11" s="121"/>
      <x:c r="F11" s="121"/>
      <x:c r="G11" s="121"/>
      <x:c r="H11" s="124" t="str">
        <x:f>IF(A11="","",IF(G11=0,"",F11/G11))</x:f>
      </x:c>
      <x:c r="I11" s="121">
        <x:f>I11</x:f>
      </x:c>
      <x:c r="J11" s="121">
        <x:f>J11</x:f>
      </x:c>
      <x:c r="K11" s="121">
        <x:f>K11</x:f>
      </x:c>
      <x:c r="L11" s="123" t="str">
        <x:f>IF(A11="","",H11*50+J11/100*30+K11*20)</x:f>
      </x:c>
      <x:c r="M11" s="123" t="str">
        <x:f>IF(A11="","",IF(L11&gt;=60,"Yhdistä","Tarkista"))</x:f>
      </x:c>
      <x:c r="N11" s="121"/>
    </x:row>
    <x:row r="12">
      <x:c r="A12" s="121"/>
      <x:c r="B12" s="121"/>
      <x:c r="C12" s="121"/>
      <x:c r="D12" s="121"/>
      <x:c r="E12" s="121"/>
      <x:c r="F12" s="121"/>
      <x:c r="G12" s="121"/>
      <x:c r="H12" s="124" t="str">
        <x:f>IF(A12="","",IF(G12=0,"",F12/G12))</x:f>
      </x:c>
      <x:c r="I12" s="121">
        <x:f>I12</x:f>
      </x:c>
      <x:c r="J12" s="121">
        <x:f>J12</x:f>
      </x:c>
      <x:c r="K12" s="121">
        <x:f>K12</x:f>
      </x:c>
      <x:c r="L12" s="123" t="str">
        <x:f>IF(A12="","",H12*50+J12/100*30+K12*20)</x:f>
      </x:c>
      <x:c r="M12" s="123" t="str">
        <x:f>IF(A12="","",IF(L12&gt;=60,"Yhdistä","Tarkista"))</x:f>
      </x:c>
      <x:c r="N12" s="121"/>
    </x:row>
    <x:row r="13">
      <x:c r="A13" s="121"/>
      <x:c r="B13" s="121"/>
      <x:c r="C13" s="121"/>
      <x:c r="D13" s="121"/>
      <x:c r="E13" s="121"/>
      <x:c r="F13" s="121"/>
      <x:c r="G13" s="121"/>
      <x:c r="H13" s="124" t="str">
        <x:f>IF(A13="","",IF(G13=0,"",F13/G13))</x:f>
      </x:c>
      <x:c r="I13" s="121">
        <x:f>I13</x:f>
      </x:c>
      <x:c r="J13" s="121">
        <x:f>J13</x:f>
      </x:c>
      <x:c r="K13" s="121">
        <x:f>K13</x:f>
      </x:c>
      <x:c r="L13" s="123" t="str">
        <x:f>IF(A13="","",H13*50+J13/100*30+K13*20)</x:f>
      </x:c>
      <x:c r="M13" s="123" t="str">
        <x:f>IF(A13="","",IF(L13&gt;=60,"Yhdistä","Tarkista"))</x:f>
      </x:c>
      <x:c r="N13" s="121"/>
    </x:row>
    <x:row r="14">
      <x:c r="A14" s="121"/>
      <x:c r="B14" s="121"/>
      <x:c r="C14" s="121"/>
      <x:c r="D14" s="121"/>
      <x:c r="E14" s="121"/>
      <x:c r="F14" s="121"/>
      <x:c r="G14" s="121"/>
      <x:c r="H14" s="124" t="str">
        <x:f>IF(A14="","",IF(G14=0,"",F14/G14))</x:f>
      </x:c>
      <x:c r="I14" s="121">
        <x:f>I14</x:f>
      </x:c>
      <x:c r="J14" s="121">
        <x:f>J14</x:f>
      </x:c>
      <x:c r="K14" s="121">
        <x:f>K14</x:f>
      </x:c>
      <x:c r="L14" s="123" t="str">
        <x:f>IF(A14="","",H14*50+J14/100*30+K14*20)</x:f>
      </x:c>
      <x:c r="M14" s="123" t="str">
        <x:f>IF(A14="","",IF(L14&gt;=60,"Yhdistä","Tarkista"))</x:f>
      </x:c>
      <x:c r="N14" s="121"/>
    </x:row>
    <x:row r="15">
      <x:c r="A15" s="121"/>
      <x:c r="B15" s="121"/>
      <x:c r="C15" s="121"/>
      <x:c r="D15" s="121"/>
      <x:c r="E15" s="121"/>
      <x:c r="F15" s="121"/>
      <x:c r="G15" s="121"/>
      <x:c r="H15" s="124" t="str">
        <x:f>IF(A15="","",IF(G15=0,"",F15/G15))</x:f>
      </x:c>
      <x:c r="I15" s="121">
        <x:f>I15</x:f>
      </x:c>
      <x:c r="J15" s="121">
        <x:f>J15</x:f>
      </x:c>
      <x:c r="K15" s="121">
        <x:f>K15</x:f>
      </x:c>
      <x:c r="L15" s="123" t="str">
        <x:f>IF(A15="","",H15*50+J15/100*30+K15*20)</x:f>
      </x:c>
      <x:c r="M15" s="123" t="str">
        <x:f>IF(A15="","",IF(L15&gt;=60,"Yhdistä","Tarkista"))</x:f>
      </x:c>
      <x:c r="N15" s="121"/>
    </x:row>
    <x:row r="16">
      <x:c r="A16" s="121"/>
      <x:c r="B16" s="121"/>
      <x:c r="C16" s="121"/>
      <x:c r="D16" s="121"/>
      <x:c r="E16" s="121"/>
      <x:c r="F16" s="121"/>
      <x:c r="G16" s="121"/>
      <x:c r="H16" s="124" t="str">
        <x:f>IF(A16="","",IF(G16=0,"",F16/G16))</x:f>
      </x:c>
      <x:c r="I16" s="121">
        <x:f>I16</x:f>
      </x:c>
      <x:c r="J16" s="121">
        <x:f>J16</x:f>
      </x:c>
      <x:c r="K16" s="121">
        <x:f>K16</x:f>
      </x:c>
      <x:c r="L16" s="123" t="str">
        <x:f>IF(A16="","",H16*50+J16/100*30+K16*20)</x:f>
      </x:c>
      <x:c r="M16" s="123" t="str">
        <x:f>IF(A16="","",IF(L16&gt;=60,"Yhdistä","Tarkista"))</x:f>
      </x:c>
      <x:c r="N16" s="121"/>
    </x:row>
    <x:row r="17">
      <x:c r="A17" s="121"/>
      <x:c r="B17" s="121"/>
      <x:c r="C17" s="121"/>
      <x:c r="D17" s="121"/>
      <x:c r="E17" s="121"/>
      <x:c r="F17" s="121"/>
      <x:c r="G17" s="121"/>
      <x:c r="H17" s="124" t="str">
        <x:f>IF(A17="","",IF(G17=0,"",F17/G17))</x:f>
      </x:c>
      <x:c r="I17" s="121">
        <x:f>I17</x:f>
      </x:c>
      <x:c r="J17" s="121">
        <x:f>J17</x:f>
      </x:c>
      <x:c r="K17" s="121">
        <x:f>K17</x:f>
      </x:c>
      <x:c r="L17" s="123" t="str">
        <x:f>IF(A17="","",H17*50+J17/100*30+K17*20)</x:f>
      </x:c>
      <x:c r="M17" s="123" t="str">
        <x:f>IF(A17="","",IF(L17&gt;=60,"Yhdistä","Tarkista"))</x:f>
      </x:c>
      <x:c r="N17" s="121"/>
    </x:row>
    <x:row r="18">
      <x:c r="A18" s="121"/>
      <x:c r="B18" s="121"/>
      <x:c r="C18" s="121"/>
      <x:c r="D18" s="121"/>
      <x:c r="E18" s="121"/>
      <x:c r="F18" s="121"/>
      <x:c r="G18" s="121"/>
      <x:c r="H18" s="124" t="str">
        <x:f>IF(A18="","",IF(G18=0,"",F18/G18))</x:f>
      </x:c>
      <x:c r="I18" s="121">
        <x:f>I18</x:f>
      </x:c>
      <x:c r="J18" s="121">
        <x:f>J18</x:f>
      </x:c>
      <x:c r="K18" s="121">
        <x:f>K18</x:f>
      </x:c>
      <x:c r="L18" s="123" t="str">
        <x:f>IF(A18="","",H18*50+J18/100*30+K18*20)</x:f>
      </x:c>
      <x:c r="M18" s="123" t="str">
        <x:f>IF(A18="","",IF(L18&gt;=60,"Yhdistä","Tarkista"))</x:f>
      </x:c>
      <x:c r="N18" s="121"/>
    </x:row>
    <x:row r="19">
      <x:c r="A19" s="121"/>
      <x:c r="B19" s="121"/>
      <x:c r="C19" s="121"/>
      <x:c r="D19" s="121"/>
      <x:c r="E19" s="121"/>
      <x:c r="F19" s="121"/>
      <x:c r="G19" s="121"/>
      <x:c r="H19" s="124" t="str">
        <x:f>IF(A19="","",IF(G19=0,"",F19/G19))</x:f>
      </x:c>
      <x:c r="I19" s="121">
        <x:f>I19</x:f>
      </x:c>
      <x:c r="J19" s="121">
        <x:f>J19</x:f>
      </x:c>
      <x:c r="K19" s="121">
        <x:f>K19</x:f>
      </x:c>
      <x:c r="L19" s="123" t="str">
        <x:f>IF(A19="","",H19*50+J19/100*30+K19*20)</x:f>
      </x:c>
      <x:c r="M19" s="123" t="str">
        <x:f>IF(A19="","",IF(L19&gt;=60,"Yhdistä","Tarkista"))</x:f>
      </x:c>
      <x:c r="N19" s="121"/>
    </x:row>
    <x:row r="20">
      <x:c r="A20" s="121"/>
      <x:c r="B20" s="121"/>
      <x:c r="C20" s="121"/>
      <x:c r="D20" s="121"/>
      <x:c r="E20" s="121"/>
      <x:c r="F20" s="121"/>
      <x:c r="G20" s="121"/>
      <x:c r="H20" s="124" t="str">
        <x:f>IF(A20="","",IF(G20=0,"",F20/G20))</x:f>
      </x:c>
      <x:c r="I20" s="121">
        <x:f>I20</x:f>
      </x:c>
      <x:c r="J20" s="121">
        <x:f>J20</x:f>
      </x:c>
      <x:c r="K20" s="121">
        <x:f>K20</x:f>
      </x:c>
      <x:c r="L20" s="123" t="str">
        <x:f>IF(A20="","",H20*50+J20/100*30+K20*20)</x:f>
      </x:c>
      <x:c r="M20" s="123" t="str">
        <x:f>IF(A20="","",IF(L20&gt;=60,"Yhdistä","Tarkista"))</x:f>
      </x:c>
      <x:c r="N20" s="121"/>
    </x:row>
    <x:row r="21">
      <x:c r="A21" s="121"/>
      <x:c r="B21" s="121"/>
      <x:c r="C21" s="121"/>
      <x:c r="D21" s="121"/>
      <x:c r="E21" s="121"/>
      <x:c r="F21" s="121"/>
      <x:c r="G21" s="121"/>
      <x:c r="H21" s="124"/>
      <x:c r="I21" s="121"/>
      <x:c r="J21" s="121"/>
      <x:c r="K21" s="121"/>
      <x:c r="L21" s="123"/>
      <x:c r="M21" s="123"/>
      <x:c r="N21" s="121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2d74e8e3f08e44f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</x:cols>
  <x:sheetData>
    <x:row r="1">
      <x:c r="A1" s="108" t="str">
        <x:v>3. Dynamic routing – dynaaminen reititys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Simuloi ruuhkan, sään, sataman ja viiveen vaikutusta ETAan ja riskitasoon.</x:v>
      </x:c>
    </x:row>
    <x:row r="4">
      <x:c r="A4" s="118" t="str">
        <x:v>Route ID</x:v>
      </x:c>
      <x:c r="B4" s="118" t="str">
        <x:v>Reitti</x:v>
      </x:c>
      <x:c r="C4" s="118" t="str">
        <x:v>Ajoaika h</x:v>
      </x:c>
      <x:c r="D4" s="118" t="str">
        <x:v>Lähtöaika</x:v>
      </x:c>
      <x:c r="E4" s="118" t="str">
        <x:v>Ruuhka min</x:v>
      </x:c>
      <x:c r="F4" s="118" t="str">
        <x:v>Sää min</x:v>
      </x:c>
      <x:c r="G4" s="118" t="str">
        <x:v>Satama min</x:v>
      </x:c>
      <x:c r="H4" s="118" t="str">
        <x:v>Asiakasviive min</x:v>
      </x:c>
      <x:c r="I4" s="118" t="str">
        <x:v>Kokonaisviive min</x:v>
      </x:c>
      <x:c r="J4" s="118" t="str">
        <x:v>ETA alkuperäinen</x:v>
      </x:c>
      <x:c r="K4" s="118" t="str">
        <x:v>ETA uusi</x:v>
      </x:c>
      <x:c r="L4" s="118" t="str">
        <x:v>ETA riskitaso</x:v>
      </x:c>
      <x:c r="M4" s="118" t="str">
        <x:v>Suositus</x:v>
      </x:c>
      <x:c r="N4" s="118" t="str">
        <x:v>Huomio</x:v>
      </x:c>
    </x:row>
    <x:row r="5">
      <x:c r="A5" s="121" t="str">
        <x:v>R1</x:v>
      </x:c>
      <x:c r="B5" s="121" t="str">
        <x:v>Vantaa → Tampere → Pori</x:v>
      </x:c>
      <x:c r="C5" s="121" t="n">
        <x:v>3.9</x:v>
      </x:c>
      <x:c r="D5" s="126" t="n">
        <x:v>46147.25</x:v>
      </x:c>
      <x:c r="E5" s="121" t="n">
        <x:v>15</x:v>
      </x:c>
      <x:c r="F5" s="121" t="n">
        <x:v>0</x:v>
      </x:c>
      <x:c r="G5" s="121" t="n">
        <x:v>0</x:v>
      </x:c>
      <x:c r="H5" s="121" t="n">
        <x:v>0</x:v>
      </x:c>
      <x:c r="I5" s="123" t="n">
        <x:f>IF(A5="","",SUM(E5:H5))</x:f>
        <x:v>15</x:v>
      </x:c>
      <x:c r="J5" s="127" t="n">
        <x:f>IF(A5="","",D5+C5/24)</x:f>
        <x:v>46147.4125</x:v>
      </x:c>
      <x:c r="K5" s="127" t="n">
        <x:f>IF(A5="","",J5+I5/1440)</x:f>
        <x:v>46147.42291666666</x:v>
      </x:c>
      <x:c r="L5" s="123" t="str">
        <x:f>IF(A5="","",IF(I5&gt;=60,"Korkea",IF(I5&gt;=30,"Keskitaso","Matala")))</x:f>
        <x:v>Matala</x:v>
      </x:c>
      <x:c r="M5" s="123" t="str">
        <x:f>IF(A5="","",IF(L5="Korkea","Etsi vaihtoehtoinen reitti","Seuraa"))</x:f>
        <x:v>Seuraa</x:v>
      </x:c>
      <x:c r="N5" s="121" t="str"/>
    </x:row>
    <x:row r="6">
      <x:c r="A6" s="121" t="str">
        <x:v>R3</x:v>
      </x:c>
      <x:c r="B6" s="121" t="str">
        <x:v>Vantaa → Tampere → Pori → Oulu</x:v>
      </x:c>
      <x:c r="C6" s="121" t="n">
        <x:v>8.1</x:v>
      </x:c>
      <x:c r="D6" s="126" t="n">
        <x:v>46147.25</x:v>
      </x:c>
      <x:c r="E6" s="121" t="n">
        <x:v>30</x:v>
      </x:c>
      <x:c r="F6" s="121" t="n">
        <x:v>20</x:v>
      </x:c>
      <x:c r="G6" s="121" t="n">
        <x:v>0</x:v>
      </x:c>
      <x:c r="H6" s="121" t="n">
        <x:v>15</x:v>
      </x:c>
      <x:c r="I6" s="123" t="n">
        <x:f>IF(A6="","",SUM(E6:H6))</x:f>
        <x:v>65</x:v>
      </x:c>
      <x:c r="J6" s="127" t="n">
        <x:f>IF(A6="","",D6+C6/24)</x:f>
        <x:v>46147.5875</x:v>
      </x:c>
      <x:c r="K6" s="127" t="n">
        <x:f>IF(A6="","",J6+I6/1440)</x:f>
        <x:v>46147.63263888889</x:v>
      </x:c>
      <x:c r="L6" s="123" t="str">
        <x:f>IF(A6="","",IF(I6&gt;=60,"Korkea",IF(I6&gt;=30,"Keskitaso","Matala")))</x:f>
        <x:v>Korkea</x:v>
      </x:c>
      <x:c r="M6" s="123" t="str">
        <x:f>IF(A6="","",IF(L6="Korkea","Etsi vaihtoehtoinen reitti","Seuraa"))</x:f>
        <x:v>Etsi vaihtoehtoinen reitti</x:v>
      </x:c>
      <x:c r="N6" s="121" t="str"/>
    </x:row>
    <x:row r="7">
      <x:c r="A7" s="121" t="str">
        <x:v>R5</x:v>
      </x:c>
      <x:c r="B7" s="121" t="str">
        <x:v>Vantaa → Turku → Tampere → Pori</x:v>
      </x:c>
      <x:c r="C7" s="121" t="n">
        <x:v>6.1</x:v>
      </x:c>
      <x:c r="D7" s="126" t="n">
        <x:v>46147.25</x:v>
      </x:c>
      <x:c r="E7" s="121" t="n">
        <x:v>20</x:v>
      </x:c>
      <x:c r="F7" s="121" t="n">
        <x:v>0</x:v>
      </x:c>
      <x:c r="G7" s="121" t="n">
        <x:v>45</x:v>
      </x:c>
      <x:c r="H7" s="121" t="n">
        <x:v>0</x:v>
      </x:c>
      <x:c r="I7" s="123" t="n">
        <x:f>IF(A7="","",SUM(E7:H7))</x:f>
        <x:v>65</x:v>
      </x:c>
      <x:c r="J7" s="127" t="n">
        <x:f>IF(A7="","",D7+C7/24)</x:f>
        <x:v>46147.504166666666</x:v>
      </x:c>
      <x:c r="K7" s="127" t="n">
        <x:f>IF(A7="","",J7+I7/1440)</x:f>
        <x:v>46147.549305555556</x:v>
      </x:c>
      <x:c r="L7" s="123" t="str">
        <x:f>IF(A7="","",IF(I7&gt;=60,"Korkea",IF(I7&gt;=30,"Keskitaso","Matala")))</x:f>
        <x:v>Korkea</x:v>
      </x:c>
      <x:c r="M7" s="123" t="str">
        <x:f>IF(A7="","",IF(L7="Korkea","Etsi vaihtoehtoinen reitti","Seuraa"))</x:f>
        <x:v>Etsi vaihtoehtoinen reitti</x:v>
      </x:c>
      <x:c r="N7" s="121" t="str"/>
    </x:row>
    <x:row r="8">
      <x:c r="A8" s="121"/>
      <x:c r="B8" s="121"/>
      <x:c r="C8" s="121"/>
      <x:c r="D8" s="126"/>
      <x:c r="E8" s="121"/>
      <x:c r="F8" s="121"/>
      <x:c r="G8" s="121"/>
      <x:c r="H8" s="121"/>
      <x:c r="I8" s="123" t="str">
        <x:f>IF(A8="","",SUM(E8:H8))</x:f>
      </x:c>
      <x:c r="J8" s="127" t="str">
        <x:f>IF(A8="","",D8+C8/24)</x:f>
      </x:c>
      <x:c r="K8" s="127" t="str">
        <x:f>IF(A8="","",J8+I8/1440)</x:f>
      </x:c>
      <x:c r="L8" s="123" t="str">
        <x:f>IF(A8="","",IF(I8&gt;=60,"Korkea",IF(I8&gt;=30,"Keskitaso","Matala")))</x:f>
      </x:c>
      <x:c r="M8" s="123" t="str">
        <x:f>IF(A8="","",IF(L8="Korkea","Etsi vaihtoehtoinen reitti","Seuraa"))</x:f>
      </x:c>
      <x:c r="N8" s="121"/>
    </x:row>
    <x:row r="9">
      <x:c r="A9" s="121"/>
      <x:c r="B9" s="121"/>
      <x:c r="C9" s="121"/>
      <x:c r="D9" s="126"/>
      <x:c r="E9" s="121"/>
      <x:c r="F9" s="121"/>
      <x:c r="G9" s="121"/>
      <x:c r="H9" s="121"/>
      <x:c r="I9" s="123" t="str">
        <x:f>IF(A9="","",SUM(E9:H9))</x:f>
      </x:c>
      <x:c r="J9" s="127" t="str">
        <x:f>IF(A9="","",D9+C9/24)</x:f>
      </x:c>
      <x:c r="K9" s="127" t="str">
        <x:f>IF(A9="","",J9+I9/1440)</x:f>
      </x:c>
      <x:c r="L9" s="123" t="str">
        <x:f>IF(A9="","",IF(I9&gt;=60,"Korkea",IF(I9&gt;=30,"Keskitaso","Matala")))</x:f>
      </x:c>
      <x:c r="M9" s="123" t="str">
        <x:f>IF(A9="","",IF(L9="Korkea","Etsi vaihtoehtoinen reitti","Seuraa"))</x:f>
      </x:c>
      <x:c r="N9" s="121"/>
    </x:row>
    <x:row r="10">
      <x:c r="A10" s="121"/>
      <x:c r="B10" s="121"/>
      <x:c r="C10" s="121"/>
      <x:c r="D10" s="126"/>
      <x:c r="E10" s="121"/>
      <x:c r="F10" s="121"/>
      <x:c r="G10" s="121"/>
      <x:c r="H10" s="121"/>
      <x:c r="I10" s="123" t="str">
        <x:f>IF(A10="","",SUM(E10:H10))</x:f>
      </x:c>
      <x:c r="J10" s="127" t="str">
        <x:f>IF(A10="","",D10+C10/24)</x:f>
      </x:c>
      <x:c r="K10" s="127" t="str">
        <x:f>IF(A10="","",J10+I10/1440)</x:f>
      </x:c>
      <x:c r="L10" s="123" t="str">
        <x:f>IF(A10="","",IF(I10&gt;=60,"Korkea",IF(I10&gt;=30,"Keskitaso","Matala")))</x:f>
      </x:c>
      <x:c r="M10" s="123" t="str">
        <x:f>IF(A10="","",IF(L10="Korkea","Etsi vaihtoehtoinen reitti","Seuraa"))</x:f>
      </x:c>
      <x:c r="N10" s="121"/>
    </x:row>
    <x:row r="11">
      <x:c r="A11" s="121"/>
      <x:c r="B11" s="121"/>
      <x:c r="C11" s="121"/>
      <x:c r="D11" s="126"/>
      <x:c r="E11" s="121"/>
      <x:c r="F11" s="121"/>
      <x:c r="G11" s="121"/>
      <x:c r="H11" s="121"/>
      <x:c r="I11" s="123" t="str">
        <x:f>IF(A11="","",SUM(E11:H11))</x:f>
      </x:c>
      <x:c r="J11" s="127" t="str">
        <x:f>IF(A11="","",D11+C11/24)</x:f>
      </x:c>
      <x:c r="K11" s="127" t="str">
        <x:f>IF(A11="","",J11+I11/1440)</x:f>
      </x:c>
      <x:c r="L11" s="123" t="str">
        <x:f>IF(A11="","",IF(I11&gt;=60,"Korkea",IF(I11&gt;=30,"Keskitaso","Matala")))</x:f>
      </x:c>
      <x:c r="M11" s="123" t="str">
        <x:f>IF(A11="","",IF(L11="Korkea","Etsi vaihtoehtoinen reitti","Seuraa"))</x:f>
      </x:c>
      <x:c r="N11" s="121"/>
    </x:row>
    <x:row r="12">
      <x:c r="A12" s="121"/>
      <x:c r="B12" s="121"/>
      <x:c r="C12" s="121"/>
      <x:c r="D12" s="126"/>
      <x:c r="E12" s="121"/>
      <x:c r="F12" s="121"/>
      <x:c r="G12" s="121"/>
      <x:c r="H12" s="121"/>
      <x:c r="I12" s="123" t="str">
        <x:f>IF(A12="","",SUM(E12:H12))</x:f>
      </x:c>
      <x:c r="J12" s="127" t="str">
        <x:f>IF(A12="","",D12+C12/24)</x:f>
      </x:c>
      <x:c r="K12" s="127" t="str">
        <x:f>IF(A12="","",J12+I12/1440)</x:f>
      </x:c>
      <x:c r="L12" s="123" t="str">
        <x:f>IF(A12="","",IF(I12&gt;=60,"Korkea",IF(I12&gt;=30,"Keskitaso","Matala")))</x:f>
      </x:c>
      <x:c r="M12" s="123" t="str">
        <x:f>IF(A12="","",IF(L12="Korkea","Etsi vaihtoehtoinen reitti","Seuraa"))</x:f>
      </x:c>
      <x:c r="N12" s="121"/>
    </x:row>
    <x:row r="13">
      <x:c r="A13" s="121"/>
      <x:c r="B13" s="121"/>
      <x:c r="C13" s="121"/>
      <x:c r="D13" s="126"/>
      <x:c r="E13" s="121"/>
      <x:c r="F13" s="121"/>
      <x:c r="G13" s="121"/>
      <x:c r="H13" s="121"/>
      <x:c r="I13" s="123" t="str">
        <x:f>IF(A13="","",SUM(E13:H13))</x:f>
      </x:c>
      <x:c r="J13" s="127" t="str">
        <x:f>IF(A13="","",D13+C13/24)</x:f>
      </x:c>
      <x:c r="K13" s="127" t="str">
        <x:f>IF(A13="","",J13+I13/1440)</x:f>
      </x:c>
      <x:c r="L13" s="123" t="str">
        <x:f>IF(A13="","",IF(I13&gt;=60,"Korkea",IF(I13&gt;=30,"Keskitaso","Matala")))</x:f>
      </x:c>
      <x:c r="M13" s="123" t="str">
        <x:f>IF(A13="","",IF(L13="Korkea","Etsi vaihtoehtoinen reitti","Seuraa"))</x:f>
      </x:c>
      <x:c r="N13" s="121"/>
    </x:row>
    <x:row r="14">
      <x:c r="A14" s="121"/>
      <x:c r="B14" s="121"/>
      <x:c r="C14" s="121"/>
      <x:c r="D14" s="126"/>
      <x:c r="E14" s="121"/>
      <x:c r="F14" s="121"/>
      <x:c r="G14" s="121"/>
      <x:c r="H14" s="121"/>
      <x:c r="I14" s="123" t="str">
        <x:f>IF(A14="","",SUM(E14:H14))</x:f>
      </x:c>
      <x:c r="J14" s="127" t="str">
        <x:f>IF(A14="","",D14+C14/24)</x:f>
      </x:c>
      <x:c r="K14" s="127" t="str">
        <x:f>IF(A14="","",J14+I14/1440)</x:f>
      </x:c>
      <x:c r="L14" s="123" t="str">
        <x:f>IF(A14="","",IF(I14&gt;=60,"Korkea",IF(I14&gt;=30,"Keskitaso","Matala")))</x:f>
      </x:c>
      <x:c r="M14" s="123" t="str">
        <x:f>IF(A14="","",IF(L14="Korkea","Etsi vaihtoehtoinen reitti","Seuraa"))</x:f>
      </x:c>
      <x:c r="N14" s="121"/>
    </x:row>
    <x:row r="15">
      <x:c r="A15" s="121"/>
      <x:c r="B15" s="121"/>
      <x:c r="C15" s="121"/>
      <x:c r="D15" s="126"/>
      <x:c r="E15" s="121"/>
      <x:c r="F15" s="121"/>
      <x:c r="G15" s="121"/>
      <x:c r="H15" s="121"/>
      <x:c r="I15" s="123" t="str">
        <x:f>IF(A15="","",SUM(E15:H15))</x:f>
      </x:c>
      <x:c r="J15" s="127" t="str">
        <x:f>IF(A15="","",D15+C15/24)</x:f>
      </x:c>
      <x:c r="K15" s="127" t="str">
        <x:f>IF(A15="","",J15+I15/1440)</x:f>
      </x:c>
      <x:c r="L15" s="123" t="str">
        <x:f>IF(A15="","",IF(I15&gt;=60,"Korkea",IF(I15&gt;=30,"Keskitaso","Matala")))</x:f>
      </x:c>
      <x:c r="M15" s="123" t="str">
        <x:f>IF(A15="","",IF(L15="Korkea","Etsi vaihtoehtoinen reitti","Seuraa"))</x:f>
      </x:c>
      <x:c r="N15" s="121"/>
    </x:row>
    <x:row r="16">
      <x:c r="A16" s="121"/>
      <x:c r="B16" s="121"/>
      <x:c r="C16" s="121"/>
      <x:c r="D16" s="126"/>
      <x:c r="E16" s="121"/>
      <x:c r="F16" s="121"/>
      <x:c r="G16" s="121"/>
      <x:c r="H16" s="121"/>
      <x:c r="I16" s="123" t="str">
        <x:f>IF(A16="","",SUM(E16:H16))</x:f>
      </x:c>
      <x:c r="J16" s="127" t="str">
        <x:f>IF(A16="","",D16+C16/24)</x:f>
      </x:c>
      <x:c r="K16" s="127" t="str">
        <x:f>IF(A16="","",J16+I16/1440)</x:f>
      </x:c>
      <x:c r="L16" s="123" t="str">
        <x:f>IF(A16="","",IF(I16&gt;=60,"Korkea",IF(I16&gt;=30,"Keskitaso","Matala")))</x:f>
      </x:c>
      <x:c r="M16" s="123" t="str">
        <x:f>IF(A16="","",IF(L16="Korkea","Etsi vaihtoehtoinen reitti","Seuraa"))</x:f>
      </x:c>
      <x:c r="N16" s="121"/>
    </x:row>
    <x:row r="17">
      <x:c r="A17" s="121"/>
      <x:c r="B17" s="121"/>
      <x:c r="C17" s="121"/>
      <x:c r="D17" s="126"/>
      <x:c r="E17" s="121"/>
      <x:c r="F17" s="121"/>
      <x:c r="G17" s="121"/>
      <x:c r="H17" s="121"/>
      <x:c r="I17" s="123" t="str">
        <x:f>IF(A17="","",SUM(E17:H17))</x:f>
      </x:c>
      <x:c r="J17" s="127" t="str">
        <x:f>IF(A17="","",D17+C17/24)</x:f>
      </x:c>
      <x:c r="K17" s="127" t="str">
        <x:f>IF(A17="","",J17+I17/1440)</x:f>
      </x:c>
      <x:c r="L17" s="123" t="str">
        <x:f>IF(A17="","",IF(I17&gt;=60,"Korkea",IF(I17&gt;=30,"Keskitaso","Matala")))</x:f>
      </x:c>
      <x:c r="M17" s="123" t="str">
        <x:f>IF(A17="","",IF(L17="Korkea","Etsi vaihtoehtoinen reitti","Seuraa"))</x:f>
      </x:c>
      <x:c r="N17" s="121"/>
    </x:row>
    <x:row r="18">
      <x:c r="A18" s="121"/>
      <x:c r="B18" s="121"/>
      <x:c r="C18" s="121"/>
      <x:c r="D18" s="126"/>
      <x:c r="E18" s="121"/>
      <x:c r="F18" s="121"/>
      <x:c r="G18" s="121"/>
      <x:c r="H18" s="121"/>
      <x:c r="I18" s="123" t="str">
        <x:f>IF(A18="","",SUM(E18:H18))</x:f>
      </x:c>
      <x:c r="J18" s="127" t="str">
        <x:f>IF(A18="","",D18+C18/24)</x:f>
      </x:c>
      <x:c r="K18" s="127" t="str">
        <x:f>IF(A18="","",J18+I18/1440)</x:f>
      </x:c>
      <x:c r="L18" s="123" t="str">
        <x:f>IF(A18="","",IF(I18&gt;=60,"Korkea",IF(I18&gt;=30,"Keskitaso","Matala")))</x:f>
      </x:c>
      <x:c r="M18" s="123" t="str">
        <x:f>IF(A18="","",IF(L18="Korkea","Etsi vaihtoehtoinen reitti","Seuraa"))</x:f>
      </x:c>
      <x:c r="N18" s="121"/>
    </x:row>
    <x:row r="19">
      <x:c r="A19" s="121"/>
      <x:c r="B19" s="121"/>
      <x:c r="C19" s="121"/>
      <x:c r="D19" s="126"/>
      <x:c r="E19" s="121"/>
      <x:c r="F19" s="121"/>
      <x:c r="G19" s="121"/>
      <x:c r="H19" s="121"/>
      <x:c r="I19" s="123" t="str">
        <x:f>IF(A19="","",SUM(E19:H19))</x:f>
      </x:c>
      <x:c r="J19" s="127" t="str">
        <x:f>IF(A19="","",D19+C19/24)</x:f>
      </x:c>
      <x:c r="K19" s="127" t="str">
        <x:f>IF(A19="","",J19+I19/1440)</x:f>
      </x:c>
      <x:c r="L19" s="123" t="str">
        <x:f>IF(A19="","",IF(I19&gt;=60,"Korkea",IF(I19&gt;=30,"Keskitaso","Matala")))</x:f>
      </x:c>
      <x:c r="M19" s="123" t="str">
        <x:f>IF(A19="","",IF(L19="Korkea","Etsi vaihtoehtoinen reitti","Seuraa"))</x:f>
      </x:c>
      <x:c r="N19" s="121"/>
    </x:row>
    <x:row r="20">
      <x:c r="A20" s="121"/>
      <x:c r="B20" s="121"/>
      <x:c r="C20" s="121"/>
      <x:c r="D20" s="126"/>
      <x:c r="E20" s="121"/>
      <x:c r="F20" s="121"/>
      <x:c r="G20" s="121"/>
      <x:c r="H20" s="121"/>
      <x:c r="I20" s="123" t="str">
        <x:f>IF(A20="","",SUM(E20:H20))</x:f>
      </x:c>
      <x:c r="J20" s="127" t="str">
        <x:f>IF(A20="","",D20+C20/24)</x:f>
      </x:c>
      <x:c r="K20" s="127" t="str">
        <x:f>IF(A20="","",J20+I20/1440)</x:f>
      </x:c>
      <x:c r="L20" s="123" t="str">
        <x:f>IF(A20="","",IF(I20&gt;=60,"Korkea",IF(I20&gt;=30,"Keskitaso","Matala")))</x:f>
      </x:c>
      <x:c r="M20" s="123" t="str">
        <x:f>IF(A20="","",IF(L20="Korkea","Etsi vaihtoehtoinen reitti","Seuraa"))</x:f>
      </x:c>
      <x:c r="N20" s="121"/>
    </x:row>
    <x:row r="21">
      <x:c r="A21" s="121"/>
      <x:c r="B21" s="121"/>
      <x:c r="C21" s="121"/>
      <x:c r="D21" s="126"/>
      <x:c r="E21" s="121"/>
      <x:c r="F21" s="121"/>
      <x:c r="G21" s="121"/>
      <x:c r="H21" s="121"/>
      <x:c r="I21" s="123"/>
      <x:c r="J21" s="127"/>
      <x:c r="K21" s="127"/>
      <x:c r="L21" s="123"/>
      <x:c r="M21" s="123"/>
      <x:c r="N21" s="121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12e101d6ce5943e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2" hidden="0" customWidth="1"/>
    <x:col min="14" max="14" width="22" hidden="0" customWidth="1"/>
  </x:cols>
  <x:sheetData>
    <x:row r="1">
      <x:c r="A1" s="108" t="str">
        <x:v>4. Carrier selection – kuljetusliikkeen valinta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Valitsee carrierin hinnan, laadun, kapasiteetin ja riskin perusteella.</x:v>
      </x:c>
    </x:row>
    <x:row r="4">
      <x:c r="A4" s="118" t="str">
        <x:v>Carrier</x:v>
      </x:c>
      <x:c r="B4" s="118" t="str">
        <x:v>Reitti</x:v>
      </x:c>
      <x:c r="C4" s="118" t="str">
        <x:v>Hinta €</x:v>
      </x:c>
      <x:c r="D4" s="118" t="str">
        <x:v>Kapasiteetti?</x:v>
      </x:c>
      <x:c r="E4" s="118" t="str">
        <x:v>On-time %</x:v>
      </x:c>
      <x:c r="F4" s="118" t="str">
        <x:v>Laatu score</x:v>
      </x:c>
      <x:c r="G4" s="118" t="str">
        <x:v>CO₂ score</x:v>
      </x:c>
      <x:c r="H4" s="118" t="str">
        <x:v>Riski</x:v>
      </x:c>
      <x:c r="I4" s="118" t="str">
        <x:v>Hinta score</x:v>
      </x:c>
      <x:c r="J4" s="118" t="str">
        <x:v>Kapasiteetti score</x:v>
      </x:c>
      <x:c r="K4" s="118" t="str">
        <x:v>Kokonais score</x:v>
      </x:c>
      <x:c r="L4" s="118" t="str">
        <x:v>Valinta</x:v>
      </x:c>
      <x:c r="M4" s="118" t="str">
        <x:v>Perustelu</x:v>
      </x:c>
      <x:c r="N4" s="118" t="str">
        <x:v>Huomio</x:v>
      </x:c>
    </x:row>
    <x:row r="5">
      <x:c r="A5" s="121" t="str">
        <x:v>Carrier A</x:v>
      </x:c>
      <x:c r="B5" s="121" t="str">
        <x:v>R1</x:v>
      </x:c>
      <x:c r="C5" s="128" t="n">
        <x:v>850</x:v>
      </x:c>
      <x:c r="D5" s="121" t="str">
        <x:v>Kyllä</x:v>
      </x:c>
      <x:c r="E5" s="129" t="n">
        <x:v>0.96</x:v>
      </x:c>
      <x:c r="F5" s="121" t="n">
        <x:v>90</x:v>
      </x:c>
      <x:c r="G5" s="121" t="n">
        <x:v>80</x:v>
      </x:c>
      <x:c r="H5" s="121" t="str">
        <x:v>Matala</x:v>
      </x:c>
      <x:c r="I5" s="123" t="n">
        <x:f>IF(A5="","",MAX(0,100*(1-(C5-MIN($C$5:$C$20))/(MAX($C$5:$C$20)-MIN($C$5:$C$20)+0.0001))))</x:f>
        <x:v>94.64285809948963</x:v>
      </x:c>
      <x:c r="J5" s="123" t="n">
        <x:f>IF(A5="","",IF(D5="Kyllä",100,0))</x:f>
        <x:v>100</x:v>
      </x:c>
      <x:c r="K5" s="123" t="n">
        <x:f>IF(A5="","",I5*0.35+J5*0.25+E5*100*0.2+F5*0.1+G5*0.1)</x:f>
        <x:v>94.32500033482137</x:v>
      </x:c>
      <x:c r="L5" s="123" t="str">
        <x:f>IF(A5="","",IF(K5=MAX($K$5:$K$20),"VALITSE",""))</x:f>
        <x:v>VALITSE</x:v>
      </x:c>
      <x:c r="M5" s="123" t="str">
        <x:f>IF(L5="VALITSE","Paras kokonaispiste","")</x:f>
        <x:v>Paras kokonaispiste</x:v>
      </x:c>
      <x:c r="N5" s="121" t="str"/>
    </x:row>
    <x:row r="6">
      <x:c r="A6" s="121" t="str">
        <x:v>Carrier B</x:v>
      </x:c>
      <x:c r="B6" s="121" t="str">
        <x:v>R1</x:v>
      </x:c>
      <x:c r="C6" s="128" t="n">
        <x:v>820</x:v>
      </x:c>
      <x:c r="D6" s="121" t="str">
        <x:v>Kyllä</x:v>
      </x:c>
      <x:c r="E6" s="129" t="n">
        <x:v>0.91</x:v>
      </x:c>
      <x:c r="F6" s="121" t="n">
        <x:v>78</x:v>
      </x:c>
      <x:c r="G6" s="121" t="n">
        <x:v>75</x:v>
      </x:c>
      <x:c r="H6" s="121" t="str">
        <x:v>Keskitaso</x:v>
      </x:c>
      <x:c r="I6" s="123" t="n">
        <x:f>IF(A6="","",MAX(0,100*(1-(C6-MIN($C$5:$C$20))/(MAX($C$5:$C$20)-MIN($C$5:$C$20)+0.0001))))</x:f>
        <x:v>100</x:v>
      </x:c>
      <x:c r="J6" s="123" t="n">
        <x:f>IF(A6="","",IF(D6="Kyllä",100,0))</x:f>
        <x:v>100</x:v>
      </x:c>
      <x:c r="K6" s="123" t="n">
        <x:f>IF(A6="","",I6*0.35+J6*0.25+E6*100*0.2+F6*0.1+G6*0.1)</x:f>
        <x:v>93.5</x:v>
      </x:c>
      <x:c r="L6" s="123" t="str">
        <x:f>IF(A6="","",IF(K6=MAX($K$5:$K$20),"VALITSE",""))</x:f>
      </x:c>
      <x:c r="M6" s="123" t="str">
        <x:f>IF(L6="VALITSE","Paras kokonaispiste","")</x:f>
      </x:c>
      <x:c r="N6" s="121" t="str"/>
    </x:row>
    <x:row r="7">
      <x:c r="A7" s="121" t="str">
        <x:v>Carrier C</x:v>
      </x:c>
      <x:c r="B7" s="121" t="str">
        <x:v>R1</x:v>
      </x:c>
      <x:c r="C7" s="128" t="n">
        <x:v>900</x:v>
      </x:c>
      <x:c r="D7" s="121" t="str">
        <x:v>Ei</x:v>
      </x:c>
      <x:c r="E7" s="129" t="n">
        <x:v>0.98</x:v>
      </x:c>
      <x:c r="F7" s="121" t="n">
        <x:v>95</x:v>
      </x:c>
      <x:c r="G7" s="121" t="n">
        <x:v>85</x:v>
      </x:c>
      <x:c r="H7" s="121" t="str">
        <x:v>Matala</x:v>
      </x:c>
      <x:c r="I7" s="123" t="n">
        <x:f>IF(A7="","",MAX(0,100*(1-(C7-MIN($C$5:$C$20))/(MAX($C$5:$C$20)-MIN($C$5:$C$20)+0.0001))))</x:f>
        <x:v>85.71428826530567</x:v>
      </x:c>
      <x:c r="J7" s="123" t="n">
        <x:f>IF(A7="","",IF(D7="Kyllä",100,0))</x:f>
        <x:v>0</x:v>
      </x:c>
      <x:c r="K7" s="123" t="n">
        <x:f>IF(A7="","",I7*0.35+J7*0.25+E7*100*0.2+F7*0.1+G7*0.1)</x:f>
        <x:v>67.60000089285698</x:v>
      </x:c>
      <x:c r="L7" s="123" t="str">
        <x:f>IF(A7="","",IF(K7=MAX($K$5:$K$20),"VALITSE",""))</x:f>
      </x:c>
      <x:c r="M7" s="123" t="str">
        <x:f>IF(L7="VALITSE","Paras kokonaispiste","")</x:f>
      </x:c>
      <x:c r="N7" s="121" t="str"/>
    </x:row>
    <x:row r="8">
      <x:c r="A8" s="121" t="str">
        <x:v>Carrier D</x:v>
      </x:c>
      <x:c r="B8" s="121" t="str">
        <x:v>R3</x:v>
      </x:c>
      <x:c r="C8" s="128" t="n">
        <x:v>1380</x:v>
      </x:c>
      <x:c r="D8" s="121" t="str">
        <x:v>Kyllä</x:v>
      </x:c>
      <x:c r="E8" s="129" t="n">
        <x:v>0.93</x:v>
      </x:c>
      <x:c r="F8" s="121" t="n">
        <x:v>82</x:v>
      </x:c>
      <x:c r="G8" s="121" t="n">
        <x:v>70</x:v>
      </x:c>
      <x:c r="H8" s="121" t="str">
        <x:v>Korkea</x:v>
      </x:c>
      <x:c r="I8" s="123" t="n">
        <x:f>IF(A8="","",MAX(0,100*(1-(C8-MIN($C$5:$C$20))/(MAX($C$5:$C$20)-MIN($C$5:$C$20)+0.0001))))</x:f>
        <x:v>0.00001785713966695468</x:v>
      </x:c>
      <x:c r="J8" s="123" t="n">
        <x:f>IF(A8="","",IF(D8="Kyllä",100,0))</x:f>
        <x:v>100</x:v>
      </x:c>
      <x:c r="K8" s="123" t="n">
        <x:f>IF(A8="","",I8*0.35+J8*0.25+E8*100*0.2+F8*0.1+G8*0.1)</x:f>
        <x:v>58.80000624999889</x:v>
      </x:c>
      <x:c r="L8" s="123" t="str">
        <x:f>IF(A8="","",IF(K8=MAX($K$5:$K$20),"VALITSE",""))</x:f>
      </x:c>
      <x:c r="M8" s="123" t="str">
        <x:f>IF(L8="VALITSE","Paras kokonaispiste","")</x:f>
      </x:c>
      <x:c r="N8" s="121" t="str"/>
    </x:row>
    <x:row r="9">
      <x:c r="A9" s="121"/>
      <x:c r="B9" s="121"/>
      <x:c r="C9" s="128"/>
      <x:c r="D9" s="121"/>
      <x:c r="E9" s="129"/>
      <x:c r="F9" s="121"/>
      <x:c r="G9" s="121"/>
      <x:c r="H9" s="121"/>
      <x:c r="I9" s="123" t="str">
        <x:f>IF(A9="","",MAX(0,100*(1-(C9-MIN($C$5:$C$20))/(MAX($C$5:$C$20)-MIN($C$5:$C$20)+0.0001))))</x:f>
      </x:c>
      <x:c r="J9" s="123" t="str">
        <x:f>IF(A9="","",IF(D9="Kyllä",100,0))</x:f>
      </x:c>
      <x:c r="K9" s="123" t="str">
        <x:f>IF(A9="","",I9*0.35+J9*0.25+E9*100*0.2+F9*0.1+G9*0.1)</x:f>
      </x:c>
      <x:c r="L9" s="123" t="str">
        <x:f>IF(A9="","",IF(K9=MAX($K$5:$K$20),"VALITSE",""))</x:f>
      </x:c>
      <x:c r="M9" s="123" t="str">
        <x:f>IF(L9="VALITSE","Paras kokonaispiste","")</x:f>
      </x:c>
      <x:c r="N9" s="121"/>
    </x:row>
    <x:row r="10">
      <x:c r="A10" s="121"/>
      <x:c r="B10" s="121"/>
      <x:c r="C10" s="128"/>
      <x:c r="D10" s="121"/>
      <x:c r="E10" s="129"/>
      <x:c r="F10" s="121"/>
      <x:c r="G10" s="121"/>
      <x:c r="H10" s="121"/>
      <x:c r="I10" s="123" t="str">
        <x:f>IF(A10="","",MAX(0,100*(1-(C10-MIN($C$5:$C$20))/(MAX($C$5:$C$20)-MIN($C$5:$C$20)+0.0001))))</x:f>
      </x:c>
      <x:c r="J10" s="123" t="str">
        <x:f>IF(A10="","",IF(D10="Kyllä",100,0))</x:f>
      </x:c>
      <x:c r="K10" s="123" t="str">
        <x:f>IF(A10="","",I10*0.35+J10*0.25+E10*100*0.2+F10*0.1+G10*0.1)</x:f>
      </x:c>
      <x:c r="L10" s="123" t="str">
        <x:f>IF(A10="","",IF(K10=MAX($K$5:$K$20),"VALITSE",""))</x:f>
      </x:c>
      <x:c r="M10" s="123" t="str">
        <x:f>IF(L10="VALITSE","Paras kokonaispiste","")</x:f>
      </x:c>
      <x:c r="N10" s="121"/>
    </x:row>
    <x:row r="11">
      <x:c r="A11" s="121"/>
      <x:c r="B11" s="121"/>
      <x:c r="C11" s="128"/>
      <x:c r="D11" s="121"/>
      <x:c r="E11" s="129"/>
      <x:c r="F11" s="121"/>
      <x:c r="G11" s="121"/>
      <x:c r="H11" s="121"/>
      <x:c r="I11" s="123" t="str">
        <x:f>IF(A11="","",MAX(0,100*(1-(C11-MIN($C$5:$C$20))/(MAX($C$5:$C$20)-MIN($C$5:$C$20)+0.0001))))</x:f>
      </x:c>
      <x:c r="J11" s="123" t="str">
        <x:f>IF(A11="","",IF(D11="Kyllä",100,0))</x:f>
      </x:c>
      <x:c r="K11" s="123" t="str">
        <x:f>IF(A11="","",I11*0.35+J11*0.25+E11*100*0.2+F11*0.1+G11*0.1)</x:f>
      </x:c>
      <x:c r="L11" s="123" t="str">
        <x:f>IF(A11="","",IF(K11=MAX($K$5:$K$20),"VALITSE",""))</x:f>
      </x:c>
      <x:c r="M11" s="123" t="str">
        <x:f>IF(L11="VALITSE","Paras kokonaispiste","")</x:f>
      </x:c>
      <x:c r="N11" s="121"/>
    </x:row>
    <x:row r="12">
      <x:c r="A12" s="121"/>
      <x:c r="B12" s="121"/>
      <x:c r="C12" s="128"/>
      <x:c r="D12" s="121"/>
      <x:c r="E12" s="129"/>
      <x:c r="F12" s="121"/>
      <x:c r="G12" s="121"/>
      <x:c r="H12" s="121"/>
      <x:c r="I12" s="123" t="str">
        <x:f>IF(A12="","",MAX(0,100*(1-(C12-MIN($C$5:$C$20))/(MAX($C$5:$C$20)-MIN($C$5:$C$20)+0.0001))))</x:f>
      </x:c>
      <x:c r="J12" s="123" t="str">
        <x:f>IF(A12="","",IF(D12="Kyllä",100,0))</x:f>
      </x:c>
      <x:c r="K12" s="123" t="str">
        <x:f>IF(A12="","",I12*0.35+J12*0.25+E12*100*0.2+F12*0.1+G12*0.1)</x:f>
      </x:c>
      <x:c r="L12" s="123" t="str">
        <x:f>IF(A12="","",IF(K12=MAX($K$5:$K$20),"VALITSE",""))</x:f>
      </x:c>
      <x:c r="M12" s="123" t="str">
        <x:f>IF(L12="VALITSE","Paras kokonaispiste","")</x:f>
      </x:c>
      <x:c r="N12" s="121"/>
    </x:row>
    <x:row r="13">
      <x:c r="A13" s="121"/>
      <x:c r="B13" s="121"/>
      <x:c r="C13" s="128"/>
      <x:c r="D13" s="121"/>
      <x:c r="E13" s="129"/>
      <x:c r="F13" s="121"/>
      <x:c r="G13" s="121"/>
      <x:c r="H13" s="121"/>
      <x:c r="I13" s="123" t="str">
        <x:f>IF(A13="","",MAX(0,100*(1-(C13-MIN($C$5:$C$20))/(MAX($C$5:$C$20)-MIN($C$5:$C$20)+0.0001))))</x:f>
      </x:c>
      <x:c r="J13" s="123" t="str">
        <x:f>IF(A13="","",IF(D13="Kyllä",100,0))</x:f>
      </x:c>
      <x:c r="K13" s="123" t="str">
        <x:f>IF(A13="","",I13*0.35+J13*0.25+E13*100*0.2+F13*0.1+G13*0.1)</x:f>
      </x:c>
      <x:c r="L13" s="123" t="str">
        <x:f>IF(A13="","",IF(K13=MAX($K$5:$K$20),"VALITSE",""))</x:f>
      </x:c>
      <x:c r="M13" s="123" t="str">
        <x:f>IF(L13="VALITSE","Paras kokonaispiste","")</x:f>
      </x:c>
      <x:c r="N13" s="121"/>
    </x:row>
    <x:row r="14">
      <x:c r="A14" s="121"/>
      <x:c r="B14" s="121"/>
      <x:c r="C14" s="128"/>
      <x:c r="D14" s="121"/>
      <x:c r="E14" s="129"/>
      <x:c r="F14" s="121"/>
      <x:c r="G14" s="121"/>
      <x:c r="H14" s="121"/>
      <x:c r="I14" s="123" t="str">
        <x:f>IF(A14="","",MAX(0,100*(1-(C14-MIN($C$5:$C$20))/(MAX($C$5:$C$20)-MIN($C$5:$C$20)+0.0001))))</x:f>
      </x:c>
      <x:c r="J14" s="123" t="str">
        <x:f>IF(A14="","",IF(D14="Kyllä",100,0))</x:f>
      </x:c>
      <x:c r="K14" s="123" t="str">
        <x:f>IF(A14="","",I14*0.35+J14*0.25+E14*100*0.2+F14*0.1+G14*0.1)</x:f>
      </x:c>
      <x:c r="L14" s="123" t="str">
        <x:f>IF(A14="","",IF(K14=MAX($K$5:$K$20),"VALITSE",""))</x:f>
      </x:c>
      <x:c r="M14" s="123" t="str">
        <x:f>IF(L14="VALITSE","Paras kokonaispiste","")</x:f>
      </x:c>
      <x:c r="N14" s="121"/>
    </x:row>
    <x:row r="15">
      <x:c r="A15" s="121"/>
      <x:c r="B15" s="121"/>
      <x:c r="C15" s="128"/>
      <x:c r="D15" s="121"/>
      <x:c r="E15" s="129"/>
      <x:c r="F15" s="121"/>
      <x:c r="G15" s="121"/>
      <x:c r="H15" s="121"/>
      <x:c r="I15" s="123" t="str">
        <x:f>IF(A15="","",MAX(0,100*(1-(C15-MIN($C$5:$C$20))/(MAX($C$5:$C$20)-MIN($C$5:$C$20)+0.0001))))</x:f>
      </x:c>
      <x:c r="J15" s="123" t="str">
        <x:f>IF(A15="","",IF(D15="Kyllä",100,0))</x:f>
      </x:c>
      <x:c r="K15" s="123" t="str">
        <x:f>IF(A15="","",I15*0.35+J15*0.25+E15*100*0.2+F15*0.1+G15*0.1)</x:f>
      </x:c>
      <x:c r="L15" s="123" t="str">
        <x:f>IF(A15="","",IF(K15=MAX($K$5:$K$20),"VALITSE",""))</x:f>
      </x:c>
      <x:c r="M15" s="123" t="str">
        <x:f>IF(L15="VALITSE","Paras kokonaispiste","")</x:f>
      </x:c>
      <x:c r="N15" s="121"/>
    </x:row>
    <x:row r="16">
      <x:c r="A16" s="121"/>
      <x:c r="B16" s="121"/>
      <x:c r="C16" s="128"/>
      <x:c r="D16" s="121"/>
      <x:c r="E16" s="129"/>
      <x:c r="F16" s="121"/>
      <x:c r="G16" s="121"/>
      <x:c r="H16" s="121"/>
      <x:c r="I16" s="123" t="str">
        <x:f>IF(A16="","",MAX(0,100*(1-(C16-MIN($C$5:$C$20))/(MAX($C$5:$C$20)-MIN($C$5:$C$20)+0.0001))))</x:f>
      </x:c>
      <x:c r="J16" s="123" t="str">
        <x:f>IF(A16="","",IF(D16="Kyllä",100,0))</x:f>
      </x:c>
      <x:c r="K16" s="123" t="str">
        <x:f>IF(A16="","",I16*0.35+J16*0.25+E16*100*0.2+F16*0.1+G16*0.1)</x:f>
      </x:c>
      <x:c r="L16" s="123" t="str">
        <x:f>IF(A16="","",IF(K16=MAX($K$5:$K$20),"VALITSE",""))</x:f>
      </x:c>
      <x:c r="M16" s="123" t="str">
        <x:f>IF(L16="VALITSE","Paras kokonaispiste","")</x:f>
      </x:c>
      <x:c r="N16" s="121"/>
    </x:row>
    <x:row r="17">
      <x:c r="A17" s="121"/>
      <x:c r="B17" s="121"/>
      <x:c r="C17" s="128"/>
      <x:c r="D17" s="121"/>
      <x:c r="E17" s="129"/>
      <x:c r="F17" s="121"/>
      <x:c r="G17" s="121"/>
      <x:c r="H17" s="121"/>
      <x:c r="I17" s="123" t="str">
        <x:f>IF(A17="","",MAX(0,100*(1-(C17-MIN($C$5:$C$20))/(MAX($C$5:$C$20)-MIN($C$5:$C$20)+0.0001))))</x:f>
      </x:c>
      <x:c r="J17" s="123" t="str">
        <x:f>IF(A17="","",IF(D17="Kyllä",100,0))</x:f>
      </x:c>
      <x:c r="K17" s="123" t="str">
        <x:f>IF(A17="","",I17*0.35+J17*0.25+E17*100*0.2+F17*0.1+G17*0.1)</x:f>
      </x:c>
      <x:c r="L17" s="123" t="str">
        <x:f>IF(A17="","",IF(K17=MAX($K$5:$K$20),"VALITSE",""))</x:f>
      </x:c>
      <x:c r="M17" s="123" t="str">
        <x:f>IF(L17="VALITSE","Paras kokonaispiste","")</x:f>
      </x:c>
      <x:c r="N17" s="121"/>
    </x:row>
    <x:row r="18">
      <x:c r="A18" s="121"/>
      <x:c r="B18" s="121"/>
      <x:c r="C18" s="128"/>
      <x:c r="D18" s="121"/>
      <x:c r="E18" s="129"/>
      <x:c r="F18" s="121"/>
      <x:c r="G18" s="121"/>
      <x:c r="H18" s="121"/>
      <x:c r="I18" s="123" t="str">
        <x:f>IF(A18="","",MAX(0,100*(1-(C18-MIN($C$5:$C$20))/(MAX($C$5:$C$20)-MIN($C$5:$C$20)+0.0001))))</x:f>
      </x:c>
      <x:c r="J18" s="123" t="str">
        <x:f>IF(A18="","",IF(D18="Kyllä",100,0))</x:f>
      </x:c>
      <x:c r="K18" s="123" t="str">
        <x:f>IF(A18="","",I18*0.35+J18*0.25+E18*100*0.2+F18*0.1+G18*0.1)</x:f>
      </x:c>
      <x:c r="L18" s="123" t="str">
        <x:f>IF(A18="","",IF(K18=MAX($K$5:$K$20),"VALITSE",""))</x:f>
      </x:c>
      <x:c r="M18" s="123" t="str">
        <x:f>IF(L18="VALITSE","Paras kokonaispiste","")</x:f>
      </x:c>
      <x:c r="N18" s="121"/>
    </x:row>
    <x:row r="19">
      <x:c r="A19" s="121"/>
      <x:c r="B19" s="121"/>
      <x:c r="C19" s="128"/>
      <x:c r="D19" s="121"/>
      <x:c r="E19" s="129"/>
      <x:c r="F19" s="121"/>
      <x:c r="G19" s="121"/>
      <x:c r="H19" s="121"/>
      <x:c r="I19" s="123" t="str">
        <x:f>IF(A19="","",MAX(0,100*(1-(C19-MIN($C$5:$C$20))/(MAX($C$5:$C$20)-MIN($C$5:$C$20)+0.0001))))</x:f>
      </x:c>
      <x:c r="J19" s="123" t="str">
        <x:f>IF(A19="","",IF(D19="Kyllä",100,0))</x:f>
      </x:c>
      <x:c r="K19" s="123" t="str">
        <x:f>IF(A19="","",I19*0.35+J19*0.25+E19*100*0.2+F19*0.1+G19*0.1)</x:f>
      </x:c>
      <x:c r="L19" s="123" t="str">
        <x:f>IF(A19="","",IF(K19=MAX($K$5:$K$20),"VALITSE",""))</x:f>
      </x:c>
      <x:c r="M19" s="123" t="str">
        <x:f>IF(L19="VALITSE","Paras kokonaispiste","")</x:f>
      </x:c>
      <x:c r="N19" s="121"/>
    </x:row>
    <x:row r="20">
      <x:c r="A20" s="121"/>
      <x:c r="B20" s="121"/>
      <x:c r="C20" s="128"/>
      <x:c r="D20" s="121"/>
      <x:c r="E20" s="129"/>
      <x:c r="F20" s="121"/>
      <x:c r="G20" s="121"/>
      <x:c r="H20" s="121"/>
      <x:c r="I20" s="123" t="str">
        <x:f>IF(A20="","",MAX(0,100*(1-(C20-MIN($C$5:$C$20))/(MAX($C$5:$C$20)-MIN($C$5:$C$20)+0.0001))))</x:f>
      </x:c>
      <x:c r="J20" s="123" t="str">
        <x:f>IF(A20="","",IF(D20="Kyllä",100,0))</x:f>
      </x:c>
      <x:c r="K20" s="123" t="str">
        <x:f>IF(A20="","",I20*0.35+J20*0.25+E20*100*0.2+F20*0.1+G20*0.1)</x:f>
      </x:c>
      <x:c r="L20" s="123" t="str">
        <x:f>IF(A20="","",IF(K20=MAX($K$5:$K$20),"VALITSE",""))</x:f>
      </x:c>
      <x:c r="M20" s="123" t="str">
        <x:f>IF(L20="VALITSE","Paras kokonaispiste","")</x:f>
      </x:c>
      <x:c r="N20" s="121"/>
    </x:row>
    <x:row r="21">
      <x:c r="A21" s="121"/>
      <x:c r="B21" s="121"/>
      <x:c r="C21" s="128"/>
      <x:c r="D21" s="121"/>
      <x:c r="E21" s="129"/>
      <x:c r="F21" s="121"/>
      <x:c r="G21" s="121"/>
      <x:c r="H21" s="121"/>
      <x:c r="I21" s="123"/>
      <x:c r="J21" s="123"/>
      <x:c r="K21" s="123"/>
      <x:c r="L21" s="123"/>
      <x:c r="M21" s="123"/>
      <x:c r="N21" s="121"/>
    </x:row>
  </x:sheetData>
  <x:mergeCells>
    <x:mergeCell ref="A1:N1"/>
    <x:mergeCell ref="A2:N2"/>
  </x:mergeCells>
  <x:dataValidations count="1">
    <x:dataValidation type="list" sqref="D5:D21">
      <x:formula1>"Kyllä,Ei"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a36fa6e08040a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</x:cols>
  <x:sheetData>
    <x:row r="1">
      <x:c r="A1" s="108" t="str">
        <x:v>5. Cost per Order – kustannus per tilaus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Jakaa kuljetuksen kustannukset tilauksille lavapaikkojen ja kilometrien mukaan.</x:v>
      </x:c>
    </x:row>
    <x:row r="4">
      <x:c r="A4" s="118" t="str">
        <x:v>Order ID</x:v>
      </x:c>
      <x:c r="B4" s="118" t="str">
        <x:v>Reitti ID</x:v>
      </x:c>
      <x:c r="C4" s="118" t="str">
        <x:v>Asiakas</x:v>
      </x:c>
      <x:c r="D4" s="118" t="str">
        <x:v>Lavapaikat</x:v>
      </x:c>
      <x:c r="E4" s="118" t="str">
        <x:v>Km</x:v>
      </x:c>
      <x:c r="F4" s="118" t="str">
        <x:v>Myynti €</x:v>
      </x:c>
      <x:c r="G4" s="118" t="str">
        <x:v>Kuljetuskulu €</x:v>
      </x:c>
      <x:c r="H4" s="118" t="str">
        <x:v>Osuus lavapaikoista</x:v>
      </x:c>
      <x:c r="I4" s="118" t="str">
        <x:v>Allocated cost €</x:v>
      </x:c>
      <x:c r="J4" s="118" t="str">
        <x:v>Kate €</x:v>
      </x:c>
      <x:c r="K4" s="118" t="str">
        <x:v>Kate %</x:v>
      </x:c>
      <x:c r="L4" s="118" t="str">
        <x:v>€/km</x:v>
      </x:c>
      <x:c r="M4" s="118" t="str">
        <x:v>Status</x:v>
      </x:c>
      <x:c r="N4" s="118" t="str">
        <x:v>Huomio</x:v>
      </x:c>
    </x:row>
    <x:row r="5">
      <x:c r="A5" s="121" t="str">
        <x:v>O-1001</x:v>
      </x:c>
      <x:c r="B5" s="121" t="str">
        <x:v>R1</x:v>
      </x:c>
      <x:c r="C5" s="121" t="str">
        <x:v>Asiakas A</x:v>
      </x:c>
      <x:c r="D5" s="121" t="n">
        <x:v>8</x:v>
      </x:c>
      <x:c r="E5" s="121" t="n">
        <x:v>145</x:v>
      </x:c>
      <x:c r="F5" s="128" t="n">
        <x:v>450</x:v>
      </x:c>
      <x:c r="G5" s="128" t="n">
        <x:v>700</x:v>
      </x:c>
      <x:c r="H5" s="130" t="n">
        <x:f>IF(A5="","",D5/SUMIF($B$5:$B$40,B5,$D$5:$D$40))</x:f>
        <x:v>0.4444444444444444</x:v>
      </x:c>
      <x:c r="I5" s="130" t="n">
        <x:f>IF(A5="","",G5*H5)</x:f>
        <x:v>311.1111111111111</x:v>
      </x:c>
      <x:c r="J5" s="130" t="n">
        <x:f>IF(A5="","",F5-I5)</x:f>
        <x:v>138.8888888888889</x:v>
      </x:c>
      <x:c r="K5" s="124" t="n">
        <x:f>IF(F5=0,"",J5/F5)</x:f>
        <x:v>0.308641975308642</x:v>
      </x:c>
      <x:c r="L5" s="131" t="n">
        <x:f>IF(E5=0,"",F5/E5)</x:f>
        <x:v>3.103448275862069</x:v>
      </x:c>
      <x:c r="M5" s="123" t="str">
        <x:f>IF(A5="","",IF(K5&lt;0.12,"Punainen",IF(K5&lt;0.15,"Keltainen","OK")))</x:f>
        <x:v>OK</x:v>
      </x:c>
      <x:c r="N5" s="121" t="str"/>
    </x:row>
    <x:row r="6">
      <x:c r="A6" s="121" t="str">
        <x:v>O-1002</x:v>
      </x:c>
      <x:c r="B6" s="121" t="str">
        <x:v>R1</x:v>
      </x:c>
      <x:c r="C6" s="121" t="str">
        <x:v>Asiakas A</x:v>
      </x:c>
      <x:c r="D6" s="121" t="n">
        <x:v>10</x:v>
      </x:c>
      <x:c r="E6" s="121" t="n">
        <x:v>145</x:v>
      </x:c>
      <x:c r="F6" s="128" t="n">
        <x:v>520</x:v>
      </x:c>
      <x:c r="G6" s="128" t="n">
        <x:v>700</x:v>
      </x:c>
      <x:c r="H6" s="130" t="n">
        <x:f>IF(A6="","",D6/SUMIF($B$5:$B$40,B6,$D$5:$D$40))</x:f>
        <x:v>0.5555555555555556</x:v>
      </x:c>
      <x:c r="I6" s="130" t="n">
        <x:f>IF(A6="","",G6*H6)</x:f>
        <x:v>388.8888888888889</x:v>
      </x:c>
      <x:c r="J6" s="130" t="n">
        <x:f>IF(A6="","",F6-I6)</x:f>
        <x:v>131.1111111111111</x:v>
      </x:c>
      <x:c r="K6" s="124" t="n">
        <x:f>IF(F6=0,"",J6/F6)</x:f>
        <x:v>0.2521367521367521</x:v>
      </x:c>
      <x:c r="L6" s="131" t="n">
        <x:f>IF(E6=0,"",F6/E6)</x:f>
        <x:v>3.586206896551724</x:v>
      </x:c>
      <x:c r="M6" s="123" t="str">
        <x:f>IF(A6="","",IF(K6&lt;0.12,"Punainen",IF(K6&lt;0.15,"Keltainen","OK")))</x:f>
        <x:v>OK</x:v>
      </x:c>
      <x:c r="N6" s="121" t="str"/>
    </x:row>
    <x:row r="7">
      <x:c r="A7" s="121" t="str">
        <x:v>O-1003</x:v>
      </x:c>
      <x:c r="B7" s="121" t="str">
        <x:v>R3</x:v>
      </x:c>
      <x:c r="C7" s="121" t="str">
        <x:v>Asiakas B</x:v>
      </x:c>
      <x:c r="D7" s="121" t="n">
        <x:v>12</x:v>
      </x:c>
      <x:c r="E7" s="121" t="n">
        <x:v>610</x:v>
      </x:c>
      <x:c r="F7" s="128" t="n">
        <x:v>900</x:v>
      </x:c>
      <x:c r="G7" s="128" t="n">
        <x:v>1200</x:v>
      </x:c>
      <x:c r="H7" s="130" t="n">
        <x:f>IF(A7="","",D7/SUMIF($B$5:$B$40,B7,$D$5:$D$40))</x:f>
        <x:v>1</x:v>
      </x:c>
      <x:c r="I7" s="130" t="n">
        <x:f>IF(A7="","",G7*H7)</x:f>
        <x:v>1200</x:v>
      </x:c>
      <x:c r="J7" s="130" t="n">
        <x:f>IF(A7="","",F7-I7)</x:f>
        <x:v>-300</x:v>
      </x:c>
      <x:c r="K7" s="124" t="n">
        <x:f>IF(F7=0,"",J7/F7)</x:f>
        <x:v>-0.3333333333333333</x:v>
      </x:c>
      <x:c r="L7" s="131" t="n">
        <x:f>IF(E7=0,"",F7/E7)</x:f>
        <x:v>1.4754098360655739</x:v>
      </x:c>
      <x:c r="M7" s="123" t="str">
        <x:f>IF(A7="","",IF(K7&lt;0.12,"Punainen",IF(K7&lt;0.15,"Keltainen","OK")))</x:f>
        <x:v>Punainen</x:v>
      </x:c>
      <x:c r="N7" s="121" t="str"/>
    </x:row>
    <x:row r="8">
      <x:c r="A8" s="121" t="str">
        <x:v>O-1004</x:v>
      </x:c>
      <x:c r="B8" s="121" t="str">
        <x:v>R5</x:v>
      </x:c>
      <x:c r="C8" s="121" t="str">
        <x:v>Asiakas F</x:v>
      </x:c>
      <x:c r="D8" s="121" t="n">
        <x:v>6</x:v>
      </x:c>
      <x:c r="E8" s="121" t="n">
        <x:v>455</x:v>
      </x:c>
      <x:c r="F8" s="128" t="n">
        <x:v>650</x:v>
      </x:c>
      <x:c r="G8" s="128" t="n">
        <x:v>950</x:v>
      </x:c>
      <x:c r="H8" s="130" t="n">
        <x:f>IF(A8="","",D8/SUMIF($B$5:$B$40,B8,$D$5:$D$40))</x:f>
        <x:v>1</x:v>
      </x:c>
      <x:c r="I8" s="130" t="n">
        <x:f>IF(A8="","",G8*H8)</x:f>
        <x:v>950</x:v>
      </x:c>
      <x:c r="J8" s="130" t="n">
        <x:f>IF(A8="","",F8-I8)</x:f>
        <x:v>-300</x:v>
      </x:c>
      <x:c r="K8" s="124" t="n">
        <x:f>IF(F8=0,"",J8/F8)</x:f>
        <x:v>-0.46153846153846156</x:v>
      </x:c>
      <x:c r="L8" s="131" t="n">
        <x:f>IF(E8=0,"",F8/E8)</x:f>
        <x:v>1.4285714285714286</x:v>
      </x:c>
      <x:c r="M8" s="123" t="str">
        <x:f>IF(A8="","",IF(K8&lt;0.12,"Punainen",IF(K8&lt;0.15,"Keltainen","OK")))</x:f>
        <x:v>Punainen</x:v>
      </x:c>
      <x:c r="N8" s="121" t="str"/>
    </x:row>
    <x:row r="9">
      <x:c r="A9" s="121"/>
      <x:c r="B9" s="121"/>
      <x:c r="C9" s="121"/>
      <x:c r="D9" s="121"/>
      <x:c r="E9" s="121"/>
      <x:c r="F9" s="128"/>
      <x:c r="G9" s="128"/>
      <x:c r="H9" s="130" t="str">
        <x:f>IF(A9="","",D9/SUMIF($B$5:$B$40,B9,$D$5:$D$40))</x:f>
      </x:c>
      <x:c r="I9" s="130" t="str">
        <x:f>IF(A9="","",G9*H9)</x:f>
      </x:c>
      <x:c r="J9" s="130" t="str">
        <x:f>IF(A9="","",F9-I9)</x:f>
      </x:c>
      <x:c r="K9" s="124" t="str">
        <x:f>IF(F9=0,"",J9/F9)</x:f>
      </x:c>
      <x:c r="L9" s="131" t="str">
        <x:f>IF(E9=0,"",F9/E9)</x:f>
      </x:c>
      <x:c r="M9" s="123" t="str">
        <x:f>IF(A9="","",IF(K9&lt;0.12,"Punainen",IF(K9&lt;0.15,"Keltainen","OK")))</x:f>
      </x:c>
      <x:c r="N9" s="121"/>
    </x:row>
    <x:row r="10">
      <x:c r="A10" s="121"/>
      <x:c r="B10" s="121"/>
      <x:c r="C10" s="121"/>
      <x:c r="D10" s="121"/>
      <x:c r="E10" s="121"/>
      <x:c r="F10" s="128"/>
      <x:c r="G10" s="128"/>
      <x:c r="H10" s="130" t="str">
        <x:f>IF(A10="","",D10/SUMIF($B$5:$B$40,B10,$D$5:$D$40))</x:f>
      </x:c>
      <x:c r="I10" s="130" t="str">
        <x:f>IF(A10="","",G10*H10)</x:f>
      </x:c>
      <x:c r="J10" s="130" t="str">
        <x:f>IF(A10="","",F10-I10)</x:f>
      </x:c>
      <x:c r="K10" s="124" t="str">
        <x:f>IF(F10=0,"",J10/F10)</x:f>
      </x:c>
      <x:c r="L10" s="131" t="str">
        <x:f>IF(E10=0,"",F10/E10)</x:f>
      </x:c>
      <x:c r="M10" s="123" t="str">
        <x:f>IF(A10="","",IF(K10&lt;0.12,"Punainen",IF(K10&lt;0.15,"Keltainen","OK")))</x:f>
      </x:c>
      <x:c r="N10" s="121"/>
    </x:row>
    <x:row r="11">
      <x:c r="A11" s="121"/>
      <x:c r="B11" s="121"/>
      <x:c r="C11" s="121"/>
      <x:c r="D11" s="121"/>
      <x:c r="E11" s="121"/>
      <x:c r="F11" s="128"/>
      <x:c r="G11" s="128"/>
      <x:c r="H11" s="130" t="str">
        <x:f>IF(A11="","",D11/SUMIF($B$5:$B$40,B11,$D$5:$D$40))</x:f>
      </x:c>
      <x:c r="I11" s="130" t="str">
        <x:f>IF(A11="","",G11*H11)</x:f>
      </x:c>
      <x:c r="J11" s="130" t="str">
        <x:f>IF(A11="","",F11-I11)</x:f>
      </x:c>
      <x:c r="K11" s="124" t="str">
        <x:f>IF(F11=0,"",J11/F11)</x:f>
      </x:c>
      <x:c r="L11" s="131" t="str">
        <x:f>IF(E11=0,"",F11/E11)</x:f>
      </x:c>
      <x:c r="M11" s="123" t="str">
        <x:f>IF(A11="","",IF(K11&lt;0.12,"Punainen",IF(K11&lt;0.15,"Keltainen","OK")))</x:f>
      </x:c>
      <x:c r="N11" s="121"/>
    </x:row>
    <x:row r="12">
      <x:c r="A12" s="121"/>
      <x:c r="B12" s="121"/>
      <x:c r="C12" s="121"/>
      <x:c r="D12" s="121"/>
      <x:c r="E12" s="121"/>
      <x:c r="F12" s="128"/>
      <x:c r="G12" s="128"/>
      <x:c r="H12" s="130" t="str">
        <x:f>IF(A12="","",D12/SUMIF($B$5:$B$40,B12,$D$5:$D$40))</x:f>
      </x:c>
      <x:c r="I12" s="130" t="str">
        <x:f>IF(A12="","",G12*H12)</x:f>
      </x:c>
      <x:c r="J12" s="130" t="str">
        <x:f>IF(A12="","",F12-I12)</x:f>
      </x:c>
      <x:c r="K12" s="124" t="str">
        <x:f>IF(F12=0,"",J12/F12)</x:f>
      </x:c>
      <x:c r="L12" s="131" t="str">
        <x:f>IF(E12=0,"",F12/E12)</x:f>
      </x:c>
      <x:c r="M12" s="123" t="str">
        <x:f>IF(A12="","",IF(K12&lt;0.12,"Punainen",IF(K12&lt;0.15,"Keltainen","OK")))</x:f>
      </x:c>
      <x:c r="N12" s="121"/>
    </x:row>
    <x:row r="13">
      <x:c r="A13" s="121"/>
      <x:c r="B13" s="121"/>
      <x:c r="C13" s="121"/>
      <x:c r="D13" s="121"/>
      <x:c r="E13" s="121"/>
      <x:c r="F13" s="128"/>
      <x:c r="G13" s="128"/>
      <x:c r="H13" s="130" t="str">
        <x:f>IF(A13="","",D13/SUMIF($B$5:$B$40,B13,$D$5:$D$40))</x:f>
      </x:c>
      <x:c r="I13" s="130" t="str">
        <x:f>IF(A13="","",G13*H13)</x:f>
      </x:c>
      <x:c r="J13" s="130" t="str">
        <x:f>IF(A13="","",F13-I13)</x:f>
      </x:c>
      <x:c r="K13" s="124" t="str">
        <x:f>IF(F13=0,"",J13/F13)</x:f>
      </x:c>
      <x:c r="L13" s="131" t="str">
        <x:f>IF(E13=0,"",F13/E13)</x:f>
      </x:c>
      <x:c r="M13" s="123" t="str">
        <x:f>IF(A13="","",IF(K13&lt;0.12,"Punainen",IF(K13&lt;0.15,"Keltainen","OK")))</x:f>
      </x:c>
      <x:c r="N13" s="121"/>
    </x:row>
    <x:row r="14">
      <x:c r="A14" s="121"/>
      <x:c r="B14" s="121"/>
      <x:c r="C14" s="121"/>
      <x:c r="D14" s="121"/>
      <x:c r="E14" s="121"/>
      <x:c r="F14" s="128"/>
      <x:c r="G14" s="128"/>
      <x:c r="H14" s="130" t="str">
        <x:f>IF(A14="","",D14/SUMIF($B$5:$B$40,B14,$D$5:$D$40))</x:f>
      </x:c>
      <x:c r="I14" s="130" t="str">
        <x:f>IF(A14="","",G14*H14)</x:f>
      </x:c>
      <x:c r="J14" s="130" t="str">
        <x:f>IF(A14="","",F14-I14)</x:f>
      </x:c>
      <x:c r="K14" s="124" t="str">
        <x:f>IF(F14=0,"",J14/F14)</x:f>
      </x:c>
      <x:c r="L14" s="131" t="str">
        <x:f>IF(E14=0,"",F14/E14)</x:f>
      </x:c>
      <x:c r="M14" s="123" t="str">
        <x:f>IF(A14="","",IF(K14&lt;0.12,"Punainen",IF(K14&lt;0.15,"Keltainen","OK")))</x:f>
      </x:c>
      <x:c r="N14" s="121"/>
    </x:row>
    <x:row r="15">
      <x:c r="A15" s="121"/>
      <x:c r="B15" s="121"/>
      <x:c r="C15" s="121"/>
      <x:c r="D15" s="121"/>
      <x:c r="E15" s="121"/>
      <x:c r="F15" s="128"/>
      <x:c r="G15" s="128"/>
      <x:c r="H15" s="130" t="str">
        <x:f>IF(A15="","",D15/SUMIF($B$5:$B$40,B15,$D$5:$D$40))</x:f>
      </x:c>
      <x:c r="I15" s="130" t="str">
        <x:f>IF(A15="","",G15*H15)</x:f>
      </x:c>
      <x:c r="J15" s="130" t="str">
        <x:f>IF(A15="","",F15-I15)</x:f>
      </x:c>
      <x:c r="K15" s="124" t="str">
        <x:f>IF(F15=0,"",J15/F15)</x:f>
      </x:c>
      <x:c r="L15" s="131" t="str">
        <x:f>IF(E15=0,"",F15/E15)</x:f>
      </x:c>
      <x:c r="M15" s="123" t="str">
        <x:f>IF(A15="","",IF(K15&lt;0.12,"Punainen",IF(K15&lt;0.15,"Keltainen","OK")))</x:f>
      </x:c>
      <x:c r="N15" s="121"/>
    </x:row>
    <x:row r="16">
      <x:c r="A16" s="121"/>
      <x:c r="B16" s="121"/>
      <x:c r="C16" s="121"/>
      <x:c r="D16" s="121"/>
      <x:c r="E16" s="121"/>
      <x:c r="F16" s="128"/>
      <x:c r="G16" s="128"/>
      <x:c r="H16" s="130" t="str">
        <x:f>IF(A16="","",D16/SUMIF($B$5:$B$40,B16,$D$5:$D$40))</x:f>
      </x:c>
      <x:c r="I16" s="130" t="str">
        <x:f>IF(A16="","",G16*H16)</x:f>
      </x:c>
      <x:c r="J16" s="130" t="str">
        <x:f>IF(A16="","",F16-I16)</x:f>
      </x:c>
      <x:c r="K16" s="124" t="str">
        <x:f>IF(F16=0,"",J16/F16)</x:f>
      </x:c>
      <x:c r="L16" s="131" t="str">
        <x:f>IF(E16=0,"",F16/E16)</x:f>
      </x:c>
      <x:c r="M16" s="123" t="str">
        <x:f>IF(A16="","",IF(K16&lt;0.12,"Punainen",IF(K16&lt;0.15,"Keltainen","OK")))</x:f>
      </x:c>
      <x:c r="N16" s="121"/>
    </x:row>
    <x:row r="17">
      <x:c r="A17" s="121"/>
      <x:c r="B17" s="121"/>
      <x:c r="C17" s="121"/>
      <x:c r="D17" s="121"/>
      <x:c r="E17" s="121"/>
      <x:c r="F17" s="128"/>
      <x:c r="G17" s="128"/>
      <x:c r="H17" s="130" t="str">
        <x:f>IF(A17="","",D17/SUMIF($B$5:$B$40,B17,$D$5:$D$40))</x:f>
      </x:c>
      <x:c r="I17" s="130" t="str">
        <x:f>IF(A17="","",G17*H17)</x:f>
      </x:c>
      <x:c r="J17" s="130" t="str">
        <x:f>IF(A17="","",F17-I17)</x:f>
      </x:c>
      <x:c r="K17" s="124" t="str">
        <x:f>IF(F17=0,"",J17/F17)</x:f>
      </x:c>
      <x:c r="L17" s="131" t="str">
        <x:f>IF(E17=0,"",F17/E17)</x:f>
      </x:c>
      <x:c r="M17" s="123" t="str">
        <x:f>IF(A17="","",IF(K17&lt;0.12,"Punainen",IF(K17&lt;0.15,"Keltainen","OK")))</x:f>
      </x:c>
      <x:c r="N17" s="121"/>
    </x:row>
    <x:row r="18">
      <x:c r="A18" s="121"/>
      <x:c r="B18" s="121"/>
      <x:c r="C18" s="121"/>
      <x:c r="D18" s="121"/>
      <x:c r="E18" s="121"/>
      <x:c r="F18" s="128"/>
      <x:c r="G18" s="128"/>
      <x:c r="H18" s="130" t="str">
        <x:f>IF(A18="","",D18/SUMIF($B$5:$B$40,B18,$D$5:$D$40))</x:f>
      </x:c>
      <x:c r="I18" s="130" t="str">
        <x:f>IF(A18="","",G18*H18)</x:f>
      </x:c>
      <x:c r="J18" s="130" t="str">
        <x:f>IF(A18="","",F18-I18)</x:f>
      </x:c>
      <x:c r="K18" s="124" t="str">
        <x:f>IF(F18=0,"",J18/F18)</x:f>
      </x:c>
      <x:c r="L18" s="131" t="str">
        <x:f>IF(E18=0,"",F18/E18)</x:f>
      </x:c>
      <x:c r="M18" s="123" t="str">
        <x:f>IF(A18="","",IF(K18&lt;0.12,"Punainen",IF(K18&lt;0.15,"Keltainen","OK")))</x:f>
      </x:c>
      <x:c r="N18" s="121"/>
    </x:row>
    <x:row r="19">
      <x:c r="A19" s="121"/>
      <x:c r="B19" s="121"/>
      <x:c r="C19" s="121"/>
      <x:c r="D19" s="121"/>
      <x:c r="E19" s="121"/>
      <x:c r="F19" s="128"/>
      <x:c r="G19" s="128"/>
      <x:c r="H19" s="130" t="str">
        <x:f>IF(A19="","",D19/SUMIF($B$5:$B$40,B19,$D$5:$D$40))</x:f>
      </x:c>
      <x:c r="I19" s="130" t="str">
        <x:f>IF(A19="","",G19*H19)</x:f>
      </x:c>
      <x:c r="J19" s="130" t="str">
        <x:f>IF(A19="","",F19-I19)</x:f>
      </x:c>
      <x:c r="K19" s="124" t="str">
        <x:f>IF(F19=0,"",J19/F19)</x:f>
      </x:c>
      <x:c r="L19" s="131" t="str">
        <x:f>IF(E19=0,"",F19/E19)</x:f>
      </x:c>
      <x:c r="M19" s="123" t="str">
        <x:f>IF(A19="","",IF(K19&lt;0.12,"Punainen",IF(K19&lt;0.15,"Keltainen","OK")))</x:f>
      </x:c>
      <x:c r="N19" s="121"/>
    </x:row>
    <x:row r="20">
      <x:c r="A20" s="121"/>
      <x:c r="B20" s="121"/>
      <x:c r="C20" s="121"/>
      <x:c r="D20" s="121"/>
      <x:c r="E20" s="121"/>
      <x:c r="F20" s="128"/>
      <x:c r="G20" s="128"/>
      <x:c r="H20" s="130" t="str">
        <x:f>IF(A20="","",D20/SUMIF($B$5:$B$40,B20,$D$5:$D$40))</x:f>
      </x:c>
      <x:c r="I20" s="130" t="str">
        <x:f>IF(A20="","",G20*H20)</x:f>
      </x:c>
      <x:c r="J20" s="130" t="str">
        <x:f>IF(A20="","",F20-I20)</x:f>
      </x:c>
      <x:c r="K20" s="124" t="str">
        <x:f>IF(F20=0,"",J20/F20)</x:f>
      </x:c>
      <x:c r="L20" s="131" t="str">
        <x:f>IF(E20=0,"",F20/E20)</x:f>
      </x:c>
      <x:c r="M20" s="123" t="str">
        <x:f>IF(A20="","",IF(K20&lt;0.12,"Punainen",IF(K20&lt;0.15,"Keltainen","OK")))</x:f>
      </x:c>
      <x:c r="N20" s="121"/>
    </x:row>
    <x:row r="21">
      <x:c r="A21" s="121"/>
      <x:c r="B21" s="121"/>
      <x:c r="C21" s="121"/>
      <x:c r="D21" s="121"/>
      <x:c r="E21" s="121"/>
      <x:c r="F21" s="128"/>
      <x:c r="G21" s="128"/>
      <x:c r="H21" s="130" t="str">
        <x:f>IF(A21="","",D21/SUMIF($B$5:$B$40,B21,$D$5:$D$40))</x:f>
      </x:c>
      <x:c r="I21" s="130" t="str">
        <x:f>IF(A21="","",G21*H21)</x:f>
      </x:c>
      <x:c r="J21" s="130" t="str">
        <x:f>IF(A21="","",F21-I21)</x:f>
      </x:c>
      <x:c r="K21" s="124" t="str">
        <x:f>IF(F21=0,"",J21/F21)</x:f>
      </x:c>
      <x:c r="L21" s="131" t="str">
        <x:f>IF(E21=0,"",F21/E21)</x:f>
      </x:c>
      <x:c r="M21" s="123" t="str">
        <x:f>IF(A21="","",IF(K21&lt;0.12,"Punainen",IF(K21&lt;0.15,"Keltainen","OK")))</x:f>
      </x:c>
      <x:c r="N21" s="121"/>
    </x:row>
    <x:row r="22">
      <x:c r="A22" s="121"/>
      <x:c r="B22" s="121"/>
      <x:c r="C22" s="121"/>
      <x:c r="D22" s="121"/>
      <x:c r="E22" s="121"/>
      <x:c r="F22" s="128"/>
      <x:c r="G22" s="128"/>
      <x:c r="H22" s="130" t="str">
        <x:f>IF(A22="","",D22/SUMIF($B$5:$B$40,B22,$D$5:$D$40))</x:f>
      </x:c>
      <x:c r="I22" s="130" t="str">
        <x:f>IF(A22="","",G22*H22)</x:f>
      </x:c>
      <x:c r="J22" s="130" t="str">
        <x:f>IF(A22="","",F22-I22)</x:f>
      </x:c>
      <x:c r="K22" s="124" t="str">
        <x:f>IF(F22=0,"",J22/F22)</x:f>
      </x:c>
      <x:c r="L22" s="131" t="str">
        <x:f>IF(E22=0,"",F22/E22)</x:f>
      </x:c>
      <x:c r="M22" s="123" t="str">
        <x:f>IF(A22="","",IF(K22&lt;0.12,"Punainen",IF(K22&lt;0.15,"Keltainen","OK")))</x:f>
      </x:c>
      <x:c r="N22" s="121"/>
    </x:row>
    <x:row r="23">
      <x:c r="A23" s="121"/>
      <x:c r="B23" s="121"/>
      <x:c r="C23" s="121"/>
      <x:c r="D23" s="121"/>
      <x:c r="E23" s="121"/>
      <x:c r="F23" s="128"/>
      <x:c r="G23" s="128"/>
      <x:c r="H23" s="130" t="str">
        <x:f>IF(A23="","",D23/SUMIF($B$5:$B$40,B23,$D$5:$D$40))</x:f>
      </x:c>
      <x:c r="I23" s="130" t="str">
        <x:f>IF(A23="","",G23*H23)</x:f>
      </x:c>
      <x:c r="J23" s="130" t="str">
        <x:f>IF(A23="","",F23-I23)</x:f>
      </x:c>
      <x:c r="K23" s="124" t="str">
        <x:f>IF(F23=0,"",J23/F23)</x:f>
      </x:c>
      <x:c r="L23" s="131" t="str">
        <x:f>IF(E23=0,"",F23/E23)</x:f>
      </x:c>
      <x:c r="M23" s="123" t="str">
        <x:f>IF(A23="","",IF(K23&lt;0.12,"Punainen",IF(K23&lt;0.15,"Keltainen","OK")))</x:f>
      </x:c>
      <x:c r="N23" s="121"/>
    </x:row>
    <x:row r="24">
      <x:c r="A24" s="121"/>
      <x:c r="B24" s="121"/>
      <x:c r="C24" s="121"/>
      <x:c r="D24" s="121"/>
      <x:c r="E24" s="121"/>
      <x:c r="F24" s="128"/>
      <x:c r="G24" s="128"/>
      <x:c r="H24" s="130" t="str">
        <x:f>IF(A24="","",D24/SUMIF($B$5:$B$40,B24,$D$5:$D$40))</x:f>
      </x:c>
      <x:c r="I24" s="130" t="str">
        <x:f>IF(A24="","",G24*H24)</x:f>
      </x:c>
      <x:c r="J24" s="130" t="str">
        <x:f>IF(A24="","",F24-I24)</x:f>
      </x:c>
      <x:c r="K24" s="124" t="str">
        <x:f>IF(F24=0,"",J24/F24)</x:f>
      </x:c>
      <x:c r="L24" s="131" t="str">
        <x:f>IF(E24=0,"",F24/E24)</x:f>
      </x:c>
      <x:c r="M24" s="123" t="str">
        <x:f>IF(A24="","",IF(K24&lt;0.12,"Punainen",IF(K24&lt;0.15,"Keltainen","OK")))</x:f>
      </x:c>
      <x:c r="N24" s="121"/>
    </x:row>
    <x:row r="25">
      <x:c r="A25" s="121"/>
      <x:c r="B25" s="121"/>
      <x:c r="C25" s="121"/>
      <x:c r="D25" s="121"/>
      <x:c r="E25" s="121"/>
      <x:c r="F25" s="128"/>
      <x:c r="G25" s="128"/>
      <x:c r="H25" s="130" t="str">
        <x:f>IF(A25="","",D25/SUMIF($B$5:$B$40,B25,$D$5:$D$40))</x:f>
      </x:c>
      <x:c r="I25" s="130" t="str">
        <x:f>IF(A25="","",G25*H25)</x:f>
      </x:c>
      <x:c r="J25" s="130" t="str">
        <x:f>IF(A25="","",F25-I25)</x:f>
      </x:c>
      <x:c r="K25" s="124" t="str">
        <x:f>IF(F25=0,"",J25/F25)</x:f>
      </x:c>
      <x:c r="L25" s="131" t="str">
        <x:f>IF(E25=0,"",F25/E25)</x:f>
      </x:c>
      <x:c r="M25" s="123" t="str">
        <x:f>IF(A25="","",IF(K25&lt;0.12,"Punainen",IF(K25&lt;0.15,"Keltainen","OK")))</x:f>
      </x:c>
      <x:c r="N25" s="121"/>
    </x:row>
    <x:row r="26">
      <x:c r="A26" s="121"/>
      <x:c r="B26" s="121"/>
      <x:c r="C26" s="121"/>
      <x:c r="D26" s="121"/>
      <x:c r="E26" s="121"/>
      <x:c r="F26" s="128"/>
      <x:c r="G26" s="128"/>
      <x:c r="H26" s="130" t="str">
        <x:f>IF(A26="","",D26/SUMIF($B$5:$B$40,B26,$D$5:$D$40))</x:f>
      </x:c>
      <x:c r="I26" s="130" t="str">
        <x:f>IF(A26="","",G26*H26)</x:f>
      </x:c>
      <x:c r="J26" s="130" t="str">
        <x:f>IF(A26="","",F26-I26)</x:f>
      </x:c>
      <x:c r="K26" s="124" t="str">
        <x:f>IF(F26=0,"",J26/F26)</x:f>
      </x:c>
      <x:c r="L26" s="131" t="str">
        <x:f>IF(E26=0,"",F26/E26)</x:f>
      </x:c>
      <x:c r="M26" s="123" t="str">
        <x:f>IF(A26="","",IF(K26&lt;0.12,"Punainen",IF(K26&lt;0.15,"Keltainen","OK")))</x:f>
      </x:c>
      <x:c r="N26" s="121"/>
    </x:row>
    <x:row r="27">
      <x:c r="A27" s="121"/>
      <x:c r="B27" s="121"/>
      <x:c r="C27" s="121"/>
      <x:c r="D27" s="121"/>
      <x:c r="E27" s="121"/>
      <x:c r="F27" s="128"/>
      <x:c r="G27" s="128"/>
      <x:c r="H27" s="130" t="str">
        <x:f>IF(A27="","",D27/SUMIF($B$5:$B$40,B27,$D$5:$D$40))</x:f>
      </x:c>
      <x:c r="I27" s="130" t="str">
        <x:f>IF(A27="","",G27*H27)</x:f>
      </x:c>
      <x:c r="J27" s="130" t="str">
        <x:f>IF(A27="","",F27-I27)</x:f>
      </x:c>
      <x:c r="K27" s="124" t="str">
        <x:f>IF(F27=0,"",J27/F27)</x:f>
      </x:c>
      <x:c r="L27" s="131" t="str">
        <x:f>IF(E27=0,"",F27/E27)</x:f>
      </x:c>
      <x:c r="M27" s="123" t="str">
        <x:f>IF(A27="","",IF(K27&lt;0.12,"Punainen",IF(K27&lt;0.15,"Keltainen","OK")))</x:f>
      </x:c>
      <x:c r="N27" s="121"/>
    </x:row>
    <x:row r="28">
      <x:c r="A28" s="121"/>
      <x:c r="B28" s="121"/>
      <x:c r="C28" s="121"/>
      <x:c r="D28" s="121"/>
      <x:c r="E28" s="121"/>
      <x:c r="F28" s="128"/>
      <x:c r="G28" s="128"/>
      <x:c r="H28" s="130" t="str">
        <x:f>IF(A28="","",D28/SUMIF($B$5:$B$40,B28,$D$5:$D$40))</x:f>
      </x:c>
      <x:c r="I28" s="130" t="str">
        <x:f>IF(A28="","",G28*H28)</x:f>
      </x:c>
      <x:c r="J28" s="130" t="str">
        <x:f>IF(A28="","",F28-I28)</x:f>
      </x:c>
      <x:c r="K28" s="124" t="str">
        <x:f>IF(F28=0,"",J28/F28)</x:f>
      </x:c>
      <x:c r="L28" s="131" t="str">
        <x:f>IF(E28=0,"",F28/E28)</x:f>
      </x:c>
      <x:c r="M28" s="123" t="str">
        <x:f>IF(A28="","",IF(K28&lt;0.12,"Punainen",IF(K28&lt;0.15,"Keltainen","OK")))</x:f>
      </x:c>
      <x:c r="N28" s="121"/>
    </x:row>
    <x:row r="29">
      <x:c r="A29" s="121"/>
      <x:c r="B29" s="121"/>
      <x:c r="C29" s="121"/>
      <x:c r="D29" s="121"/>
      <x:c r="E29" s="121"/>
      <x:c r="F29" s="128"/>
      <x:c r="G29" s="128"/>
      <x:c r="H29" s="130" t="str">
        <x:f>IF(A29="","",D29/SUMIF($B$5:$B$40,B29,$D$5:$D$40))</x:f>
      </x:c>
      <x:c r="I29" s="130" t="str">
        <x:f>IF(A29="","",G29*H29)</x:f>
      </x:c>
      <x:c r="J29" s="130" t="str">
        <x:f>IF(A29="","",F29-I29)</x:f>
      </x:c>
      <x:c r="K29" s="124" t="str">
        <x:f>IF(F29=0,"",J29/F29)</x:f>
      </x:c>
      <x:c r="L29" s="131" t="str">
        <x:f>IF(E29=0,"",F29/E29)</x:f>
      </x:c>
      <x:c r="M29" s="123" t="str">
        <x:f>IF(A29="","",IF(K29&lt;0.12,"Punainen",IF(K29&lt;0.15,"Keltainen","OK")))</x:f>
      </x:c>
      <x:c r="N29" s="121"/>
    </x:row>
    <x:row r="30">
      <x:c r="A30" s="121"/>
      <x:c r="B30" s="121"/>
      <x:c r="C30" s="121"/>
      <x:c r="D30" s="121"/>
      <x:c r="E30" s="121"/>
      <x:c r="F30" s="128"/>
      <x:c r="G30" s="128"/>
      <x:c r="H30" s="130" t="str">
        <x:f>IF(A30="","",D30/SUMIF($B$5:$B$40,B30,$D$5:$D$40))</x:f>
      </x:c>
      <x:c r="I30" s="130" t="str">
        <x:f>IF(A30="","",G30*H30)</x:f>
      </x:c>
      <x:c r="J30" s="130" t="str">
        <x:f>IF(A30="","",F30-I30)</x:f>
      </x:c>
      <x:c r="K30" s="124" t="str">
        <x:f>IF(F30=0,"",J30/F30)</x:f>
      </x:c>
      <x:c r="L30" s="131" t="str">
        <x:f>IF(E30=0,"",F30/E30)</x:f>
      </x:c>
      <x:c r="M30" s="123" t="str">
        <x:f>IF(A30="","",IF(K30&lt;0.12,"Punainen",IF(K30&lt;0.15,"Keltainen","OK")))</x:f>
      </x:c>
      <x:c r="N30" s="121"/>
    </x:row>
    <x:row r="31">
      <x:c r="A31" s="121"/>
      <x:c r="B31" s="121"/>
      <x:c r="C31" s="121"/>
      <x:c r="D31" s="121"/>
      <x:c r="E31" s="121"/>
      <x:c r="F31" s="128"/>
      <x:c r="G31" s="128"/>
      <x:c r="H31" s="130" t="str">
        <x:f>IF(A31="","",D31/SUMIF($B$5:$B$40,B31,$D$5:$D$40))</x:f>
      </x:c>
      <x:c r="I31" s="130" t="str">
        <x:f>IF(A31="","",G31*H31)</x:f>
      </x:c>
      <x:c r="J31" s="130" t="str">
        <x:f>IF(A31="","",F31-I31)</x:f>
      </x:c>
      <x:c r="K31" s="124" t="str">
        <x:f>IF(F31=0,"",J31/F31)</x:f>
      </x:c>
      <x:c r="L31" s="131" t="str">
        <x:f>IF(E31=0,"",F31/E31)</x:f>
      </x:c>
      <x:c r="M31" s="123" t="str">
        <x:f>IF(A31="","",IF(K31&lt;0.12,"Punainen",IF(K31&lt;0.15,"Keltainen","OK")))</x:f>
      </x:c>
      <x:c r="N31" s="121"/>
    </x:row>
    <x:row r="32">
      <x:c r="A32" s="121"/>
      <x:c r="B32" s="121"/>
      <x:c r="C32" s="121"/>
      <x:c r="D32" s="121"/>
      <x:c r="E32" s="121"/>
      <x:c r="F32" s="128"/>
      <x:c r="G32" s="128"/>
      <x:c r="H32" s="130" t="str">
        <x:f>IF(A32="","",D32/SUMIF($B$5:$B$40,B32,$D$5:$D$40))</x:f>
      </x:c>
      <x:c r="I32" s="130" t="str">
        <x:f>IF(A32="","",G32*H32)</x:f>
      </x:c>
      <x:c r="J32" s="130" t="str">
        <x:f>IF(A32="","",F32-I32)</x:f>
      </x:c>
      <x:c r="K32" s="124" t="str">
        <x:f>IF(F32=0,"",J32/F32)</x:f>
      </x:c>
      <x:c r="L32" s="131" t="str">
        <x:f>IF(E32=0,"",F32/E32)</x:f>
      </x:c>
      <x:c r="M32" s="123" t="str">
        <x:f>IF(A32="","",IF(K32&lt;0.12,"Punainen",IF(K32&lt;0.15,"Keltainen","OK")))</x:f>
      </x:c>
      <x:c r="N32" s="121"/>
    </x:row>
    <x:row r="33">
      <x:c r="A33" s="121"/>
      <x:c r="B33" s="121"/>
      <x:c r="C33" s="121"/>
      <x:c r="D33" s="121"/>
      <x:c r="E33" s="121"/>
      <x:c r="F33" s="128"/>
      <x:c r="G33" s="128"/>
      <x:c r="H33" s="130" t="str">
        <x:f>IF(A33="","",D33/SUMIF($B$5:$B$40,B33,$D$5:$D$40))</x:f>
      </x:c>
      <x:c r="I33" s="130" t="str">
        <x:f>IF(A33="","",G33*H33)</x:f>
      </x:c>
      <x:c r="J33" s="130" t="str">
        <x:f>IF(A33="","",F33-I33)</x:f>
      </x:c>
      <x:c r="K33" s="124" t="str">
        <x:f>IF(F33=0,"",J33/F33)</x:f>
      </x:c>
      <x:c r="L33" s="131" t="str">
        <x:f>IF(E33=0,"",F33/E33)</x:f>
      </x:c>
      <x:c r="M33" s="123" t="str">
        <x:f>IF(A33="","",IF(K33&lt;0.12,"Punainen",IF(K33&lt;0.15,"Keltainen","OK")))</x:f>
      </x:c>
      <x:c r="N33" s="121"/>
    </x:row>
    <x:row r="34">
      <x:c r="A34" s="121"/>
      <x:c r="B34" s="121"/>
      <x:c r="C34" s="121"/>
      <x:c r="D34" s="121"/>
      <x:c r="E34" s="121"/>
      <x:c r="F34" s="128"/>
      <x:c r="G34" s="128"/>
      <x:c r="H34" s="130" t="str">
        <x:f>IF(A34="","",D34/SUMIF($B$5:$B$40,B34,$D$5:$D$40))</x:f>
      </x:c>
      <x:c r="I34" s="130" t="str">
        <x:f>IF(A34="","",G34*H34)</x:f>
      </x:c>
      <x:c r="J34" s="130" t="str">
        <x:f>IF(A34="","",F34-I34)</x:f>
      </x:c>
      <x:c r="K34" s="124" t="str">
        <x:f>IF(F34=0,"",J34/F34)</x:f>
      </x:c>
      <x:c r="L34" s="131" t="str">
        <x:f>IF(E34=0,"",F34/E34)</x:f>
      </x:c>
      <x:c r="M34" s="123" t="str">
        <x:f>IF(A34="","",IF(K34&lt;0.12,"Punainen",IF(K34&lt;0.15,"Keltainen","OK")))</x:f>
      </x:c>
      <x:c r="N34" s="121"/>
    </x:row>
    <x:row r="35">
      <x:c r="A35" s="121"/>
      <x:c r="B35" s="121"/>
      <x:c r="C35" s="121"/>
      <x:c r="D35" s="121"/>
      <x:c r="E35" s="121"/>
      <x:c r="F35" s="128"/>
      <x:c r="G35" s="128"/>
      <x:c r="H35" s="130" t="str">
        <x:f>IF(A35="","",D35/SUMIF($B$5:$B$40,B35,$D$5:$D$40))</x:f>
      </x:c>
      <x:c r="I35" s="130" t="str">
        <x:f>IF(A35="","",G35*H35)</x:f>
      </x:c>
      <x:c r="J35" s="130" t="str">
        <x:f>IF(A35="","",F35-I35)</x:f>
      </x:c>
      <x:c r="K35" s="124" t="str">
        <x:f>IF(F35=0,"",J35/F35)</x:f>
      </x:c>
      <x:c r="L35" s="131" t="str">
        <x:f>IF(E35=0,"",F35/E35)</x:f>
      </x:c>
      <x:c r="M35" s="123" t="str">
        <x:f>IF(A35="","",IF(K35&lt;0.12,"Punainen",IF(K35&lt;0.15,"Keltainen","OK")))</x:f>
      </x:c>
      <x:c r="N35" s="121"/>
    </x:row>
    <x:row r="36">
      <x:c r="A36" s="121"/>
      <x:c r="B36" s="121"/>
      <x:c r="C36" s="121"/>
      <x:c r="D36" s="121"/>
      <x:c r="E36" s="121"/>
      <x:c r="F36" s="128"/>
      <x:c r="G36" s="128"/>
      <x:c r="H36" s="130" t="str">
        <x:f>IF(A36="","",D36/SUMIF($B$5:$B$40,B36,$D$5:$D$40))</x:f>
      </x:c>
      <x:c r="I36" s="130" t="str">
        <x:f>IF(A36="","",G36*H36)</x:f>
      </x:c>
      <x:c r="J36" s="130" t="str">
        <x:f>IF(A36="","",F36-I36)</x:f>
      </x:c>
      <x:c r="K36" s="124" t="str">
        <x:f>IF(F36=0,"",J36/F36)</x:f>
      </x:c>
      <x:c r="L36" s="131" t="str">
        <x:f>IF(E36=0,"",F36/E36)</x:f>
      </x:c>
      <x:c r="M36" s="123" t="str">
        <x:f>IF(A36="","",IF(K36&lt;0.12,"Punainen",IF(K36&lt;0.15,"Keltainen","OK")))</x:f>
      </x:c>
      <x:c r="N36" s="121"/>
    </x:row>
    <x:row r="37">
      <x:c r="A37" s="121"/>
      <x:c r="B37" s="121"/>
      <x:c r="C37" s="121"/>
      <x:c r="D37" s="121"/>
      <x:c r="E37" s="121"/>
      <x:c r="F37" s="128"/>
      <x:c r="G37" s="128"/>
      <x:c r="H37" s="130" t="str">
        <x:f>IF(A37="","",D37/SUMIF($B$5:$B$40,B37,$D$5:$D$40))</x:f>
      </x:c>
      <x:c r="I37" s="130" t="str">
        <x:f>IF(A37="","",G37*H37)</x:f>
      </x:c>
      <x:c r="J37" s="130" t="str">
        <x:f>IF(A37="","",F37-I37)</x:f>
      </x:c>
      <x:c r="K37" s="124" t="str">
        <x:f>IF(F37=0,"",J37/F37)</x:f>
      </x:c>
      <x:c r="L37" s="131" t="str">
        <x:f>IF(E37=0,"",F37/E37)</x:f>
      </x:c>
      <x:c r="M37" s="123" t="str">
        <x:f>IF(A37="","",IF(K37&lt;0.12,"Punainen",IF(K37&lt;0.15,"Keltainen","OK")))</x:f>
      </x:c>
      <x:c r="N37" s="121"/>
    </x:row>
    <x:row r="38">
      <x:c r="A38" s="121"/>
      <x:c r="B38" s="121"/>
      <x:c r="C38" s="121"/>
      <x:c r="D38" s="121"/>
      <x:c r="E38" s="121"/>
      <x:c r="F38" s="128"/>
      <x:c r="G38" s="128"/>
      <x:c r="H38" s="130" t="str">
        <x:f>IF(A38="","",D38/SUMIF($B$5:$B$40,B38,$D$5:$D$40))</x:f>
      </x:c>
      <x:c r="I38" s="130" t="str">
        <x:f>IF(A38="","",G38*H38)</x:f>
      </x:c>
      <x:c r="J38" s="130" t="str">
        <x:f>IF(A38="","",F38-I38)</x:f>
      </x:c>
      <x:c r="K38" s="124" t="str">
        <x:f>IF(F38=0,"",J38/F38)</x:f>
      </x:c>
      <x:c r="L38" s="131" t="str">
        <x:f>IF(E38=0,"",F38/E38)</x:f>
      </x:c>
      <x:c r="M38" s="123" t="str">
        <x:f>IF(A38="","",IF(K38&lt;0.12,"Punainen",IF(K38&lt;0.15,"Keltainen","OK")))</x:f>
      </x:c>
      <x:c r="N38" s="121"/>
    </x:row>
    <x:row r="39">
      <x:c r="A39" s="121"/>
      <x:c r="B39" s="121"/>
      <x:c r="C39" s="121"/>
      <x:c r="D39" s="121"/>
      <x:c r="E39" s="121"/>
      <x:c r="F39" s="128"/>
      <x:c r="G39" s="128"/>
      <x:c r="H39" s="130" t="str">
        <x:f>IF(A39="","",D39/SUMIF($B$5:$B$40,B39,$D$5:$D$40))</x:f>
      </x:c>
      <x:c r="I39" s="130" t="str">
        <x:f>IF(A39="","",G39*H39)</x:f>
      </x:c>
      <x:c r="J39" s="130" t="str">
        <x:f>IF(A39="","",F39-I39)</x:f>
      </x:c>
      <x:c r="K39" s="124" t="str">
        <x:f>IF(F39=0,"",J39/F39)</x:f>
      </x:c>
      <x:c r="L39" s="131" t="str">
        <x:f>IF(E39=0,"",F39/E39)</x:f>
      </x:c>
      <x:c r="M39" s="123" t="str">
        <x:f>IF(A39="","",IF(K39&lt;0.12,"Punainen",IF(K39&lt;0.15,"Keltainen","OK")))</x:f>
      </x:c>
      <x:c r="N39" s="121"/>
    </x:row>
    <x:row r="40">
      <x:c r="A40" s="121"/>
      <x:c r="B40" s="121"/>
      <x:c r="C40" s="121"/>
      <x:c r="D40" s="121"/>
      <x:c r="E40" s="121"/>
      <x:c r="F40" s="128"/>
      <x:c r="G40" s="128"/>
      <x:c r="H40" s="130" t="str">
        <x:f>IF(A40="","",D40/SUMIF($B$5:$B$40,B40,$D$5:$D$40))</x:f>
      </x:c>
      <x:c r="I40" s="130" t="str">
        <x:f>IF(A40="","",G40*H40)</x:f>
      </x:c>
      <x:c r="J40" s="130" t="str">
        <x:f>IF(A40="","",F40-I40)</x:f>
      </x:c>
      <x:c r="K40" s="124" t="str">
        <x:f>IF(F40=0,"",J40/F40)</x:f>
      </x:c>
      <x:c r="L40" s="131" t="str">
        <x:f>IF(E40=0,"",F40/E40)</x:f>
      </x:c>
      <x:c r="M40" s="123" t="str">
        <x:f>IF(A40="","",IF(K40&lt;0.12,"Punainen",IF(K40&lt;0.15,"Keltainen","OK")))</x:f>
      </x:c>
      <x:c r="N40" s="121"/>
    </x:row>
    <x:row r="41">
      <x:c r="A41" s="121"/>
      <x:c r="B41" s="121"/>
      <x:c r="C41" s="121"/>
      <x:c r="D41" s="121"/>
      <x:c r="E41" s="121"/>
      <x:c r="F41" s="128"/>
      <x:c r="G41" s="128"/>
      <x:c r="H41" s="130"/>
      <x:c r="I41" s="130"/>
      <x:c r="J41" s="130"/>
      <x:c r="K41" s="124"/>
      <x:c r="L41" s="131"/>
      <x:c r="M41" s="123"/>
      <x:c r="N41" s="121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d886aadef07641d0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</x:cols>
  <x:sheetData>
    <x:row r="1">
      <x:c r="A1" s="108" t="str">
        <x:v>6. Tracking / ETA – seuranta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Simuloi kuljetusten seurantaa, ETA-muutoksia ja myöhästymisriskiä.</x:v>
      </x:c>
    </x:row>
    <x:row r="4">
      <x:c r="A4" s="118" t="str">
        <x:v>Shipment</x:v>
      </x:c>
      <x:c r="B4" s="118" t="str">
        <x:v>Reitti</x:v>
      </x:c>
      <x:c r="C4" s="118" t="str">
        <x:v>Status</x:v>
      </x:c>
      <x:c r="D4" s="118" t="str">
        <x:v>Lähtö</x:v>
      </x:c>
      <x:c r="E4" s="118" t="str">
        <x:v>ETA suunniteltu</x:v>
      </x:c>
      <x:c r="F4" s="118" t="str">
        <x:v>ETA nykyinen</x:v>
      </x:c>
      <x:c r="G4" s="118" t="str">
        <x:v>Deadline</x:v>
      </x:c>
      <x:c r="H4" s="118" t="str">
        <x:v>Viive min</x:v>
      </x:c>
      <x:c r="I4" s="118" t="str">
        <x:v>On-time?</x:v>
      </x:c>
      <x:c r="J4" s="118" t="str">
        <x:v>GPS / sijainti</x:v>
      </x:c>
      <x:c r="K4" s="118" t="str">
        <x:v>Seuraava stop</x:v>
      </x:c>
      <x:c r="L4" s="118" t="str">
        <x:v>Poikkeama?</x:v>
      </x:c>
      <x:c r="M4" s="118" t="str">
        <x:v>Toimenpide</x:v>
      </x:c>
      <x:c r="N4" s="118" t="str">
        <x:v>Huomio</x:v>
      </x:c>
    </x:row>
    <x:row r="5">
      <x:c r="A5" s="121" t="str">
        <x:v>S-001</x:v>
      </x:c>
      <x:c r="B5" s="121" t="str">
        <x:v>R1</x:v>
      </x:c>
      <x:c r="C5" s="121" t="str">
        <x:v>In transit</x:v>
      </x:c>
      <x:c r="D5" s="126" t="n">
        <x:v>46147.25</x:v>
      </x:c>
      <x:c r="E5" s="126" t="n">
        <x:v>46147.416666666664</x:v>
      </x:c>
      <x:c r="F5" s="126" t="n">
        <x:v>46147.427083333336</x:v>
      </x:c>
      <x:c r="G5" s="126" t="n">
        <x:v>46147.458333333336</x:v>
      </x:c>
      <x:c r="H5" s="123" t="n">
        <x:f>IF(A5="","",(F5-E5)*1440)</x:f>
        <x:v>15.00000000698492</x:v>
      </x:c>
      <x:c r="I5" s="123" t="str">
        <x:f>IF(A5="","",IF(F5&lt;=G5,"Kyllä","Ei"))</x:f>
        <x:v>Kyllä</x:v>
      </x:c>
      <x:c r="J5" s="121" t="str">
        <x:v>Tampere</x:v>
      </x:c>
      <x:c r="K5" s="121" t="str">
        <x:v>Pori</x:v>
      </x:c>
      <x:c r="L5" s="123" t="str">
        <x:f>IF(A5="","",IF(I5="Ei","Myöhästymisriski",""))</x:f>
      </x:c>
      <x:c r="M5" s="123" t="str">
        <x:f>IF(A5="","",IF(L5&lt;&gt;"","Ilmoita asiakkaalle","Seuraa"))</x:f>
        <x:v>Seuraa</x:v>
      </x:c>
      <x:c r="N5" s="121" t="str"/>
    </x:row>
    <x:row r="6">
      <x:c r="A6" s="121" t="str">
        <x:v>S-002</x:v>
      </x:c>
      <x:c r="B6" s="121" t="str">
        <x:v>R3</x:v>
      </x:c>
      <x:c r="C6" s="121" t="str">
        <x:v>Loading</x:v>
      </x:c>
      <x:c r="D6" s="126" t="n">
        <x:v>46147.25</x:v>
      </x:c>
      <x:c r="E6" s="126" t="n">
        <x:v>46147.75</x:v>
      </x:c>
      <x:c r="F6" s="126" t="n">
        <x:v>46147.78125</x:v>
      </x:c>
      <x:c r="G6" s="126" t="n">
        <x:v>46147.770833333336</x:v>
      </x:c>
      <x:c r="H6" s="123" t="n">
        <x:f>IF(A6="","",(F6-E6)*1440)</x:f>
        <x:v>45</x:v>
      </x:c>
      <x:c r="I6" s="123" t="str">
        <x:f>IF(A6="","",IF(F6&lt;=G6,"Kyllä","Ei"))</x:f>
        <x:v>Ei</x:v>
      </x:c>
      <x:c r="J6" s="121" t="str">
        <x:v>Jyväskylä</x:v>
      </x:c>
      <x:c r="K6" s="121" t="str">
        <x:v>Oulu</x:v>
      </x:c>
      <x:c r="L6" s="123" t="str">
        <x:f>IF(A6="","",IF(I6="Ei","Myöhästymisriski",""))</x:f>
        <x:v>Myöhästymisriski</x:v>
      </x:c>
      <x:c r="M6" s="123" t="str">
        <x:f>IF(A6="","",IF(L6&lt;&gt;"","Ilmoita asiakkaalle","Seuraa"))</x:f>
        <x:v>Ilmoita asiakkaalle</x:v>
      </x:c>
      <x:c r="N6" s="121" t="str"/>
    </x:row>
    <x:row r="7">
      <x:c r="A7" s="121"/>
      <x:c r="B7" s="121"/>
      <x:c r="C7" s="121"/>
      <x:c r="D7" s="126"/>
      <x:c r="E7" s="126"/>
      <x:c r="F7" s="126"/>
      <x:c r="G7" s="126"/>
      <x:c r="H7" s="123" t="str">
        <x:f>IF(A7="","",(F7-E7)*1440)</x:f>
      </x:c>
      <x:c r="I7" s="123" t="str">
        <x:f>IF(A7="","",IF(F7&lt;=G7,"Kyllä","Ei"))</x:f>
      </x:c>
      <x:c r="J7" s="121">
        <x:f>J7</x:f>
      </x:c>
      <x:c r="K7" s="121">
        <x:f>K7</x:f>
      </x:c>
      <x:c r="L7" s="123" t="str">
        <x:f>IF(A7="","",IF(I7="Ei","Myöhästymisriski",""))</x:f>
      </x:c>
      <x:c r="M7" s="123" t="str">
        <x:f>IF(A7="","",IF(L7&lt;&gt;"","Ilmoita asiakkaalle","Seuraa"))</x:f>
      </x:c>
      <x:c r="N7" s="121"/>
    </x:row>
    <x:row r="8">
      <x:c r="A8" s="121"/>
      <x:c r="B8" s="121"/>
      <x:c r="C8" s="121"/>
      <x:c r="D8" s="126"/>
      <x:c r="E8" s="126"/>
      <x:c r="F8" s="126"/>
      <x:c r="G8" s="126"/>
      <x:c r="H8" s="123" t="str">
        <x:f>IF(A8="","",(F8-E8)*1440)</x:f>
      </x:c>
      <x:c r="I8" s="123" t="str">
        <x:f>IF(A8="","",IF(F8&lt;=G8,"Kyllä","Ei"))</x:f>
      </x:c>
      <x:c r="J8" s="121">
        <x:f>J8</x:f>
      </x:c>
      <x:c r="K8" s="121">
        <x:f>K8</x:f>
      </x:c>
      <x:c r="L8" s="123" t="str">
        <x:f>IF(A8="","",IF(I8="Ei","Myöhästymisriski",""))</x:f>
      </x:c>
      <x:c r="M8" s="123" t="str">
        <x:f>IF(A8="","",IF(L8&lt;&gt;"","Ilmoita asiakkaalle","Seuraa"))</x:f>
      </x:c>
      <x:c r="N8" s="121"/>
    </x:row>
    <x:row r="9">
      <x:c r="A9" s="121"/>
      <x:c r="B9" s="121"/>
      <x:c r="C9" s="121"/>
      <x:c r="D9" s="126"/>
      <x:c r="E9" s="126"/>
      <x:c r="F9" s="126"/>
      <x:c r="G9" s="126"/>
      <x:c r="H9" s="123" t="str">
        <x:f>IF(A9="","",(F9-E9)*1440)</x:f>
      </x:c>
      <x:c r="I9" s="123" t="str">
        <x:f>IF(A9="","",IF(F9&lt;=G9,"Kyllä","Ei"))</x:f>
      </x:c>
      <x:c r="J9" s="121">
        <x:f>J9</x:f>
      </x:c>
      <x:c r="K9" s="121">
        <x:f>K9</x:f>
      </x:c>
      <x:c r="L9" s="123" t="str">
        <x:f>IF(A9="","",IF(I9="Ei","Myöhästymisriski",""))</x:f>
      </x:c>
      <x:c r="M9" s="123" t="str">
        <x:f>IF(A9="","",IF(L9&lt;&gt;"","Ilmoita asiakkaalle","Seuraa"))</x:f>
      </x:c>
      <x:c r="N9" s="121"/>
    </x:row>
    <x:row r="10">
      <x:c r="A10" s="121"/>
      <x:c r="B10" s="121"/>
      <x:c r="C10" s="121"/>
      <x:c r="D10" s="126"/>
      <x:c r="E10" s="126"/>
      <x:c r="F10" s="126"/>
      <x:c r="G10" s="126"/>
      <x:c r="H10" s="123" t="str">
        <x:f>IF(A10="","",(F10-E10)*1440)</x:f>
      </x:c>
      <x:c r="I10" s="123" t="str">
        <x:f>IF(A10="","",IF(F10&lt;=G10,"Kyllä","Ei"))</x:f>
      </x:c>
      <x:c r="J10" s="121">
        <x:f>J10</x:f>
      </x:c>
      <x:c r="K10" s="121">
        <x:f>K10</x:f>
      </x:c>
      <x:c r="L10" s="123" t="str">
        <x:f>IF(A10="","",IF(I10="Ei","Myöhästymisriski",""))</x:f>
      </x:c>
      <x:c r="M10" s="123" t="str">
        <x:f>IF(A10="","",IF(L10&lt;&gt;"","Ilmoita asiakkaalle","Seuraa"))</x:f>
      </x:c>
      <x:c r="N10" s="121"/>
    </x:row>
    <x:row r="11">
      <x:c r="A11" s="121"/>
      <x:c r="B11" s="121"/>
      <x:c r="C11" s="121"/>
      <x:c r="D11" s="126"/>
      <x:c r="E11" s="126"/>
      <x:c r="F11" s="126"/>
      <x:c r="G11" s="126"/>
      <x:c r="H11" s="123" t="str">
        <x:f>IF(A11="","",(F11-E11)*1440)</x:f>
      </x:c>
      <x:c r="I11" s="123" t="str">
        <x:f>IF(A11="","",IF(F11&lt;=G11,"Kyllä","Ei"))</x:f>
      </x:c>
      <x:c r="J11" s="121">
        <x:f>J11</x:f>
      </x:c>
      <x:c r="K11" s="121">
        <x:f>K11</x:f>
      </x:c>
      <x:c r="L11" s="123" t="str">
        <x:f>IF(A11="","",IF(I11="Ei","Myöhästymisriski",""))</x:f>
      </x:c>
      <x:c r="M11" s="123" t="str">
        <x:f>IF(A11="","",IF(L11&lt;&gt;"","Ilmoita asiakkaalle","Seuraa"))</x:f>
      </x:c>
      <x:c r="N11" s="121"/>
    </x:row>
    <x:row r="12">
      <x:c r="A12" s="121"/>
      <x:c r="B12" s="121"/>
      <x:c r="C12" s="121"/>
      <x:c r="D12" s="126"/>
      <x:c r="E12" s="126"/>
      <x:c r="F12" s="126"/>
      <x:c r="G12" s="126"/>
      <x:c r="H12" s="123" t="str">
        <x:f>IF(A12="","",(F12-E12)*1440)</x:f>
      </x:c>
      <x:c r="I12" s="123" t="str">
        <x:f>IF(A12="","",IF(F12&lt;=G12,"Kyllä","Ei"))</x:f>
      </x:c>
      <x:c r="J12" s="121">
        <x:f>J12</x:f>
      </x:c>
      <x:c r="K12" s="121">
        <x:f>K12</x:f>
      </x:c>
      <x:c r="L12" s="123" t="str">
        <x:f>IF(A12="","",IF(I12="Ei","Myöhästymisriski",""))</x:f>
      </x:c>
      <x:c r="M12" s="123" t="str">
        <x:f>IF(A12="","",IF(L12&lt;&gt;"","Ilmoita asiakkaalle","Seuraa"))</x:f>
      </x:c>
      <x:c r="N12" s="121"/>
    </x:row>
    <x:row r="13">
      <x:c r="A13" s="121"/>
      <x:c r="B13" s="121"/>
      <x:c r="C13" s="121"/>
      <x:c r="D13" s="126"/>
      <x:c r="E13" s="126"/>
      <x:c r="F13" s="126"/>
      <x:c r="G13" s="126"/>
      <x:c r="H13" s="123" t="str">
        <x:f>IF(A13="","",(F13-E13)*1440)</x:f>
      </x:c>
      <x:c r="I13" s="123" t="str">
        <x:f>IF(A13="","",IF(F13&lt;=G13,"Kyllä","Ei"))</x:f>
      </x:c>
      <x:c r="J13" s="121">
        <x:f>J13</x:f>
      </x:c>
      <x:c r="K13" s="121">
        <x:f>K13</x:f>
      </x:c>
      <x:c r="L13" s="123" t="str">
        <x:f>IF(A13="","",IF(I13="Ei","Myöhästymisriski",""))</x:f>
      </x:c>
      <x:c r="M13" s="123" t="str">
        <x:f>IF(A13="","",IF(L13&lt;&gt;"","Ilmoita asiakkaalle","Seuraa"))</x:f>
      </x:c>
      <x:c r="N13" s="121"/>
    </x:row>
    <x:row r="14">
      <x:c r="A14" s="121"/>
      <x:c r="B14" s="121"/>
      <x:c r="C14" s="121"/>
      <x:c r="D14" s="126"/>
      <x:c r="E14" s="126"/>
      <x:c r="F14" s="126"/>
      <x:c r="G14" s="126"/>
      <x:c r="H14" s="123" t="str">
        <x:f>IF(A14="","",(F14-E14)*1440)</x:f>
      </x:c>
      <x:c r="I14" s="123" t="str">
        <x:f>IF(A14="","",IF(F14&lt;=G14,"Kyllä","Ei"))</x:f>
      </x:c>
      <x:c r="J14" s="121">
        <x:f>J14</x:f>
      </x:c>
      <x:c r="K14" s="121">
        <x:f>K14</x:f>
      </x:c>
      <x:c r="L14" s="123" t="str">
        <x:f>IF(A14="","",IF(I14="Ei","Myöhästymisriski",""))</x:f>
      </x:c>
      <x:c r="M14" s="123" t="str">
        <x:f>IF(A14="","",IF(L14&lt;&gt;"","Ilmoita asiakkaalle","Seuraa"))</x:f>
      </x:c>
      <x:c r="N14" s="121"/>
    </x:row>
    <x:row r="15">
      <x:c r="A15" s="121"/>
      <x:c r="B15" s="121"/>
      <x:c r="C15" s="121"/>
      <x:c r="D15" s="126"/>
      <x:c r="E15" s="126"/>
      <x:c r="F15" s="126"/>
      <x:c r="G15" s="126"/>
      <x:c r="H15" s="123" t="str">
        <x:f>IF(A15="","",(F15-E15)*1440)</x:f>
      </x:c>
      <x:c r="I15" s="123" t="str">
        <x:f>IF(A15="","",IF(F15&lt;=G15,"Kyllä","Ei"))</x:f>
      </x:c>
      <x:c r="J15" s="121">
        <x:f>J15</x:f>
      </x:c>
      <x:c r="K15" s="121">
        <x:f>K15</x:f>
      </x:c>
      <x:c r="L15" s="123" t="str">
        <x:f>IF(A15="","",IF(I15="Ei","Myöhästymisriski",""))</x:f>
      </x:c>
      <x:c r="M15" s="123" t="str">
        <x:f>IF(A15="","",IF(L15&lt;&gt;"","Ilmoita asiakkaalle","Seuraa"))</x:f>
      </x:c>
      <x:c r="N15" s="121"/>
    </x:row>
    <x:row r="16">
      <x:c r="A16" s="121"/>
      <x:c r="B16" s="121"/>
      <x:c r="C16" s="121"/>
      <x:c r="D16" s="126"/>
      <x:c r="E16" s="126"/>
      <x:c r="F16" s="126"/>
      <x:c r="G16" s="126"/>
      <x:c r="H16" s="123" t="str">
        <x:f>IF(A16="","",(F16-E16)*1440)</x:f>
      </x:c>
      <x:c r="I16" s="123" t="str">
        <x:f>IF(A16="","",IF(F16&lt;=G16,"Kyllä","Ei"))</x:f>
      </x:c>
      <x:c r="J16" s="121">
        <x:f>J16</x:f>
      </x:c>
      <x:c r="K16" s="121">
        <x:f>K16</x:f>
      </x:c>
      <x:c r="L16" s="123" t="str">
        <x:f>IF(A16="","",IF(I16="Ei","Myöhästymisriski",""))</x:f>
      </x:c>
      <x:c r="M16" s="123" t="str">
        <x:f>IF(A16="","",IF(L16&lt;&gt;"","Ilmoita asiakkaalle","Seuraa"))</x:f>
      </x:c>
      <x:c r="N16" s="121"/>
    </x:row>
    <x:row r="17">
      <x:c r="A17" s="121"/>
      <x:c r="B17" s="121"/>
      <x:c r="C17" s="121"/>
      <x:c r="D17" s="126"/>
      <x:c r="E17" s="126"/>
      <x:c r="F17" s="126"/>
      <x:c r="G17" s="126"/>
      <x:c r="H17" s="123" t="str">
        <x:f>IF(A17="","",(F17-E17)*1440)</x:f>
      </x:c>
      <x:c r="I17" s="123" t="str">
        <x:f>IF(A17="","",IF(F17&lt;=G17,"Kyllä","Ei"))</x:f>
      </x:c>
      <x:c r="J17" s="121">
        <x:f>J17</x:f>
      </x:c>
      <x:c r="K17" s="121">
        <x:f>K17</x:f>
      </x:c>
      <x:c r="L17" s="123" t="str">
        <x:f>IF(A17="","",IF(I17="Ei","Myöhästymisriski",""))</x:f>
      </x:c>
      <x:c r="M17" s="123" t="str">
        <x:f>IF(A17="","",IF(L17&lt;&gt;"","Ilmoita asiakkaalle","Seuraa"))</x:f>
      </x:c>
      <x:c r="N17" s="121"/>
    </x:row>
    <x:row r="18">
      <x:c r="A18" s="121"/>
      <x:c r="B18" s="121"/>
      <x:c r="C18" s="121"/>
      <x:c r="D18" s="126"/>
      <x:c r="E18" s="126"/>
      <x:c r="F18" s="126"/>
      <x:c r="G18" s="126"/>
      <x:c r="H18" s="123" t="str">
        <x:f>IF(A18="","",(F18-E18)*1440)</x:f>
      </x:c>
      <x:c r="I18" s="123" t="str">
        <x:f>IF(A18="","",IF(F18&lt;=G18,"Kyllä","Ei"))</x:f>
      </x:c>
      <x:c r="J18" s="121">
        <x:f>J18</x:f>
      </x:c>
      <x:c r="K18" s="121">
        <x:f>K18</x:f>
      </x:c>
      <x:c r="L18" s="123" t="str">
        <x:f>IF(A18="","",IF(I18="Ei","Myöhästymisriski",""))</x:f>
      </x:c>
      <x:c r="M18" s="123" t="str">
        <x:f>IF(A18="","",IF(L18&lt;&gt;"","Ilmoita asiakkaalle","Seuraa"))</x:f>
      </x:c>
      <x:c r="N18" s="121"/>
    </x:row>
    <x:row r="19">
      <x:c r="A19" s="121"/>
      <x:c r="B19" s="121"/>
      <x:c r="C19" s="121"/>
      <x:c r="D19" s="126"/>
      <x:c r="E19" s="126"/>
      <x:c r="F19" s="126"/>
      <x:c r="G19" s="126"/>
      <x:c r="H19" s="123" t="str">
        <x:f>IF(A19="","",(F19-E19)*1440)</x:f>
      </x:c>
      <x:c r="I19" s="123" t="str">
        <x:f>IF(A19="","",IF(F19&lt;=G19,"Kyllä","Ei"))</x:f>
      </x:c>
      <x:c r="J19" s="121">
        <x:f>J19</x:f>
      </x:c>
      <x:c r="K19" s="121">
        <x:f>K19</x:f>
      </x:c>
      <x:c r="L19" s="123" t="str">
        <x:f>IF(A19="","",IF(I19="Ei","Myöhästymisriski",""))</x:f>
      </x:c>
      <x:c r="M19" s="123" t="str">
        <x:f>IF(A19="","",IF(L19&lt;&gt;"","Ilmoita asiakkaalle","Seuraa"))</x:f>
      </x:c>
      <x:c r="N19" s="121"/>
    </x:row>
    <x:row r="20">
      <x:c r="A20" s="121"/>
      <x:c r="B20" s="121"/>
      <x:c r="C20" s="121"/>
      <x:c r="D20" s="126"/>
      <x:c r="E20" s="126"/>
      <x:c r="F20" s="126"/>
      <x:c r="G20" s="126"/>
      <x:c r="H20" s="123" t="str">
        <x:f>IF(A20="","",(F20-E20)*1440)</x:f>
      </x:c>
      <x:c r="I20" s="123" t="str">
        <x:f>IF(A20="","",IF(F20&lt;=G20,"Kyllä","Ei"))</x:f>
      </x:c>
      <x:c r="J20" s="121">
        <x:f>J20</x:f>
      </x:c>
      <x:c r="K20" s="121">
        <x:f>K20</x:f>
      </x:c>
      <x:c r="L20" s="123" t="str">
        <x:f>IF(A20="","",IF(I20="Ei","Myöhästymisriski",""))</x:f>
      </x:c>
      <x:c r="M20" s="123" t="str">
        <x:f>IF(A20="","",IF(L20&lt;&gt;"","Ilmoita asiakkaalle","Seuraa"))</x:f>
      </x:c>
      <x:c r="N20" s="121"/>
    </x:row>
    <x:row r="21">
      <x:c r="A21" s="121"/>
      <x:c r="B21" s="121"/>
      <x:c r="C21" s="121"/>
      <x:c r="D21" s="126"/>
      <x:c r="E21" s="126"/>
      <x:c r="F21" s="126"/>
      <x:c r="G21" s="126"/>
      <x:c r="H21" s="123" t="str">
        <x:f>IF(A21="","",(F21-E21)*1440)</x:f>
      </x:c>
      <x:c r="I21" s="123" t="str">
        <x:f>IF(A21="","",IF(F21&lt;=G21,"Kyllä","Ei"))</x:f>
      </x:c>
      <x:c r="J21" s="121">
        <x:f>J21</x:f>
      </x:c>
      <x:c r="K21" s="121">
        <x:f>K21</x:f>
      </x:c>
      <x:c r="L21" s="123" t="str">
        <x:f>IF(A21="","",IF(I21="Ei","Myöhästymisriski",""))</x:f>
      </x:c>
      <x:c r="M21" s="123" t="str">
        <x:f>IF(A21="","",IF(L21&lt;&gt;"","Ilmoita asiakkaalle","Seuraa"))</x:f>
      </x:c>
      <x:c r="N21" s="121"/>
    </x:row>
    <x:row r="22">
      <x:c r="A22" s="121"/>
      <x:c r="B22" s="121"/>
      <x:c r="C22" s="121"/>
      <x:c r="D22" s="126"/>
      <x:c r="E22" s="126"/>
      <x:c r="F22" s="126"/>
      <x:c r="G22" s="126"/>
      <x:c r="H22" s="123" t="str">
        <x:f>IF(A22="","",(F22-E22)*1440)</x:f>
      </x:c>
      <x:c r="I22" s="123" t="str">
        <x:f>IF(A22="","",IF(F22&lt;=G22,"Kyllä","Ei"))</x:f>
      </x:c>
      <x:c r="J22" s="121">
        <x:f>J22</x:f>
      </x:c>
      <x:c r="K22" s="121">
        <x:f>K22</x:f>
      </x:c>
      <x:c r="L22" s="123" t="str">
        <x:f>IF(A22="","",IF(I22="Ei","Myöhästymisriski",""))</x:f>
      </x:c>
      <x:c r="M22" s="123" t="str">
        <x:f>IF(A22="","",IF(L22&lt;&gt;"","Ilmoita asiakkaalle","Seuraa"))</x:f>
      </x:c>
      <x:c r="N22" s="121"/>
    </x:row>
    <x:row r="23">
      <x:c r="A23" s="121"/>
      <x:c r="B23" s="121"/>
      <x:c r="C23" s="121"/>
      <x:c r="D23" s="126"/>
      <x:c r="E23" s="126"/>
      <x:c r="F23" s="126"/>
      <x:c r="G23" s="126"/>
      <x:c r="H23" s="123" t="str">
        <x:f>IF(A23="","",(F23-E23)*1440)</x:f>
      </x:c>
      <x:c r="I23" s="123" t="str">
        <x:f>IF(A23="","",IF(F23&lt;=G23,"Kyllä","Ei"))</x:f>
      </x:c>
      <x:c r="J23" s="121">
        <x:f>J23</x:f>
      </x:c>
      <x:c r="K23" s="121">
        <x:f>K23</x:f>
      </x:c>
      <x:c r="L23" s="123" t="str">
        <x:f>IF(A23="","",IF(I23="Ei","Myöhästymisriski",""))</x:f>
      </x:c>
      <x:c r="M23" s="123" t="str">
        <x:f>IF(A23="","",IF(L23&lt;&gt;"","Ilmoita asiakkaalle","Seuraa"))</x:f>
      </x:c>
      <x:c r="N23" s="121"/>
    </x:row>
    <x:row r="24">
      <x:c r="A24" s="121"/>
      <x:c r="B24" s="121"/>
      <x:c r="C24" s="121"/>
      <x:c r="D24" s="126"/>
      <x:c r="E24" s="126"/>
      <x:c r="F24" s="126"/>
      <x:c r="G24" s="126"/>
      <x:c r="H24" s="123" t="str">
        <x:f>IF(A24="","",(F24-E24)*1440)</x:f>
      </x:c>
      <x:c r="I24" s="123" t="str">
        <x:f>IF(A24="","",IF(F24&lt;=G24,"Kyllä","Ei"))</x:f>
      </x:c>
      <x:c r="J24" s="121">
        <x:f>J24</x:f>
      </x:c>
      <x:c r="K24" s="121">
        <x:f>K24</x:f>
      </x:c>
      <x:c r="L24" s="123" t="str">
        <x:f>IF(A24="","",IF(I24="Ei","Myöhästymisriski",""))</x:f>
      </x:c>
      <x:c r="M24" s="123" t="str">
        <x:f>IF(A24="","",IF(L24&lt;&gt;"","Ilmoita asiakkaalle","Seuraa"))</x:f>
      </x:c>
      <x:c r="N24" s="121"/>
    </x:row>
    <x:row r="25">
      <x:c r="A25" s="121"/>
      <x:c r="B25" s="121"/>
      <x:c r="C25" s="121"/>
      <x:c r="D25" s="126"/>
      <x:c r="E25" s="126"/>
      <x:c r="F25" s="126"/>
      <x:c r="G25" s="126"/>
      <x:c r="H25" s="123" t="str">
        <x:f>IF(A25="","",(F25-E25)*1440)</x:f>
      </x:c>
      <x:c r="I25" s="123" t="str">
        <x:f>IF(A25="","",IF(F25&lt;=G25,"Kyllä","Ei"))</x:f>
      </x:c>
      <x:c r="J25" s="121">
        <x:f>J25</x:f>
      </x:c>
      <x:c r="K25" s="121">
        <x:f>K25</x:f>
      </x:c>
      <x:c r="L25" s="123" t="str">
        <x:f>IF(A25="","",IF(I25="Ei","Myöhästymisriski",""))</x:f>
      </x:c>
      <x:c r="M25" s="123" t="str">
        <x:f>IF(A25="","",IF(L25&lt;&gt;"","Ilmoita asiakkaalle","Seuraa"))</x:f>
      </x:c>
      <x:c r="N25" s="121"/>
    </x:row>
    <x:row r="26">
      <x:c r="A26" s="121"/>
      <x:c r="B26" s="121"/>
      <x:c r="C26" s="121"/>
      <x:c r="D26" s="126"/>
      <x:c r="E26" s="126"/>
      <x:c r="F26" s="126"/>
      <x:c r="G26" s="126"/>
      <x:c r="H26" s="123" t="str">
        <x:f>IF(A26="","",(F26-E26)*1440)</x:f>
      </x:c>
      <x:c r="I26" s="123" t="str">
        <x:f>IF(A26="","",IF(F26&lt;=G26,"Kyllä","Ei"))</x:f>
      </x:c>
      <x:c r="J26" s="121">
        <x:f>J26</x:f>
      </x:c>
      <x:c r="K26" s="121">
        <x:f>K26</x:f>
      </x:c>
      <x:c r="L26" s="123" t="str">
        <x:f>IF(A26="","",IF(I26="Ei","Myöhästymisriski",""))</x:f>
      </x:c>
      <x:c r="M26" s="123" t="str">
        <x:f>IF(A26="","",IF(L26&lt;&gt;"","Ilmoita asiakkaalle","Seuraa"))</x:f>
      </x:c>
      <x:c r="N26" s="121"/>
    </x:row>
    <x:row r="27">
      <x:c r="A27" s="121"/>
      <x:c r="B27" s="121"/>
      <x:c r="C27" s="121"/>
      <x:c r="D27" s="126"/>
      <x:c r="E27" s="126"/>
      <x:c r="F27" s="126"/>
      <x:c r="G27" s="126"/>
      <x:c r="H27" s="123" t="str">
        <x:f>IF(A27="","",(F27-E27)*1440)</x:f>
      </x:c>
      <x:c r="I27" s="123" t="str">
        <x:f>IF(A27="","",IF(F27&lt;=G27,"Kyllä","Ei"))</x:f>
      </x:c>
      <x:c r="J27" s="121">
        <x:f>J27</x:f>
      </x:c>
      <x:c r="K27" s="121">
        <x:f>K27</x:f>
      </x:c>
      <x:c r="L27" s="123" t="str">
        <x:f>IF(A27="","",IF(I27="Ei","Myöhästymisriski",""))</x:f>
      </x:c>
      <x:c r="M27" s="123" t="str">
        <x:f>IF(A27="","",IF(L27&lt;&gt;"","Ilmoita asiakkaalle","Seuraa"))</x:f>
      </x:c>
      <x:c r="N27" s="121"/>
    </x:row>
    <x:row r="28">
      <x:c r="A28" s="121"/>
      <x:c r="B28" s="121"/>
      <x:c r="C28" s="121"/>
      <x:c r="D28" s="126"/>
      <x:c r="E28" s="126"/>
      <x:c r="F28" s="126"/>
      <x:c r="G28" s="126"/>
      <x:c r="H28" s="123" t="str">
        <x:f>IF(A28="","",(F28-E28)*1440)</x:f>
      </x:c>
      <x:c r="I28" s="123" t="str">
        <x:f>IF(A28="","",IF(F28&lt;=G28,"Kyllä","Ei"))</x:f>
      </x:c>
      <x:c r="J28" s="121">
        <x:f>J28</x:f>
      </x:c>
      <x:c r="K28" s="121">
        <x:f>K28</x:f>
      </x:c>
      <x:c r="L28" s="123" t="str">
        <x:f>IF(A28="","",IF(I28="Ei","Myöhästymisriski",""))</x:f>
      </x:c>
      <x:c r="M28" s="123" t="str">
        <x:f>IF(A28="","",IF(L28&lt;&gt;"","Ilmoita asiakkaalle","Seuraa"))</x:f>
      </x:c>
      <x:c r="N28" s="121"/>
    </x:row>
    <x:row r="29">
      <x:c r="A29" s="121"/>
      <x:c r="B29" s="121"/>
      <x:c r="C29" s="121"/>
      <x:c r="D29" s="126"/>
      <x:c r="E29" s="126"/>
      <x:c r="F29" s="126"/>
      <x:c r="G29" s="126"/>
      <x:c r="H29" s="123" t="str">
        <x:f>IF(A29="","",(F29-E29)*1440)</x:f>
      </x:c>
      <x:c r="I29" s="123" t="str">
        <x:f>IF(A29="","",IF(F29&lt;=G29,"Kyllä","Ei"))</x:f>
      </x:c>
      <x:c r="J29" s="121">
        <x:f>J29</x:f>
      </x:c>
      <x:c r="K29" s="121">
        <x:f>K29</x:f>
      </x:c>
      <x:c r="L29" s="123" t="str">
        <x:f>IF(A29="","",IF(I29="Ei","Myöhästymisriski",""))</x:f>
      </x:c>
      <x:c r="M29" s="123" t="str">
        <x:f>IF(A29="","",IF(L29&lt;&gt;"","Ilmoita asiakkaalle","Seuraa"))</x:f>
      </x:c>
      <x:c r="N29" s="121"/>
    </x:row>
    <x:row r="30">
      <x:c r="A30" s="121"/>
      <x:c r="B30" s="121"/>
      <x:c r="C30" s="121"/>
      <x:c r="D30" s="126"/>
      <x:c r="E30" s="126"/>
      <x:c r="F30" s="126"/>
      <x:c r="G30" s="126"/>
      <x:c r="H30" s="123" t="str">
        <x:f>IF(A30="","",(F30-E30)*1440)</x:f>
      </x:c>
      <x:c r="I30" s="123" t="str">
        <x:f>IF(A30="","",IF(F30&lt;=G30,"Kyllä","Ei"))</x:f>
      </x:c>
      <x:c r="J30" s="121">
        <x:f>J30</x:f>
      </x:c>
      <x:c r="K30" s="121">
        <x:f>K30</x:f>
      </x:c>
      <x:c r="L30" s="123" t="str">
        <x:f>IF(A30="","",IF(I30="Ei","Myöhästymisriski",""))</x:f>
      </x:c>
      <x:c r="M30" s="123" t="str">
        <x:f>IF(A30="","",IF(L30&lt;&gt;"","Ilmoita asiakkaalle","Seuraa"))</x:f>
      </x:c>
      <x:c r="N30" s="121"/>
    </x:row>
    <x:row r="31">
      <x:c r="A31" s="121"/>
      <x:c r="B31" s="121"/>
      <x:c r="C31" s="121"/>
      <x:c r="D31" s="126"/>
      <x:c r="E31" s="126"/>
      <x:c r="F31" s="126"/>
      <x:c r="G31" s="126"/>
      <x:c r="H31" s="123" t="str">
        <x:f>IF(A31="","",(F31-E31)*1440)</x:f>
      </x:c>
      <x:c r="I31" s="123" t="str">
        <x:f>IF(A31="","",IF(F31&lt;=G31,"Kyllä","Ei"))</x:f>
      </x:c>
      <x:c r="J31" s="121">
        <x:f>J31</x:f>
      </x:c>
      <x:c r="K31" s="121">
        <x:f>K31</x:f>
      </x:c>
      <x:c r="L31" s="123" t="str">
        <x:f>IF(A31="","",IF(I31="Ei","Myöhästymisriski",""))</x:f>
      </x:c>
      <x:c r="M31" s="123" t="str">
        <x:f>IF(A31="","",IF(L31&lt;&gt;"","Ilmoita asiakkaalle","Seuraa"))</x:f>
      </x:c>
      <x:c r="N31" s="121"/>
    </x:row>
    <x:row r="32">
      <x:c r="A32" s="121"/>
      <x:c r="B32" s="121"/>
      <x:c r="C32" s="121"/>
      <x:c r="D32" s="126"/>
      <x:c r="E32" s="126"/>
      <x:c r="F32" s="126"/>
      <x:c r="G32" s="126"/>
      <x:c r="H32" s="123" t="str">
        <x:f>IF(A32="","",(F32-E32)*1440)</x:f>
      </x:c>
      <x:c r="I32" s="123" t="str">
        <x:f>IF(A32="","",IF(F32&lt;=G32,"Kyllä","Ei"))</x:f>
      </x:c>
      <x:c r="J32" s="121">
        <x:f>J32</x:f>
      </x:c>
      <x:c r="K32" s="121">
        <x:f>K32</x:f>
      </x:c>
      <x:c r="L32" s="123" t="str">
        <x:f>IF(A32="","",IF(I32="Ei","Myöhästymisriski",""))</x:f>
      </x:c>
      <x:c r="M32" s="123" t="str">
        <x:f>IF(A32="","",IF(L32&lt;&gt;"","Ilmoita asiakkaalle","Seuraa"))</x:f>
      </x:c>
      <x:c r="N32" s="121"/>
    </x:row>
    <x:row r="33">
      <x:c r="A33" s="121"/>
      <x:c r="B33" s="121"/>
      <x:c r="C33" s="121"/>
      <x:c r="D33" s="126"/>
      <x:c r="E33" s="126"/>
      <x:c r="F33" s="126"/>
      <x:c r="G33" s="126"/>
      <x:c r="H33" s="123" t="str">
        <x:f>IF(A33="","",(F33-E33)*1440)</x:f>
      </x:c>
      <x:c r="I33" s="123" t="str">
        <x:f>IF(A33="","",IF(F33&lt;=G33,"Kyllä","Ei"))</x:f>
      </x:c>
      <x:c r="J33" s="121">
        <x:f>J33</x:f>
      </x:c>
      <x:c r="K33" s="121">
        <x:f>K33</x:f>
      </x:c>
      <x:c r="L33" s="123" t="str">
        <x:f>IF(A33="","",IF(I33="Ei","Myöhästymisriski",""))</x:f>
      </x:c>
      <x:c r="M33" s="123" t="str">
        <x:f>IF(A33="","",IF(L33&lt;&gt;"","Ilmoita asiakkaalle","Seuraa"))</x:f>
      </x:c>
      <x:c r="N33" s="121"/>
    </x:row>
    <x:row r="34">
      <x:c r="A34" s="121"/>
      <x:c r="B34" s="121"/>
      <x:c r="C34" s="121"/>
      <x:c r="D34" s="126"/>
      <x:c r="E34" s="126"/>
      <x:c r="F34" s="126"/>
      <x:c r="G34" s="126"/>
      <x:c r="H34" s="123" t="str">
        <x:f>IF(A34="","",(F34-E34)*1440)</x:f>
      </x:c>
      <x:c r="I34" s="123" t="str">
        <x:f>IF(A34="","",IF(F34&lt;=G34,"Kyllä","Ei"))</x:f>
      </x:c>
      <x:c r="J34" s="121">
        <x:f>J34</x:f>
      </x:c>
      <x:c r="K34" s="121">
        <x:f>K34</x:f>
      </x:c>
      <x:c r="L34" s="123" t="str">
        <x:f>IF(A34="","",IF(I34="Ei","Myöhästymisriski",""))</x:f>
      </x:c>
      <x:c r="M34" s="123" t="str">
        <x:f>IF(A34="","",IF(L34&lt;&gt;"","Ilmoita asiakkaalle","Seuraa"))</x:f>
      </x:c>
      <x:c r="N34" s="121"/>
    </x:row>
    <x:row r="35">
      <x:c r="A35" s="121"/>
      <x:c r="B35" s="121"/>
      <x:c r="C35" s="121"/>
      <x:c r="D35" s="126"/>
      <x:c r="E35" s="126"/>
      <x:c r="F35" s="126"/>
      <x:c r="G35" s="126"/>
      <x:c r="H35" s="123" t="str">
        <x:f>IF(A35="","",(F35-E35)*1440)</x:f>
      </x:c>
      <x:c r="I35" s="123" t="str">
        <x:f>IF(A35="","",IF(F35&lt;=G35,"Kyllä","Ei"))</x:f>
      </x:c>
      <x:c r="J35" s="121">
        <x:f>J35</x:f>
      </x:c>
      <x:c r="K35" s="121">
        <x:f>K35</x:f>
      </x:c>
      <x:c r="L35" s="123" t="str">
        <x:f>IF(A35="","",IF(I35="Ei","Myöhästymisriski",""))</x:f>
      </x:c>
      <x:c r="M35" s="123" t="str">
        <x:f>IF(A35="","",IF(L35&lt;&gt;"","Ilmoita asiakkaalle","Seuraa"))</x:f>
      </x:c>
      <x:c r="N35" s="121"/>
    </x:row>
    <x:row r="36">
      <x:c r="A36" s="121"/>
      <x:c r="B36" s="121"/>
      <x:c r="C36" s="121"/>
      <x:c r="D36" s="126"/>
      <x:c r="E36" s="126"/>
      <x:c r="F36" s="126"/>
      <x:c r="G36" s="126"/>
      <x:c r="H36" s="123" t="str">
        <x:f>IF(A36="","",(F36-E36)*1440)</x:f>
      </x:c>
      <x:c r="I36" s="123" t="str">
        <x:f>IF(A36="","",IF(F36&lt;=G36,"Kyllä","Ei"))</x:f>
      </x:c>
      <x:c r="J36" s="121">
        <x:f>J36</x:f>
      </x:c>
      <x:c r="K36" s="121">
        <x:f>K36</x:f>
      </x:c>
      <x:c r="L36" s="123" t="str">
        <x:f>IF(A36="","",IF(I36="Ei","Myöhästymisriski",""))</x:f>
      </x:c>
      <x:c r="M36" s="123" t="str">
        <x:f>IF(A36="","",IF(L36&lt;&gt;"","Ilmoita asiakkaalle","Seuraa"))</x:f>
      </x:c>
      <x:c r="N36" s="121"/>
    </x:row>
    <x:row r="37">
      <x:c r="A37" s="121"/>
      <x:c r="B37" s="121"/>
      <x:c r="C37" s="121"/>
      <x:c r="D37" s="126"/>
      <x:c r="E37" s="126"/>
      <x:c r="F37" s="126"/>
      <x:c r="G37" s="126"/>
      <x:c r="H37" s="123" t="str">
        <x:f>IF(A37="","",(F37-E37)*1440)</x:f>
      </x:c>
      <x:c r="I37" s="123" t="str">
        <x:f>IF(A37="","",IF(F37&lt;=G37,"Kyllä","Ei"))</x:f>
      </x:c>
      <x:c r="J37" s="121">
        <x:f>J37</x:f>
      </x:c>
      <x:c r="K37" s="121">
        <x:f>K37</x:f>
      </x:c>
      <x:c r="L37" s="123" t="str">
        <x:f>IF(A37="","",IF(I37="Ei","Myöhästymisriski",""))</x:f>
      </x:c>
      <x:c r="M37" s="123" t="str">
        <x:f>IF(A37="","",IF(L37&lt;&gt;"","Ilmoita asiakkaalle","Seuraa"))</x:f>
      </x:c>
      <x:c r="N37" s="121"/>
    </x:row>
    <x:row r="38">
      <x:c r="A38" s="121"/>
      <x:c r="B38" s="121"/>
      <x:c r="C38" s="121"/>
      <x:c r="D38" s="126"/>
      <x:c r="E38" s="126"/>
      <x:c r="F38" s="126"/>
      <x:c r="G38" s="126"/>
      <x:c r="H38" s="123" t="str">
        <x:f>IF(A38="","",(F38-E38)*1440)</x:f>
      </x:c>
      <x:c r="I38" s="123" t="str">
        <x:f>IF(A38="","",IF(F38&lt;=G38,"Kyllä","Ei"))</x:f>
      </x:c>
      <x:c r="J38" s="121">
        <x:f>J38</x:f>
      </x:c>
      <x:c r="K38" s="121">
        <x:f>K38</x:f>
      </x:c>
      <x:c r="L38" s="123" t="str">
        <x:f>IF(A38="","",IF(I38="Ei","Myöhästymisriski",""))</x:f>
      </x:c>
      <x:c r="M38" s="123" t="str">
        <x:f>IF(A38="","",IF(L38&lt;&gt;"","Ilmoita asiakkaalle","Seuraa"))</x:f>
      </x:c>
      <x:c r="N38" s="121"/>
    </x:row>
    <x:row r="39">
      <x:c r="A39" s="121"/>
      <x:c r="B39" s="121"/>
      <x:c r="C39" s="121"/>
      <x:c r="D39" s="126"/>
      <x:c r="E39" s="126"/>
      <x:c r="F39" s="126"/>
      <x:c r="G39" s="126"/>
      <x:c r="H39" s="123" t="str">
        <x:f>IF(A39="","",(F39-E39)*1440)</x:f>
      </x:c>
      <x:c r="I39" s="123" t="str">
        <x:f>IF(A39="","",IF(F39&lt;=G39,"Kyllä","Ei"))</x:f>
      </x:c>
      <x:c r="J39" s="121">
        <x:f>J39</x:f>
      </x:c>
      <x:c r="K39" s="121">
        <x:f>K39</x:f>
      </x:c>
      <x:c r="L39" s="123" t="str">
        <x:f>IF(A39="","",IF(I39="Ei","Myöhästymisriski",""))</x:f>
      </x:c>
      <x:c r="M39" s="123" t="str">
        <x:f>IF(A39="","",IF(L39&lt;&gt;"","Ilmoita asiakkaalle","Seuraa"))</x:f>
      </x:c>
      <x:c r="N39" s="121"/>
    </x:row>
    <x:row r="40">
      <x:c r="A40" s="121"/>
      <x:c r="B40" s="121"/>
      <x:c r="C40" s="121"/>
      <x:c r="D40" s="126"/>
      <x:c r="E40" s="126"/>
      <x:c r="F40" s="126"/>
      <x:c r="G40" s="126"/>
      <x:c r="H40" s="123" t="str">
        <x:f>IF(A40="","",(F40-E40)*1440)</x:f>
      </x:c>
      <x:c r="I40" s="123" t="str">
        <x:f>IF(A40="","",IF(F40&lt;=G40,"Kyllä","Ei"))</x:f>
      </x:c>
      <x:c r="J40" s="121">
        <x:f>J40</x:f>
      </x:c>
      <x:c r="K40" s="121">
        <x:f>K40</x:f>
      </x:c>
      <x:c r="L40" s="123" t="str">
        <x:f>IF(A40="","",IF(I40="Ei","Myöhästymisriski",""))</x:f>
      </x:c>
      <x:c r="M40" s="123" t="str">
        <x:f>IF(A40="","",IF(L40&lt;&gt;"","Ilmoita asiakkaalle","Seuraa"))</x:f>
      </x:c>
      <x:c r="N40" s="121"/>
    </x:row>
    <x:row r="41">
      <x:c r="A41" s="121"/>
      <x:c r="B41" s="121"/>
      <x:c r="C41" s="121"/>
      <x:c r="D41" s="126"/>
      <x:c r="E41" s="126"/>
      <x:c r="F41" s="126"/>
      <x:c r="G41" s="126"/>
      <x:c r="H41" s="123"/>
      <x:c r="I41" s="123"/>
      <x:c r="J41" s="121"/>
      <x:c r="K41" s="121"/>
      <x:c r="L41" s="123"/>
      <x:c r="M41" s="123"/>
      <x:c r="N41" s="121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e4e90c1b8219447f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22" hidden="0" customWidth="1"/>
    <x:col min="10" max="10" width="22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</x:cols>
  <x:sheetData>
    <x:row r="1">
      <x:c r="A1" s="108" t="str">
        <x:v>7. Exception management – poikkeamahallinta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Kerää poikkeamat, vakavuuden ja suositellun toimenpiteen.</x:v>
      </x:c>
    </x:row>
    <x:row r="4">
      <x:c r="A4" s="118" t="str">
        <x:v>Exception ID</x:v>
      </x:c>
      <x:c r="B4" s="118" t="str">
        <x:v>Shipment</x:v>
      </x:c>
      <x:c r="C4" s="118" t="str">
        <x:v>Aika</x:v>
      </x:c>
      <x:c r="D4" s="118" t="str">
        <x:v>Tyyppi</x:v>
      </x:c>
      <x:c r="E4" s="118" t="str">
        <x:v>Syy</x:v>
      </x:c>
      <x:c r="F4" s="118" t="str">
        <x:v>Vakavuus</x:v>
      </x:c>
      <x:c r="G4" s="118" t="str">
        <x:v>Viive min</x:v>
      </x:c>
      <x:c r="H4" s="118" t="str">
        <x:v>Kustannus €</x:v>
      </x:c>
      <x:c r="I4" s="118" t="str">
        <x:v>Asiakasvaikutus</x:v>
      </x:c>
      <x:c r="J4" s="118" t="str">
        <x:v>Toimenpide</x:v>
      </x:c>
      <x:c r="K4" s="118" t="str">
        <x:v>Owner</x:v>
      </x:c>
      <x:c r="L4" s="118" t="str">
        <x:v>Status</x:v>
      </x:c>
      <x:c r="M4" s="118" t="str">
        <x:v>SLA riski</x:v>
      </x:c>
      <x:c r="N4" s="118" t="str">
        <x:v>Huomio</x:v>
      </x:c>
    </x:row>
    <x:row r="5">
      <x:c r="A5" s="121" t="str">
        <x:v>E-001</x:v>
      </x:c>
      <x:c r="B5" s="121" t="str">
        <x:v>S-002</x:v>
      </x:c>
      <x:c r="C5" s="126" t="n">
        <x:v>46147.5</x:v>
      </x:c>
      <x:c r="D5" s="121" t="str">
        <x:v>Delay</x:v>
      </x:c>
      <x:c r="E5" s="121" t="str">
        <x:v>Ruuhka</x:v>
      </x:c>
      <x:c r="F5" s="121" t="str">
        <x:v>Keskitaso</x:v>
      </x:c>
      <x:c r="G5" s="121" t="n">
        <x:v>45</x:v>
      </x:c>
      <x:c r="H5" s="121" t="n">
        <x:v>0</x:v>
      </x:c>
      <x:c r="I5" s="121" t="str">
        <x:v>Mahdollinen</x:v>
      </x:c>
      <x:c r="J5" s="121" t="str">
        <x:v>Päivitä ETA</x:v>
      </x:c>
      <x:c r="K5" s="121" t="str">
        <x:v>Toni</x:v>
      </x:c>
      <x:c r="L5" s="121" t="str">
        <x:v>Avoin</x:v>
      </x:c>
      <x:c r="M5" s="123" t="str">
        <x:f>IF(A5="","",IF(OR(F5="Korkea",G5&gt;60),"Korkea","Normaali"))</x:f>
        <x:v>Normaali</x:v>
      </x:c>
      <x:c r="N5" s="121" t="str"/>
    </x:row>
    <x:row r="6">
      <x:c r="A6" s="121" t="str">
        <x:v>E-002</x:v>
      </x:c>
      <x:c r="B6" s="121" t="str">
        <x:v>S-003</x:v>
      </x:c>
      <x:c r="C6" s="126" t="n">
        <x:v>46147.541666666664</x:v>
      </x:c>
      <x:c r="D6" s="121" t="str">
        <x:v>Temperature</x:v>
      </x:c>
      <x:c r="E6" s="121" t="str">
        <x:v>Thermo hälytys</x:v>
      </x:c>
      <x:c r="F6" s="121" t="str">
        <x:v>Korkea</x:v>
      </x:c>
      <x:c r="G6" s="121" t="n">
        <x:v>0</x:v>
      </x:c>
      <x:c r="H6" s="121" t="n">
        <x:v>120</x:v>
      </x:c>
      <x:c r="I6" s="121" t="str">
        <x:v>Korkea</x:v>
      </x:c>
      <x:c r="J6" s="121" t="str">
        <x:v>Soita kuljettajalle</x:v>
      </x:c>
      <x:c r="K6" s="121" t="str">
        <x:v>Toni</x:v>
      </x:c>
      <x:c r="L6" s="121" t="str">
        <x:v>Avoin</x:v>
      </x:c>
      <x:c r="M6" s="123" t="str">
        <x:f>IF(A6="","",IF(OR(F6="Korkea",G6&gt;60),"Korkea","Normaali"))</x:f>
        <x:v>Korkea</x:v>
      </x:c>
      <x:c r="N6" s="121" t="str"/>
    </x:row>
    <x:row r="7">
      <x:c r="A7" s="121"/>
      <x:c r="B7" s="121"/>
      <x:c r="C7" s="126"/>
      <x:c r="D7" s="121"/>
      <x:c r="E7" s="121"/>
      <x:c r="F7" s="121"/>
      <x:c r="G7" s="121"/>
      <x:c r="H7" s="121"/>
      <x:c r="I7" s="121"/>
      <x:c r="J7" s="121"/>
      <x:c r="K7" s="121"/>
      <x:c r="L7" s="121"/>
      <x:c r="M7" s="123" t="str">
        <x:f>IF(A7="","",IF(OR(F7="Korkea",G7&gt;60),"Korkea","Normaali"))</x:f>
      </x:c>
      <x:c r="N7" s="121"/>
    </x:row>
    <x:row r="8">
      <x:c r="A8" s="121"/>
      <x:c r="B8" s="121"/>
      <x:c r="C8" s="126"/>
      <x:c r="D8" s="121"/>
      <x:c r="E8" s="121"/>
      <x:c r="F8" s="121"/>
      <x:c r="G8" s="121"/>
      <x:c r="H8" s="121"/>
      <x:c r="I8" s="121"/>
      <x:c r="J8" s="121"/>
      <x:c r="K8" s="121"/>
      <x:c r="L8" s="121"/>
      <x:c r="M8" s="123" t="str">
        <x:f>IF(A8="","",IF(OR(F8="Korkea",G8&gt;60),"Korkea","Normaali"))</x:f>
      </x:c>
      <x:c r="N8" s="121"/>
    </x:row>
    <x:row r="9">
      <x:c r="A9" s="121"/>
      <x:c r="B9" s="121"/>
      <x:c r="C9" s="126"/>
      <x:c r="D9" s="121"/>
      <x:c r="E9" s="121"/>
      <x:c r="F9" s="121"/>
      <x:c r="G9" s="121"/>
      <x:c r="H9" s="121"/>
      <x:c r="I9" s="121"/>
      <x:c r="J9" s="121"/>
      <x:c r="K9" s="121"/>
      <x:c r="L9" s="121"/>
      <x:c r="M9" s="123" t="str">
        <x:f>IF(A9="","",IF(OR(F9="Korkea",G9&gt;60),"Korkea","Normaali"))</x:f>
      </x:c>
      <x:c r="N9" s="121"/>
    </x:row>
    <x:row r="10">
      <x:c r="A10" s="121"/>
      <x:c r="B10" s="121"/>
      <x:c r="C10" s="126"/>
      <x:c r="D10" s="121"/>
      <x:c r="E10" s="121"/>
      <x:c r="F10" s="121"/>
      <x:c r="G10" s="121"/>
      <x:c r="H10" s="121"/>
      <x:c r="I10" s="121"/>
      <x:c r="J10" s="121"/>
      <x:c r="K10" s="121"/>
      <x:c r="L10" s="121"/>
      <x:c r="M10" s="123" t="str">
        <x:f>IF(A10="","",IF(OR(F10="Korkea",G10&gt;60),"Korkea","Normaali"))</x:f>
      </x:c>
      <x:c r="N10" s="121"/>
    </x:row>
    <x:row r="11">
      <x:c r="A11" s="121"/>
      <x:c r="B11" s="121"/>
      <x:c r="C11" s="126"/>
      <x:c r="D11" s="121"/>
      <x:c r="E11" s="121"/>
      <x:c r="F11" s="121"/>
      <x:c r="G11" s="121"/>
      <x:c r="H11" s="121"/>
      <x:c r="I11" s="121"/>
      <x:c r="J11" s="121"/>
      <x:c r="K11" s="121"/>
      <x:c r="L11" s="121"/>
      <x:c r="M11" s="123" t="str">
        <x:f>IF(A11="","",IF(OR(F11="Korkea",G11&gt;60),"Korkea","Normaali"))</x:f>
      </x:c>
      <x:c r="N11" s="121"/>
    </x:row>
    <x:row r="12">
      <x:c r="A12" s="121"/>
      <x:c r="B12" s="121"/>
      <x:c r="C12" s="126"/>
      <x:c r="D12" s="121"/>
      <x:c r="E12" s="121"/>
      <x:c r="F12" s="121"/>
      <x:c r="G12" s="121"/>
      <x:c r="H12" s="121"/>
      <x:c r="I12" s="121"/>
      <x:c r="J12" s="121"/>
      <x:c r="K12" s="121"/>
      <x:c r="L12" s="121"/>
      <x:c r="M12" s="123" t="str">
        <x:f>IF(A12="","",IF(OR(F12="Korkea",G12&gt;60),"Korkea","Normaali"))</x:f>
      </x:c>
      <x:c r="N12" s="121"/>
    </x:row>
    <x:row r="13">
      <x:c r="A13" s="121"/>
      <x:c r="B13" s="121"/>
      <x:c r="C13" s="126"/>
      <x:c r="D13" s="121"/>
      <x:c r="E13" s="121"/>
      <x:c r="F13" s="121"/>
      <x:c r="G13" s="121"/>
      <x:c r="H13" s="121"/>
      <x:c r="I13" s="121"/>
      <x:c r="J13" s="121"/>
      <x:c r="K13" s="121"/>
      <x:c r="L13" s="121"/>
      <x:c r="M13" s="123" t="str">
        <x:f>IF(A13="","",IF(OR(F13="Korkea",G13&gt;60),"Korkea","Normaali"))</x:f>
      </x:c>
      <x:c r="N13" s="121"/>
    </x:row>
    <x:row r="14">
      <x:c r="A14" s="121"/>
      <x:c r="B14" s="121"/>
      <x:c r="C14" s="126"/>
      <x:c r="D14" s="121"/>
      <x:c r="E14" s="121"/>
      <x:c r="F14" s="121"/>
      <x:c r="G14" s="121"/>
      <x:c r="H14" s="121"/>
      <x:c r="I14" s="121"/>
      <x:c r="J14" s="121"/>
      <x:c r="K14" s="121"/>
      <x:c r="L14" s="121"/>
      <x:c r="M14" s="123" t="str">
        <x:f>IF(A14="","",IF(OR(F14="Korkea",G14&gt;60),"Korkea","Normaali"))</x:f>
      </x:c>
      <x:c r="N14" s="121"/>
    </x:row>
    <x:row r="15">
      <x:c r="A15" s="121"/>
      <x:c r="B15" s="121"/>
      <x:c r="C15" s="126"/>
      <x:c r="D15" s="121"/>
      <x:c r="E15" s="121"/>
      <x:c r="F15" s="121"/>
      <x:c r="G15" s="121"/>
      <x:c r="H15" s="121"/>
      <x:c r="I15" s="121"/>
      <x:c r="J15" s="121"/>
      <x:c r="K15" s="121"/>
      <x:c r="L15" s="121"/>
      <x:c r="M15" s="123" t="str">
        <x:f>IF(A15="","",IF(OR(F15="Korkea",G15&gt;60),"Korkea","Normaali"))</x:f>
      </x:c>
      <x:c r="N15" s="121"/>
    </x:row>
    <x:row r="16">
      <x:c r="A16" s="121"/>
      <x:c r="B16" s="121"/>
      <x:c r="C16" s="126"/>
      <x:c r="D16" s="121"/>
      <x:c r="E16" s="121"/>
      <x:c r="F16" s="121"/>
      <x:c r="G16" s="121"/>
      <x:c r="H16" s="121"/>
      <x:c r="I16" s="121"/>
      <x:c r="J16" s="121"/>
      <x:c r="K16" s="121"/>
      <x:c r="L16" s="121"/>
      <x:c r="M16" s="123" t="str">
        <x:f>IF(A16="","",IF(OR(F16="Korkea",G16&gt;60),"Korkea","Normaali"))</x:f>
      </x:c>
      <x:c r="N16" s="121"/>
    </x:row>
    <x:row r="17">
      <x:c r="A17" s="121"/>
      <x:c r="B17" s="121"/>
      <x:c r="C17" s="126"/>
      <x:c r="D17" s="121"/>
      <x:c r="E17" s="121"/>
      <x:c r="F17" s="121"/>
      <x:c r="G17" s="121"/>
      <x:c r="H17" s="121"/>
      <x:c r="I17" s="121"/>
      <x:c r="J17" s="121"/>
      <x:c r="K17" s="121"/>
      <x:c r="L17" s="121"/>
      <x:c r="M17" s="123" t="str">
        <x:f>IF(A17="","",IF(OR(F17="Korkea",G17&gt;60),"Korkea","Normaali"))</x:f>
      </x:c>
      <x:c r="N17" s="121"/>
    </x:row>
    <x:row r="18">
      <x:c r="A18" s="121"/>
      <x:c r="B18" s="121"/>
      <x:c r="C18" s="126"/>
      <x:c r="D18" s="121"/>
      <x:c r="E18" s="121"/>
      <x:c r="F18" s="121"/>
      <x:c r="G18" s="121"/>
      <x:c r="H18" s="121"/>
      <x:c r="I18" s="121"/>
      <x:c r="J18" s="121"/>
      <x:c r="K18" s="121"/>
      <x:c r="L18" s="121"/>
      <x:c r="M18" s="123" t="str">
        <x:f>IF(A18="","",IF(OR(F18="Korkea",G18&gt;60),"Korkea","Normaali"))</x:f>
      </x:c>
      <x:c r="N18" s="121"/>
    </x:row>
    <x:row r="19">
      <x:c r="A19" s="121"/>
      <x:c r="B19" s="121"/>
      <x:c r="C19" s="126"/>
      <x:c r="D19" s="121"/>
      <x:c r="E19" s="121"/>
      <x:c r="F19" s="121"/>
      <x:c r="G19" s="121"/>
      <x:c r="H19" s="121"/>
      <x:c r="I19" s="121"/>
      <x:c r="J19" s="121"/>
      <x:c r="K19" s="121"/>
      <x:c r="L19" s="121"/>
      <x:c r="M19" s="123" t="str">
        <x:f>IF(A19="","",IF(OR(F19="Korkea",G19&gt;60),"Korkea","Normaali"))</x:f>
      </x:c>
      <x:c r="N19" s="121"/>
    </x:row>
    <x:row r="20">
      <x:c r="A20" s="121"/>
      <x:c r="B20" s="121"/>
      <x:c r="C20" s="126"/>
      <x:c r="D20" s="121"/>
      <x:c r="E20" s="121"/>
      <x:c r="F20" s="121"/>
      <x:c r="G20" s="121"/>
      <x:c r="H20" s="121"/>
      <x:c r="I20" s="121"/>
      <x:c r="J20" s="121"/>
      <x:c r="K20" s="121"/>
      <x:c r="L20" s="121"/>
      <x:c r="M20" s="123" t="str">
        <x:f>IF(A20="","",IF(OR(F20="Korkea",G20&gt;60),"Korkea","Normaali"))</x:f>
      </x:c>
      <x:c r="N20" s="121"/>
    </x:row>
    <x:row r="21">
      <x:c r="A21" s="121"/>
      <x:c r="B21" s="121"/>
      <x:c r="C21" s="126"/>
      <x:c r="D21" s="121"/>
      <x:c r="E21" s="121"/>
      <x:c r="F21" s="121"/>
      <x:c r="G21" s="121"/>
      <x:c r="H21" s="121"/>
      <x:c r="I21" s="121"/>
      <x:c r="J21" s="121"/>
      <x:c r="K21" s="121"/>
      <x:c r="L21" s="121"/>
      <x:c r="M21" s="123" t="str">
        <x:f>IF(A21="","",IF(OR(F21="Korkea",G21&gt;60),"Korkea","Normaali"))</x:f>
      </x:c>
      <x:c r="N21" s="121"/>
    </x:row>
    <x:row r="22">
      <x:c r="A22" s="121"/>
      <x:c r="B22" s="121"/>
      <x:c r="C22" s="126"/>
      <x:c r="D22" s="121"/>
      <x:c r="E22" s="121"/>
      <x:c r="F22" s="121"/>
      <x:c r="G22" s="121"/>
      <x:c r="H22" s="121"/>
      <x:c r="I22" s="121"/>
      <x:c r="J22" s="121"/>
      <x:c r="K22" s="121"/>
      <x:c r="L22" s="121"/>
      <x:c r="M22" s="123" t="str">
        <x:f>IF(A22="","",IF(OR(F22="Korkea",G22&gt;60),"Korkea","Normaali"))</x:f>
      </x:c>
      <x:c r="N22" s="121"/>
    </x:row>
    <x:row r="23">
      <x:c r="A23" s="121"/>
      <x:c r="B23" s="121"/>
      <x:c r="C23" s="126"/>
      <x:c r="D23" s="121"/>
      <x:c r="E23" s="121"/>
      <x:c r="F23" s="121"/>
      <x:c r="G23" s="121"/>
      <x:c r="H23" s="121"/>
      <x:c r="I23" s="121"/>
      <x:c r="J23" s="121"/>
      <x:c r="K23" s="121"/>
      <x:c r="L23" s="121"/>
      <x:c r="M23" s="123" t="str">
        <x:f>IF(A23="","",IF(OR(F23="Korkea",G23&gt;60),"Korkea","Normaali"))</x:f>
      </x:c>
      <x:c r="N23" s="121"/>
    </x:row>
    <x:row r="24">
      <x:c r="A24" s="121"/>
      <x:c r="B24" s="121"/>
      <x:c r="C24" s="126"/>
      <x:c r="D24" s="121"/>
      <x:c r="E24" s="121"/>
      <x:c r="F24" s="121"/>
      <x:c r="G24" s="121"/>
      <x:c r="H24" s="121"/>
      <x:c r="I24" s="121"/>
      <x:c r="J24" s="121"/>
      <x:c r="K24" s="121"/>
      <x:c r="L24" s="121"/>
      <x:c r="M24" s="123" t="str">
        <x:f>IF(A24="","",IF(OR(F24="Korkea",G24&gt;60),"Korkea","Normaali"))</x:f>
      </x:c>
      <x:c r="N24" s="121"/>
    </x:row>
    <x:row r="25">
      <x:c r="A25" s="121"/>
      <x:c r="B25" s="121"/>
      <x:c r="C25" s="126"/>
      <x:c r="D25" s="121"/>
      <x:c r="E25" s="121"/>
      <x:c r="F25" s="121"/>
      <x:c r="G25" s="121"/>
      <x:c r="H25" s="121"/>
      <x:c r="I25" s="121"/>
      <x:c r="J25" s="121"/>
      <x:c r="K25" s="121"/>
      <x:c r="L25" s="121"/>
      <x:c r="M25" s="123" t="str">
        <x:f>IF(A25="","",IF(OR(F25="Korkea",G25&gt;60),"Korkea","Normaali"))</x:f>
      </x:c>
      <x:c r="N25" s="121"/>
    </x:row>
    <x:row r="26">
      <x:c r="A26" s="121"/>
      <x:c r="B26" s="121"/>
      <x:c r="C26" s="126"/>
      <x:c r="D26" s="121"/>
      <x:c r="E26" s="121"/>
      <x:c r="F26" s="121"/>
      <x:c r="G26" s="121"/>
      <x:c r="H26" s="121"/>
      <x:c r="I26" s="121"/>
      <x:c r="J26" s="121"/>
      <x:c r="K26" s="121"/>
      <x:c r="L26" s="121"/>
      <x:c r="M26" s="123" t="str">
        <x:f>IF(A26="","",IF(OR(F26="Korkea",G26&gt;60),"Korkea","Normaali"))</x:f>
      </x:c>
      <x:c r="N26" s="121"/>
    </x:row>
    <x:row r="27">
      <x:c r="A27" s="121"/>
      <x:c r="B27" s="121"/>
      <x:c r="C27" s="126"/>
      <x:c r="D27" s="121"/>
      <x:c r="E27" s="121"/>
      <x:c r="F27" s="121"/>
      <x:c r="G27" s="121"/>
      <x:c r="H27" s="121"/>
      <x:c r="I27" s="121"/>
      <x:c r="J27" s="121"/>
      <x:c r="K27" s="121"/>
      <x:c r="L27" s="121"/>
      <x:c r="M27" s="123" t="str">
        <x:f>IF(A27="","",IF(OR(F27="Korkea",G27&gt;60),"Korkea","Normaali"))</x:f>
      </x:c>
      <x:c r="N27" s="121"/>
    </x:row>
    <x:row r="28">
      <x:c r="A28" s="121"/>
      <x:c r="B28" s="121"/>
      <x:c r="C28" s="126"/>
      <x:c r="D28" s="121"/>
      <x:c r="E28" s="121"/>
      <x:c r="F28" s="121"/>
      <x:c r="G28" s="121"/>
      <x:c r="H28" s="121"/>
      <x:c r="I28" s="121"/>
      <x:c r="J28" s="121"/>
      <x:c r="K28" s="121"/>
      <x:c r="L28" s="121"/>
      <x:c r="M28" s="123" t="str">
        <x:f>IF(A28="","",IF(OR(F28="Korkea",G28&gt;60),"Korkea","Normaali"))</x:f>
      </x:c>
      <x:c r="N28" s="121"/>
    </x:row>
    <x:row r="29">
      <x:c r="A29" s="121"/>
      <x:c r="B29" s="121"/>
      <x:c r="C29" s="126"/>
      <x:c r="D29" s="121"/>
      <x:c r="E29" s="121"/>
      <x:c r="F29" s="121"/>
      <x:c r="G29" s="121"/>
      <x:c r="H29" s="121"/>
      <x:c r="I29" s="121"/>
      <x:c r="J29" s="121"/>
      <x:c r="K29" s="121"/>
      <x:c r="L29" s="121"/>
      <x:c r="M29" s="123" t="str">
        <x:f>IF(A29="","",IF(OR(F29="Korkea",G29&gt;60),"Korkea","Normaali"))</x:f>
      </x:c>
      <x:c r="N29" s="121"/>
    </x:row>
    <x:row r="30">
      <x:c r="A30" s="121"/>
      <x:c r="B30" s="121"/>
      <x:c r="C30" s="126"/>
      <x:c r="D30" s="121"/>
      <x:c r="E30" s="121"/>
      <x:c r="F30" s="121"/>
      <x:c r="G30" s="121"/>
      <x:c r="H30" s="121"/>
      <x:c r="I30" s="121"/>
      <x:c r="J30" s="121"/>
      <x:c r="K30" s="121"/>
      <x:c r="L30" s="121"/>
      <x:c r="M30" s="123" t="str">
        <x:f>IF(A30="","",IF(OR(F30="Korkea",G30&gt;60),"Korkea","Normaali"))</x:f>
      </x:c>
      <x:c r="N30" s="121"/>
    </x:row>
    <x:row r="31">
      <x:c r="A31" s="121"/>
      <x:c r="B31" s="121"/>
      <x:c r="C31" s="126"/>
      <x:c r="D31" s="121"/>
      <x:c r="E31" s="121"/>
      <x:c r="F31" s="121"/>
      <x:c r="G31" s="121"/>
      <x:c r="H31" s="121"/>
      <x:c r="I31" s="121"/>
      <x:c r="J31" s="121"/>
      <x:c r="K31" s="121"/>
      <x:c r="L31" s="121"/>
      <x:c r="M31" s="123" t="str">
        <x:f>IF(A31="","",IF(OR(F31="Korkea",G31&gt;60),"Korkea","Normaali"))</x:f>
      </x:c>
      <x:c r="N31" s="121"/>
    </x:row>
    <x:row r="32">
      <x:c r="A32" s="121"/>
      <x:c r="B32" s="121"/>
      <x:c r="C32" s="126"/>
      <x:c r="D32" s="121"/>
      <x:c r="E32" s="121"/>
      <x:c r="F32" s="121"/>
      <x:c r="G32" s="121"/>
      <x:c r="H32" s="121"/>
      <x:c r="I32" s="121"/>
      <x:c r="J32" s="121"/>
      <x:c r="K32" s="121"/>
      <x:c r="L32" s="121"/>
      <x:c r="M32" s="123" t="str">
        <x:f>IF(A32="","",IF(OR(F32="Korkea",G32&gt;60),"Korkea","Normaali"))</x:f>
      </x:c>
      <x:c r="N32" s="121"/>
    </x:row>
    <x:row r="33">
      <x:c r="A33" s="121"/>
      <x:c r="B33" s="121"/>
      <x:c r="C33" s="126"/>
      <x:c r="D33" s="121"/>
      <x:c r="E33" s="121"/>
      <x:c r="F33" s="121"/>
      <x:c r="G33" s="121"/>
      <x:c r="H33" s="121"/>
      <x:c r="I33" s="121"/>
      <x:c r="J33" s="121"/>
      <x:c r="K33" s="121"/>
      <x:c r="L33" s="121"/>
      <x:c r="M33" s="123" t="str">
        <x:f>IF(A33="","",IF(OR(F33="Korkea",G33&gt;60),"Korkea","Normaali"))</x:f>
      </x:c>
      <x:c r="N33" s="121"/>
    </x:row>
    <x:row r="34">
      <x:c r="A34" s="121"/>
      <x:c r="B34" s="121"/>
      <x:c r="C34" s="126"/>
      <x:c r="D34" s="121"/>
      <x:c r="E34" s="121"/>
      <x:c r="F34" s="121"/>
      <x:c r="G34" s="121"/>
      <x:c r="H34" s="121"/>
      <x:c r="I34" s="121"/>
      <x:c r="J34" s="121"/>
      <x:c r="K34" s="121"/>
      <x:c r="L34" s="121"/>
      <x:c r="M34" s="123" t="str">
        <x:f>IF(A34="","",IF(OR(F34="Korkea",G34&gt;60),"Korkea","Normaali"))</x:f>
      </x:c>
      <x:c r="N34" s="121"/>
    </x:row>
    <x:row r="35">
      <x:c r="A35" s="121"/>
      <x:c r="B35" s="121"/>
      <x:c r="C35" s="126"/>
      <x:c r="D35" s="121"/>
      <x:c r="E35" s="121"/>
      <x:c r="F35" s="121"/>
      <x:c r="G35" s="121"/>
      <x:c r="H35" s="121"/>
      <x:c r="I35" s="121"/>
      <x:c r="J35" s="121"/>
      <x:c r="K35" s="121"/>
      <x:c r="L35" s="121"/>
      <x:c r="M35" s="123" t="str">
        <x:f>IF(A35="","",IF(OR(F35="Korkea",G35&gt;60),"Korkea","Normaali"))</x:f>
      </x:c>
      <x:c r="N35" s="121"/>
    </x:row>
    <x:row r="36">
      <x:c r="A36" s="121"/>
      <x:c r="B36" s="121"/>
      <x:c r="C36" s="126"/>
      <x:c r="D36" s="121"/>
      <x:c r="E36" s="121"/>
      <x:c r="F36" s="121"/>
      <x:c r="G36" s="121"/>
      <x:c r="H36" s="121"/>
      <x:c r="I36" s="121"/>
      <x:c r="J36" s="121"/>
      <x:c r="K36" s="121"/>
      <x:c r="L36" s="121"/>
      <x:c r="M36" s="123" t="str">
        <x:f>IF(A36="","",IF(OR(F36="Korkea",G36&gt;60),"Korkea","Normaali"))</x:f>
      </x:c>
      <x:c r="N36" s="121"/>
    </x:row>
    <x:row r="37">
      <x:c r="A37" s="121"/>
      <x:c r="B37" s="121"/>
      <x:c r="C37" s="126"/>
      <x:c r="D37" s="121"/>
      <x:c r="E37" s="121"/>
      <x:c r="F37" s="121"/>
      <x:c r="G37" s="121"/>
      <x:c r="H37" s="121"/>
      <x:c r="I37" s="121"/>
      <x:c r="J37" s="121"/>
      <x:c r="K37" s="121"/>
      <x:c r="L37" s="121"/>
      <x:c r="M37" s="123" t="str">
        <x:f>IF(A37="","",IF(OR(F37="Korkea",G37&gt;60),"Korkea","Normaali"))</x:f>
      </x:c>
      <x:c r="N37" s="121"/>
    </x:row>
    <x:row r="38">
      <x:c r="A38" s="121"/>
      <x:c r="B38" s="121"/>
      <x:c r="C38" s="126"/>
      <x:c r="D38" s="121"/>
      <x:c r="E38" s="121"/>
      <x:c r="F38" s="121"/>
      <x:c r="G38" s="121"/>
      <x:c r="H38" s="121"/>
      <x:c r="I38" s="121"/>
      <x:c r="J38" s="121"/>
      <x:c r="K38" s="121"/>
      <x:c r="L38" s="121"/>
      <x:c r="M38" s="123" t="str">
        <x:f>IF(A38="","",IF(OR(F38="Korkea",G38&gt;60),"Korkea","Normaali"))</x:f>
      </x:c>
      <x:c r="N38" s="121"/>
    </x:row>
    <x:row r="39">
      <x:c r="A39" s="121"/>
      <x:c r="B39" s="121"/>
      <x:c r="C39" s="126"/>
      <x:c r="D39" s="121"/>
      <x:c r="E39" s="121"/>
      <x:c r="F39" s="121"/>
      <x:c r="G39" s="121"/>
      <x:c r="H39" s="121"/>
      <x:c r="I39" s="121"/>
      <x:c r="J39" s="121"/>
      <x:c r="K39" s="121"/>
      <x:c r="L39" s="121"/>
      <x:c r="M39" s="123" t="str">
        <x:f>IF(A39="","",IF(OR(F39="Korkea",G39&gt;60),"Korkea","Normaali"))</x:f>
      </x:c>
      <x:c r="N39" s="121"/>
    </x:row>
    <x:row r="40">
      <x:c r="A40" s="121"/>
      <x:c r="B40" s="121"/>
      <x:c r="C40" s="126"/>
      <x:c r="D40" s="121"/>
      <x:c r="E40" s="121"/>
      <x:c r="F40" s="121"/>
      <x:c r="G40" s="121"/>
      <x:c r="H40" s="121"/>
      <x:c r="I40" s="121"/>
      <x:c r="J40" s="121"/>
      <x:c r="K40" s="121"/>
      <x:c r="L40" s="121"/>
      <x:c r="M40" s="123" t="str">
        <x:f>IF(A40="","",IF(OR(F40="Korkea",G40&gt;60),"Korkea","Normaali"))</x:f>
      </x:c>
      <x:c r="N40" s="121"/>
    </x:row>
    <x:row r="41">
      <x:c r="A41" s="121"/>
      <x:c r="B41" s="121"/>
      <x:c r="C41" s="126"/>
      <x:c r="D41" s="121"/>
      <x:c r="E41" s="121"/>
      <x:c r="F41" s="121"/>
      <x:c r="G41" s="121"/>
      <x:c r="H41" s="121"/>
      <x:c r="I41" s="121"/>
      <x:c r="J41" s="121"/>
      <x:c r="K41" s="121"/>
      <x:c r="L41" s="121"/>
      <x:c r="M41" s="123"/>
      <x:c r="N41" s="121"/>
    </x:row>
  </x:sheetData>
  <x:mergeCells>
    <x:mergeCell ref="A1:N1"/>
    <x:mergeCell ref="A2:N2"/>
  </x:mergeCells>
  <x:dataValidations count="2">
    <x:dataValidation type="list" sqref="F5:F41">
      <x:formula1>"Matala,Keskitaso,Korkea"</x:formula1>
    </x:dataValidation>
    <x:dataValidation type="list" sqref="L5:L41">
      <x:formula1>"Avoin,Työn alla,Suljettu"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878d2bab3c40b1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</x:cols>
  <x:sheetData>
    <x:row r="1">
      <x:c r="A1" s="108" t="str">
        <x:v>8. Tendering – tarjouskilpailutus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Simuloi tarjouspyynnön lähettämistä usealle kuljetusliikkeelle ja valintaa.</x:v>
      </x:c>
    </x:row>
    <x:row r="4">
      <x:c r="A4" s="118" t="str">
        <x:v>Tender ID</x:v>
      </x:c>
      <x:c r="B4" s="118" t="str">
        <x:v>Reitti</x:v>
      </x:c>
      <x:c r="C4" s="118" t="str">
        <x:v>Carrier</x:v>
      </x:c>
      <x:c r="D4" s="118" t="str">
        <x:v>Tarjous €</x:v>
      </x:c>
      <x:c r="E4" s="118" t="str">
        <x:v>Vastaus</x:v>
      </x:c>
      <x:c r="F4" s="118" t="str">
        <x:v>Kapasiteetti?</x:v>
      </x:c>
      <x:c r="G4" s="118" t="str">
        <x:v>On-time %</x:v>
      </x:c>
      <x:c r="H4" s="118" t="str">
        <x:v>Laatu</x:v>
      </x:c>
      <x:c r="I4" s="118" t="str">
        <x:v>CO₂ score</x:v>
      </x:c>
      <x:c r="J4" s="118" t="str">
        <x:v>Hinta score</x:v>
      </x:c>
      <x:c r="K4" s="118" t="str">
        <x:v>Kokonais score</x:v>
      </x:c>
      <x:c r="L4" s="118" t="str">
        <x:v>Voittaja</x:v>
      </x:c>
      <x:c r="M4" s="118" t="str">
        <x:v>Perustelu</x:v>
      </x:c>
      <x:c r="N4" s="118" t="str">
        <x:v>Huomio</x:v>
      </x:c>
    </x:row>
    <x:row r="5">
      <x:c r="A5" s="121" t="str">
        <x:v>T-001</x:v>
      </x:c>
      <x:c r="B5" s="121" t="str">
        <x:v>R1</x:v>
      </x:c>
      <x:c r="C5" s="121" t="str">
        <x:v>Carrier A</x:v>
      </x:c>
      <x:c r="D5" s="128" t="n">
        <x:v>850</x:v>
      </x:c>
      <x:c r="E5" s="121" t="str">
        <x:v>Vastattu</x:v>
      </x:c>
      <x:c r="F5" s="121" t="str">
        <x:v>Kyllä</x:v>
      </x:c>
      <x:c r="G5" s="129" t="n">
        <x:v>0.96</x:v>
      </x:c>
      <x:c r="H5" s="121" t="n">
        <x:v>90</x:v>
      </x:c>
      <x:c r="I5" s="121" t="n">
        <x:v>80</x:v>
      </x:c>
      <x:c r="J5" s="123" t="n">
        <x:f>IF(A5="","",MAX(0,100*(1-(D5-MIN($D$5:$D$40))/(MAX($D$5:$D$40)-MIN($D$5:$D$40)+0.0001))))</x:f>
        <x:v>62.500046874941404</x:v>
      </x:c>
      <x:c r="K5" s="123" t="n">
        <x:f>IF(A5="","",J5*0.45+G5*100*0.25+H5*0.2+I5*0.1)</x:f>
        <x:v>78.12502109372363</x:v>
      </x:c>
      <x:c r="L5" s="123" t="str">
        <x:f>IF(A5="","",IF(K5=MAXIFS($K$5:$K$40,$A$5:$A$40,A5),"VOITTAJA",""))</x:f>
      </x:c>
      <x:c r="M5" s="123" t="str">
        <x:f>IF(L5="VOITTAJA","Paras tarjous / laatu","")</x:f>
      </x:c>
      <x:c r="N5" s="121" t="str"/>
    </x:row>
    <x:row r="6">
      <x:c r="A6" s="121" t="str">
        <x:v>T-001</x:v>
      </x:c>
      <x:c r="B6" s="121" t="str">
        <x:v>R1</x:v>
      </x:c>
      <x:c r="C6" s="121" t="str">
        <x:v>Carrier B</x:v>
      </x:c>
      <x:c r="D6" s="128" t="n">
        <x:v>820</x:v>
      </x:c>
      <x:c r="E6" s="121" t="str">
        <x:v>Vastattu</x:v>
      </x:c>
      <x:c r="F6" s="121" t="str">
        <x:v>Kyllä</x:v>
      </x:c>
      <x:c r="G6" s="129" t="n">
        <x:v>0.91</x:v>
      </x:c>
      <x:c r="H6" s="121" t="n">
        <x:v>78</x:v>
      </x:c>
      <x:c r="I6" s="121" t="n">
        <x:v>75</x:v>
      </x:c>
      <x:c r="J6" s="123" t="n">
        <x:f>IF(A6="","",MAX(0,100*(1-(D6-MIN($D$5:$D$40))/(MAX($D$5:$D$40)-MIN($D$5:$D$40)+0.0001))))</x:f>
        <x:v>100</x:v>
      </x:c>
      <x:c r="K6" s="123" t="n">
        <x:f>IF(A6="","",J6*0.45+G6*100*0.25+H6*0.2+I6*0.1)</x:f>
        <x:v>90.85</x:v>
      </x:c>
      <x:c r="L6" s="123" t="str">
        <x:f>IF(A6="","",IF(K6=MAXIFS($K$5:$K$40,$A$5:$A$40,A6),"VOITTAJA",""))</x:f>
        <x:v>VOITTAJA</x:v>
      </x:c>
      <x:c r="M6" s="123" t="str">
        <x:f>IF(L6="VOITTAJA","Paras tarjous / laatu","")</x:f>
        <x:v>Paras tarjous / laatu</x:v>
      </x:c>
      <x:c r="N6" s="121" t="str"/>
    </x:row>
    <x:row r="7">
      <x:c r="A7" s="121" t="str">
        <x:v>T-001</x:v>
      </x:c>
      <x:c r="B7" s="121" t="str">
        <x:v>R1</x:v>
      </x:c>
      <x:c r="C7" s="121" t="str">
        <x:v>Carrier C</x:v>
      </x:c>
      <x:c r="D7" s="128" t="n">
        <x:v>900</x:v>
      </x:c>
      <x:c r="E7" s="121" t="str">
        <x:v>Ei vastattu</x:v>
      </x:c>
      <x:c r="F7" s="121" t="str">
        <x:v>Ei</x:v>
      </x:c>
      <x:c r="G7" s="129" t="n">
        <x:v>0.98</x:v>
      </x:c>
      <x:c r="H7" s="121" t="n">
        <x:v>95</x:v>
      </x:c>
      <x:c r="I7" s="121" t="n">
        <x:v>85</x:v>
      </x:c>
      <x:c r="J7" s="123" t="n">
        <x:f>IF(A7="","",MAX(0,100*(1-(D7-MIN($D$5:$D$40))/(MAX($D$5:$D$40)-MIN($D$5:$D$40)+0.0001))))</x:f>
        <x:v>0.00012499984375358153</x:v>
      </x:c>
      <x:c r="K7" s="123" t="n">
        <x:f>IF(A7="","",J7*0.45+G7*100*0.25+H7*0.2+I7*0.1)</x:f>
        <x:v>52.000056249929685</x:v>
      </x:c>
      <x:c r="L7" s="123" t="str">
        <x:f>IF(A7="","",IF(K7=MAXIFS($K$5:$K$40,$A$5:$A$40,A7),"VOITTAJA",""))</x:f>
      </x:c>
      <x:c r="M7" s="123" t="str">
        <x:f>IF(L7="VOITTAJA","Paras tarjous / laatu","")</x:f>
      </x:c>
      <x:c r="N7" s="121" t="str"/>
    </x:row>
    <x:row r="8">
      <x:c r="A8" s="121"/>
      <x:c r="B8" s="121"/>
      <x:c r="C8" s="121"/>
      <x:c r="D8" s="128"/>
      <x:c r="E8" s="121"/>
      <x:c r="F8" s="121"/>
      <x:c r="G8" s="129"/>
      <x:c r="H8" s="121"/>
      <x:c r="I8" s="121"/>
      <x:c r="J8" s="123" t="str">
        <x:f>IF(A8="","",MAX(0,100*(1-(D8-MIN($D$5:$D$40))/(MAX($D$5:$D$40)-MIN($D$5:$D$40)+0.0001))))</x:f>
      </x:c>
      <x:c r="K8" s="123" t="str">
        <x:f>IF(A8="","",J8*0.45+G8*100*0.25+H8*0.2+I8*0.1)</x:f>
      </x:c>
      <x:c r="L8" s="123" t="str">
        <x:f>IF(A8="","",IF(K8=MAXIFS($K$5:$K$40,$A$5:$A$40,A8),"VOITTAJA",""))</x:f>
      </x:c>
      <x:c r="M8" s="123" t="str">
        <x:f>IF(L8="VOITTAJA","Paras tarjous / laatu","")</x:f>
      </x:c>
      <x:c r="N8" s="121"/>
    </x:row>
    <x:row r="9">
      <x:c r="A9" s="121"/>
      <x:c r="B9" s="121"/>
      <x:c r="C9" s="121"/>
      <x:c r="D9" s="128"/>
      <x:c r="E9" s="121"/>
      <x:c r="F9" s="121"/>
      <x:c r="G9" s="129"/>
      <x:c r="H9" s="121"/>
      <x:c r="I9" s="121"/>
      <x:c r="J9" s="123" t="str">
        <x:f>IF(A9="","",MAX(0,100*(1-(D9-MIN($D$5:$D$40))/(MAX($D$5:$D$40)-MIN($D$5:$D$40)+0.0001))))</x:f>
      </x:c>
      <x:c r="K9" s="123" t="str">
        <x:f>IF(A9="","",J9*0.45+G9*100*0.25+H9*0.2+I9*0.1)</x:f>
      </x:c>
      <x:c r="L9" s="123" t="str">
        <x:f>IF(A9="","",IF(K9=MAXIFS($K$5:$K$40,$A$5:$A$40,A9),"VOITTAJA",""))</x:f>
      </x:c>
      <x:c r="M9" s="123" t="str">
        <x:f>IF(L9="VOITTAJA","Paras tarjous / laatu","")</x:f>
      </x:c>
      <x:c r="N9" s="121"/>
    </x:row>
    <x:row r="10">
      <x:c r="A10" s="121"/>
      <x:c r="B10" s="121"/>
      <x:c r="C10" s="121"/>
      <x:c r="D10" s="128"/>
      <x:c r="E10" s="121"/>
      <x:c r="F10" s="121"/>
      <x:c r="G10" s="129"/>
      <x:c r="H10" s="121"/>
      <x:c r="I10" s="121"/>
      <x:c r="J10" s="123" t="str">
        <x:f>IF(A10="","",MAX(0,100*(1-(D10-MIN($D$5:$D$40))/(MAX($D$5:$D$40)-MIN($D$5:$D$40)+0.0001))))</x:f>
      </x:c>
      <x:c r="K10" s="123" t="str">
        <x:f>IF(A10="","",J10*0.45+G10*100*0.25+H10*0.2+I10*0.1)</x:f>
      </x:c>
      <x:c r="L10" s="123" t="str">
        <x:f>IF(A10="","",IF(K10=MAXIFS($K$5:$K$40,$A$5:$A$40,A10),"VOITTAJA",""))</x:f>
      </x:c>
      <x:c r="M10" s="123" t="str">
        <x:f>IF(L10="VOITTAJA","Paras tarjous / laatu","")</x:f>
      </x:c>
      <x:c r="N10" s="121"/>
    </x:row>
    <x:row r="11">
      <x:c r="A11" s="121"/>
      <x:c r="B11" s="121"/>
      <x:c r="C11" s="121"/>
      <x:c r="D11" s="128"/>
      <x:c r="E11" s="121"/>
      <x:c r="F11" s="121"/>
      <x:c r="G11" s="129"/>
      <x:c r="H11" s="121"/>
      <x:c r="I11" s="121"/>
      <x:c r="J11" s="123" t="str">
        <x:f>IF(A11="","",MAX(0,100*(1-(D11-MIN($D$5:$D$40))/(MAX($D$5:$D$40)-MIN($D$5:$D$40)+0.0001))))</x:f>
      </x:c>
      <x:c r="K11" s="123" t="str">
        <x:f>IF(A11="","",J11*0.45+G11*100*0.25+H11*0.2+I11*0.1)</x:f>
      </x:c>
      <x:c r="L11" s="123" t="str">
        <x:f>IF(A11="","",IF(K11=MAXIFS($K$5:$K$40,$A$5:$A$40,A11),"VOITTAJA",""))</x:f>
      </x:c>
      <x:c r="M11" s="123" t="str">
        <x:f>IF(L11="VOITTAJA","Paras tarjous / laatu","")</x:f>
      </x:c>
      <x:c r="N11" s="121"/>
    </x:row>
    <x:row r="12">
      <x:c r="A12" s="121"/>
      <x:c r="B12" s="121"/>
      <x:c r="C12" s="121"/>
      <x:c r="D12" s="128"/>
      <x:c r="E12" s="121"/>
      <x:c r="F12" s="121"/>
      <x:c r="G12" s="129"/>
      <x:c r="H12" s="121"/>
      <x:c r="I12" s="121"/>
      <x:c r="J12" s="123" t="str">
        <x:f>IF(A12="","",MAX(0,100*(1-(D12-MIN($D$5:$D$40))/(MAX($D$5:$D$40)-MIN($D$5:$D$40)+0.0001))))</x:f>
      </x:c>
      <x:c r="K12" s="123" t="str">
        <x:f>IF(A12="","",J12*0.45+G12*100*0.25+H12*0.2+I12*0.1)</x:f>
      </x:c>
      <x:c r="L12" s="123" t="str">
        <x:f>IF(A12="","",IF(K12=MAXIFS($K$5:$K$40,$A$5:$A$40,A12),"VOITTAJA",""))</x:f>
      </x:c>
      <x:c r="M12" s="123" t="str">
        <x:f>IF(L12="VOITTAJA","Paras tarjous / laatu","")</x:f>
      </x:c>
      <x:c r="N12" s="121"/>
    </x:row>
    <x:row r="13">
      <x:c r="A13" s="121"/>
      <x:c r="B13" s="121"/>
      <x:c r="C13" s="121"/>
      <x:c r="D13" s="128"/>
      <x:c r="E13" s="121"/>
      <x:c r="F13" s="121"/>
      <x:c r="G13" s="129"/>
      <x:c r="H13" s="121"/>
      <x:c r="I13" s="121"/>
      <x:c r="J13" s="123" t="str">
        <x:f>IF(A13="","",MAX(0,100*(1-(D13-MIN($D$5:$D$40))/(MAX($D$5:$D$40)-MIN($D$5:$D$40)+0.0001))))</x:f>
      </x:c>
      <x:c r="K13" s="123" t="str">
        <x:f>IF(A13="","",J13*0.45+G13*100*0.25+H13*0.2+I13*0.1)</x:f>
      </x:c>
      <x:c r="L13" s="123" t="str">
        <x:f>IF(A13="","",IF(K13=MAXIFS($K$5:$K$40,$A$5:$A$40,A13),"VOITTAJA",""))</x:f>
      </x:c>
      <x:c r="M13" s="123" t="str">
        <x:f>IF(L13="VOITTAJA","Paras tarjous / laatu","")</x:f>
      </x:c>
      <x:c r="N13" s="121"/>
    </x:row>
    <x:row r="14">
      <x:c r="A14" s="121"/>
      <x:c r="B14" s="121"/>
      <x:c r="C14" s="121"/>
      <x:c r="D14" s="128"/>
      <x:c r="E14" s="121"/>
      <x:c r="F14" s="121"/>
      <x:c r="G14" s="129"/>
      <x:c r="H14" s="121"/>
      <x:c r="I14" s="121"/>
      <x:c r="J14" s="123" t="str">
        <x:f>IF(A14="","",MAX(0,100*(1-(D14-MIN($D$5:$D$40))/(MAX($D$5:$D$40)-MIN($D$5:$D$40)+0.0001))))</x:f>
      </x:c>
      <x:c r="K14" s="123" t="str">
        <x:f>IF(A14="","",J14*0.45+G14*100*0.25+H14*0.2+I14*0.1)</x:f>
      </x:c>
      <x:c r="L14" s="123" t="str">
        <x:f>IF(A14="","",IF(K14=MAXIFS($K$5:$K$40,$A$5:$A$40,A14),"VOITTAJA",""))</x:f>
      </x:c>
      <x:c r="M14" s="123" t="str">
        <x:f>IF(L14="VOITTAJA","Paras tarjous / laatu","")</x:f>
      </x:c>
      <x:c r="N14" s="121"/>
    </x:row>
    <x:row r="15">
      <x:c r="A15" s="121"/>
      <x:c r="B15" s="121"/>
      <x:c r="C15" s="121"/>
      <x:c r="D15" s="128"/>
      <x:c r="E15" s="121"/>
      <x:c r="F15" s="121"/>
      <x:c r="G15" s="129"/>
      <x:c r="H15" s="121"/>
      <x:c r="I15" s="121"/>
      <x:c r="J15" s="123" t="str">
        <x:f>IF(A15="","",MAX(0,100*(1-(D15-MIN($D$5:$D$40))/(MAX($D$5:$D$40)-MIN($D$5:$D$40)+0.0001))))</x:f>
      </x:c>
      <x:c r="K15" s="123" t="str">
        <x:f>IF(A15="","",J15*0.45+G15*100*0.25+H15*0.2+I15*0.1)</x:f>
      </x:c>
      <x:c r="L15" s="123" t="str">
        <x:f>IF(A15="","",IF(K15=MAXIFS($K$5:$K$40,$A$5:$A$40,A15),"VOITTAJA",""))</x:f>
      </x:c>
      <x:c r="M15" s="123" t="str">
        <x:f>IF(L15="VOITTAJA","Paras tarjous / laatu","")</x:f>
      </x:c>
      <x:c r="N15" s="121"/>
    </x:row>
    <x:row r="16">
      <x:c r="A16" s="121"/>
      <x:c r="B16" s="121"/>
      <x:c r="C16" s="121"/>
      <x:c r="D16" s="128"/>
      <x:c r="E16" s="121"/>
      <x:c r="F16" s="121"/>
      <x:c r="G16" s="129"/>
      <x:c r="H16" s="121"/>
      <x:c r="I16" s="121"/>
      <x:c r="J16" s="123" t="str">
        <x:f>IF(A16="","",MAX(0,100*(1-(D16-MIN($D$5:$D$40))/(MAX($D$5:$D$40)-MIN($D$5:$D$40)+0.0001))))</x:f>
      </x:c>
      <x:c r="K16" s="123" t="str">
        <x:f>IF(A16="","",J16*0.45+G16*100*0.25+H16*0.2+I16*0.1)</x:f>
      </x:c>
      <x:c r="L16" s="123" t="str">
        <x:f>IF(A16="","",IF(K16=MAXIFS($K$5:$K$40,$A$5:$A$40,A16),"VOITTAJA",""))</x:f>
      </x:c>
      <x:c r="M16" s="123" t="str">
        <x:f>IF(L16="VOITTAJA","Paras tarjous / laatu","")</x:f>
      </x:c>
      <x:c r="N16" s="121"/>
    </x:row>
    <x:row r="17">
      <x:c r="A17" s="121"/>
      <x:c r="B17" s="121"/>
      <x:c r="C17" s="121"/>
      <x:c r="D17" s="128"/>
      <x:c r="E17" s="121"/>
      <x:c r="F17" s="121"/>
      <x:c r="G17" s="129"/>
      <x:c r="H17" s="121"/>
      <x:c r="I17" s="121"/>
      <x:c r="J17" s="123" t="str">
        <x:f>IF(A17="","",MAX(0,100*(1-(D17-MIN($D$5:$D$40))/(MAX($D$5:$D$40)-MIN($D$5:$D$40)+0.0001))))</x:f>
      </x:c>
      <x:c r="K17" s="123" t="str">
        <x:f>IF(A17="","",J17*0.45+G17*100*0.25+H17*0.2+I17*0.1)</x:f>
      </x:c>
      <x:c r="L17" s="123" t="str">
        <x:f>IF(A17="","",IF(K17=MAXIFS($K$5:$K$40,$A$5:$A$40,A17),"VOITTAJA",""))</x:f>
      </x:c>
      <x:c r="M17" s="123" t="str">
        <x:f>IF(L17="VOITTAJA","Paras tarjous / laatu","")</x:f>
      </x:c>
      <x:c r="N17" s="121"/>
    </x:row>
    <x:row r="18">
      <x:c r="A18" s="121"/>
      <x:c r="B18" s="121"/>
      <x:c r="C18" s="121"/>
      <x:c r="D18" s="128"/>
      <x:c r="E18" s="121"/>
      <x:c r="F18" s="121"/>
      <x:c r="G18" s="129"/>
      <x:c r="H18" s="121"/>
      <x:c r="I18" s="121"/>
      <x:c r="J18" s="123" t="str">
        <x:f>IF(A18="","",MAX(0,100*(1-(D18-MIN($D$5:$D$40))/(MAX($D$5:$D$40)-MIN($D$5:$D$40)+0.0001))))</x:f>
      </x:c>
      <x:c r="K18" s="123" t="str">
        <x:f>IF(A18="","",J18*0.45+G18*100*0.25+H18*0.2+I18*0.1)</x:f>
      </x:c>
      <x:c r="L18" s="123" t="str">
        <x:f>IF(A18="","",IF(K18=MAXIFS($K$5:$K$40,$A$5:$A$40,A18),"VOITTAJA",""))</x:f>
      </x:c>
      <x:c r="M18" s="123" t="str">
        <x:f>IF(L18="VOITTAJA","Paras tarjous / laatu","")</x:f>
      </x:c>
      <x:c r="N18" s="121"/>
    </x:row>
    <x:row r="19">
      <x:c r="A19" s="121"/>
      <x:c r="B19" s="121"/>
      <x:c r="C19" s="121"/>
      <x:c r="D19" s="128"/>
      <x:c r="E19" s="121"/>
      <x:c r="F19" s="121"/>
      <x:c r="G19" s="129"/>
      <x:c r="H19" s="121"/>
      <x:c r="I19" s="121"/>
      <x:c r="J19" s="123" t="str">
        <x:f>IF(A19="","",MAX(0,100*(1-(D19-MIN($D$5:$D$40))/(MAX($D$5:$D$40)-MIN($D$5:$D$40)+0.0001))))</x:f>
      </x:c>
      <x:c r="K19" s="123" t="str">
        <x:f>IF(A19="","",J19*0.45+G19*100*0.25+H19*0.2+I19*0.1)</x:f>
      </x:c>
      <x:c r="L19" s="123" t="str">
        <x:f>IF(A19="","",IF(K19=MAXIFS($K$5:$K$40,$A$5:$A$40,A19),"VOITTAJA",""))</x:f>
      </x:c>
      <x:c r="M19" s="123" t="str">
        <x:f>IF(L19="VOITTAJA","Paras tarjous / laatu","")</x:f>
      </x:c>
      <x:c r="N19" s="121"/>
    </x:row>
    <x:row r="20">
      <x:c r="A20" s="121"/>
      <x:c r="B20" s="121"/>
      <x:c r="C20" s="121"/>
      <x:c r="D20" s="128"/>
      <x:c r="E20" s="121"/>
      <x:c r="F20" s="121"/>
      <x:c r="G20" s="129"/>
      <x:c r="H20" s="121"/>
      <x:c r="I20" s="121"/>
      <x:c r="J20" s="123" t="str">
        <x:f>IF(A20="","",MAX(0,100*(1-(D20-MIN($D$5:$D$40))/(MAX($D$5:$D$40)-MIN($D$5:$D$40)+0.0001))))</x:f>
      </x:c>
      <x:c r="K20" s="123" t="str">
        <x:f>IF(A20="","",J20*0.45+G20*100*0.25+H20*0.2+I20*0.1)</x:f>
      </x:c>
      <x:c r="L20" s="123" t="str">
        <x:f>IF(A20="","",IF(K20=MAXIFS($K$5:$K$40,$A$5:$A$40,A20),"VOITTAJA",""))</x:f>
      </x:c>
      <x:c r="M20" s="123" t="str">
        <x:f>IF(L20="VOITTAJA","Paras tarjous / laatu","")</x:f>
      </x:c>
      <x:c r="N20" s="121"/>
    </x:row>
    <x:row r="21">
      <x:c r="A21" s="121"/>
      <x:c r="B21" s="121"/>
      <x:c r="C21" s="121"/>
      <x:c r="D21" s="128"/>
      <x:c r="E21" s="121"/>
      <x:c r="F21" s="121"/>
      <x:c r="G21" s="129"/>
      <x:c r="H21" s="121"/>
      <x:c r="I21" s="121"/>
      <x:c r="J21" s="123" t="str">
        <x:f>IF(A21="","",MAX(0,100*(1-(D21-MIN($D$5:$D$40))/(MAX($D$5:$D$40)-MIN($D$5:$D$40)+0.0001))))</x:f>
      </x:c>
      <x:c r="K21" s="123" t="str">
        <x:f>IF(A21="","",J21*0.45+G21*100*0.25+H21*0.2+I21*0.1)</x:f>
      </x:c>
      <x:c r="L21" s="123" t="str">
        <x:f>IF(A21="","",IF(K21=MAXIFS($K$5:$K$40,$A$5:$A$40,A21),"VOITTAJA",""))</x:f>
      </x:c>
      <x:c r="M21" s="123" t="str">
        <x:f>IF(L21="VOITTAJA","Paras tarjous / laatu","")</x:f>
      </x:c>
      <x:c r="N21" s="121"/>
    </x:row>
    <x:row r="22">
      <x:c r="A22" s="121"/>
      <x:c r="B22" s="121"/>
      <x:c r="C22" s="121"/>
      <x:c r="D22" s="128"/>
      <x:c r="E22" s="121"/>
      <x:c r="F22" s="121"/>
      <x:c r="G22" s="129"/>
      <x:c r="H22" s="121"/>
      <x:c r="I22" s="121"/>
      <x:c r="J22" s="123" t="str">
        <x:f>IF(A22="","",MAX(0,100*(1-(D22-MIN($D$5:$D$40))/(MAX($D$5:$D$40)-MIN($D$5:$D$40)+0.0001))))</x:f>
      </x:c>
      <x:c r="K22" s="123" t="str">
        <x:f>IF(A22="","",J22*0.45+G22*100*0.25+H22*0.2+I22*0.1)</x:f>
      </x:c>
      <x:c r="L22" s="123" t="str">
        <x:f>IF(A22="","",IF(K22=MAXIFS($K$5:$K$40,$A$5:$A$40,A22),"VOITTAJA",""))</x:f>
      </x:c>
      <x:c r="M22" s="123" t="str">
        <x:f>IF(L22="VOITTAJA","Paras tarjous / laatu","")</x:f>
      </x:c>
      <x:c r="N22" s="121"/>
    </x:row>
    <x:row r="23">
      <x:c r="A23" s="121"/>
      <x:c r="B23" s="121"/>
      <x:c r="C23" s="121"/>
      <x:c r="D23" s="128"/>
      <x:c r="E23" s="121"/>
      <x:c r="F23" s="121"/>
      <x:c r="G23" s="129"/>
      <x:c r="H23" s="121"/>
      <x:c r="I23" s="121"/>
      <x:c r="J23" s="123" t="str">
        <x:f>IF(A23="","",MAX(0,100*(1-(D23-MIN($D$5:$D$40))/(MAX($D$5:$D$40)-MIN($D$5:$D$40)+0.0001))))</x:f>
      </x:c>
      <x:c r="K23" s="123" t="str">
        <x:f>IF(A23="","",J23*0.45+G23*100*0.25+H23*0.2+I23*0.1)</x:f>
      </x:c>
      <x:c r="L23" s="123" t="str">
        <x:f>IF(A23="","",IF(K23=MAXIFS($K$5:$K$40,$A$5:$A$40,A23),"VOITTAJA",""))</x:f>
      </x:c>
      <x:c r="M23" s="123" t="str">
        <x:f>IF(L23="VOITTAJA","Paras tarjous / laatu","")</x:f>
      </x:c>
      <x:c r="N23" s="121"/>
    </x:row>
    <x:row r="24">
      <x:c r="A24" s="121"/>
      <x:c r="B24" s="121"/>
      <x:c r="C24" s="121"/>
      <x:c r="D24" s="128"/>
      <x:c r="E24" s="121"/>
      <x:c r="F24" s="121"/>
      <x:c r="G24" s="129"/>
      <x:c r="H24" s="121"/>
      <x:c r="I24" s="121"/>
      <x:c r="J24" s="123" t="str">
        <x:f>IF(A24="","",MAX(0,100*(1-(D24-MIN($D$5:$D$40))/(MAX($D$5:$D$40)-MIN($D$5:$D$40)+0.0001))))</x:f>
      </x:c>
      <x:c r="K24" s="123" t="str">
        <x:f>IF(A24="","",J24*0.45+G24*100*0.25+H24*0.2+I24*0.1)</x:f>
      </x:c>
      <x:c r="L24" s="123" t="str">
        <x:f>IF(A24="","",IF(K24=MAXIFS($K$5:$K$40,$A$5:$A$40,A24),"VOITTAJA",""))</x:f>
      </x:c>
      <x:c r="M24" s="123" t="str">
        <x:f>IF(L24="VOITTAJA","Paras tarjous / laatu","")</x:f>
      </x:c>
      <x:c r="N24" s="121"/>
    </x:row>
    <x:row r="25">
      <x:c r="A25" s="121"/>
      <x:c r="B25" s="121"/>
      <x:c r="C25" s="121"/>
      <x:c r="D25" s="128"/>
      <x:c r="E25" s="121"/>
      <x:c r="F25" s="121"/>
      <x:c r="G25" s="129"/>
      <x:c r="H25" s="121"/>
      <x:c r="I25" s="121"/>
      <x:c r="J25" s="123" t="str">
        <x:f>IF(A25="","",MAX(0,100*(1-(D25-MIN($D$5:$D$40))/(MAX($D$5:$D$40)-MIN($D$5:$D$40)+0.0001))))</x:f>
      </x:c>
      <x:c r="K25" s="123" t="str">
        <x:f>IF(A25="","",J25*0.45+G25*100*0.25+H25*0.2+I25*0.1)</x:f>
      </x:c>
      <x:c r="L25" s="123" t="str">
        <x:f>IF(A25="","",IF(K25=MAXIFS($K$5:$K$40,$A$5:$A$40,A25),"VOITTAJA",""))</x:f>
      </x:c>
      <x:c r="M25" s="123" t="str">
        <x:f>IF(L25="VOITTAJA","Paras tarjous / laatu","")</x:f>
      </x:c>
      <x:c r="N25" s="121"/>
    </x:row>
    <x:row r="26">
      <x:c r="A26" s="121"/>
      <x:c r="B26" s="121"/>
      <x:c r="C26" s="121"/>
      <x:c r="D26" s="128"/>
      <x:c r="E26" s="121"/>
      <x:c r="F26" s="121"/>
      <x:c r="G26" s="129"/>
      <x:c r="H26" s="121"/>
      <x:c r="I26" s="121"/>
      <x:c r="J26" s="123" t="str">
        <x:f>IF(A26="","",MAX(0,100*(1-(D26-MIN($D$5:$D$40))/(MAX($D$5:$D$40)-MIN($D$5:$D$40)+0.0001))))</x:f>
      </x:c>
      <x:c r="K26" s="123" t="str">
        <x:f>IF(A26="","",J26*0.45+G26*100*0.25+H26*0.2+I26*0.1)</x:f>
      </x:c>
      <x:c r="L26" s="123" t="str">
        <x:f>IF(A26="","",IF(K26=MAXIFS($K$5:$K$40,$A$5:$A$40,A26),"VOITTAJA",""))</x:f>
      </x:c>
      <x:c r="M26" s="123" t="str">
        <x:f>IF(L26="VOITTAJA","Paras tarjous / laatu","")</x:f>
      </x:c>
      <x:c r="N26" s="121"/>
    </x:row>
    <x:row r="27">
      <x:c r="A27" s="121"/>
      <x:c r="B27" s="121"/>
      <x:c r="C27" s="121"/>
      <x:c r="D27" s="128"/>
      <x:c r="E27" s="121"/>
      <x:c r="F27" s="121"/>
      <x:c r="G27" s="129"/>
      <x:c r="H27" s="121"/>
      <x:c r="I27" s="121"/>
      <x:c r="J27" s="123" t="str">
        <x:f>IF(A27="","",MAX(0,100*(1-(D27-MIN($D$5:$D$40))/(MAX($D$5:$D$40)-MIN($D$5:$D$40)+0.0001))))</x:f>
      </x:c>
      <x:c r="K27" s="123" t="str">
        <x:f>IF(A27="","",J27*0.45+G27*100*0.25+H27*0.2+I27*0.1)</x:f>
      </x:c>
      <x:c r="L27" s="123" t="str">
        <x:f>IF(A27="","",IF(K27=MAXIFS($K$5:$K$40,$A$5:$A$40,A27),"VOITTAJA",""))</x:f>
      </x:c>
      <x:c r="M27" s="123" t="str">
        <x:f>IF(L27="VOITTAJA","Paras tarjous / laatu","")</x:f>
      </x:c>
      <x:c r="N27" s="121"/>
    </x:row>
    <x:row r="28">
      <x:c r="A28" s="121"/>
      <x:c r="B28" s="121"/>
      <x:c r="C28" s="121"/>
      <x:c r="D28" s="128"/>
      <x:c r="E28" s="121"/>
      <x:c r="F28" s="121"/>
      <x:c r="G28" s="129"/>
      <x:c r="H28" s="121"/>
      <x:c r="I28" s="121"/>
      <x:c r="J28" s="123" t="str">
        <x:f>IF(A28="","",MAX(0,100*(1-(D28-MIN($D$5:$D$40))/(MAX($D$5:$D$40)-MIN($D$5:$D$40)+0.0001))))</x:f>
      </x:c>
      <x:c r="K28" s="123" t="str">
        <x:f>IF(A28="","",J28*0.45+G28*100*0.25+H28*0.2+I28*0.1)</x:f>
      </x:c>
      <x:c r="L28" s="123" t="str">
        <x:f>IF(A28="","",IF(K28=MAXIFS($K$5:$K$40,$A$5:$A$40,A28),"VOITTAJA",""))</x:f>
      </x:c>
      <x:c r="M28" s="123" t="str">
        <x:f>IF(L28="VOITTAJA","Paras tarjous / laatu","")</x:f>
      </x:c>
      <x:c r="N28" s="121"/>
    </x:row>
    <x:row r="29">
      <x:c r="A29" s="121"/>
      <x:c r="B29" s="121"/>
      <x:c r="C29" s="121"/>
      <x:c r="D29" s="128"/>
      <x:c r="E29" s="121"/>
      <x:c r="F29" s="121"/>
      <x:c r="G29" s="129"/>
      <x:c r="H29" s="121"/>
      <x:c r="I29" s="121"/>
      <x:c r="J29" s="123" t="str">
        <x:f>IF(A29="","",MAX(0,100*(1-(D29-MIN($D$5:$D$40))/(MAX($D$5:$D$40)-MIN($D$5:$D$40)+0.0001))))</x:f>
      </x:c>
      <x:c r="K29" s="123" t="str">
        <x:f>IF(A29="","",J29*0.45+G29*100*0.25+H29*0.2+I29*0.1)</x:f>
      </x:c>
      <x:c r="L29" s="123" t="str">
        <x:f>IF(A29="","",IF(K29=MAXIFS($K$5:$K$40,$A$5:$A$40,A29),"VOITTAJA",""))</x:f>
      </x:c>
      <x:c r="M29" s="123" t="str">
        <x:f>IF(L29="VOITTAJA","Paras tarjous / laatu","")</x:f>
      </x:c>
      <x:c r="N29" s="121"/>
    </x:row>
    <x:row r="30">
      <x:c r="A30" s="121"/>
      <x:c r="B30" s="121"/>
      <x:c r="C30" s="121"/>
      <x:c r="D30" s="128"/>
      <x:c r="E30" s="121"/>
      <x:c r="F30" s="121"/>
      <x:c r="G30" s="129"/>
      <x:c r="H30" s="121"/>
      <x:c r="I30" s="121"/>
      <x:c r="J30" s="123" t="str">
        <x:f>IF(A30="","",MAX(0,100*(1-(D30-MIN($D$5:$D$40))/(MAX($D$5:$D$40)-MIN($D$5:$D$40)+0.0001))))</x:f>
      </x:c>
      <x:c r="K30" s="123" t="str">
        <x:f>IF(A30="","",J30*0.45+G30*100*0.25+H30*0.2+I30*0.1)</x:f>
      </x:c>
      <x:c r="L30" s="123" t="str">
        <x:f>IF(A30="","",IF(K30=MAXIFS($K$5:$K$40,$A$5:$A$40,A30),"VOITTAJA",""))</x:f>
      </x:c>
      <x:c r="M30" s="123" t="str">
        <x:f>IF(L30="VOITTAJA","Paras tarjous / laatu","")</x:f>
      </x:c>
      <x:c r="N30" s="121"/>
    </x:row>
    <x:row r="31">
      <x:c r="A31" s="121"/>
      <x:c r="B31" s="121"/>
      <x:c r="C31" s="121"/>
      <x:c r="D31" s="128"/>
      <x:c r="E31" s="121"/>
      <x:c r="F31" s="121"/>
      <x:c r="G31" s="129"/>
      <x:c r="H31" s="121"/>
      <x:c r="I31" s="121"/>
      <x:c r="J31" s="123" t="str">
        <x:f>IF(A31="","",MAX(0,100*(1-(D31-MIN($D$5:$D$40))/(MAX($D$5:$D$40)-MIN($D$5:$D$40)+0.0001))))</x:f>
      </x:c>
      <x:c r="K31" s="123" t="str">
        <x:f>IF(A31="","",J31*0.45+G31*100*0.25+H31*0.2+I31*0.1)</x:f>
      </x:c>
      <x:c r="L31" s="123" t="str">
        <x:f>IF(A31="","",IF(K31=MAXIFS($K$5:$K$40,$A$5:$A$40,A31),"VOITTAJA",""))</x:f>
      </x:c>
      <x:c r="M31" s="123" t="str">
        <x:f>IF(L31="VOITTAJA","Paras tarjous / laatu","")</x:f>
      </x:c>
      <x:c r="N31" s="121"/>
    </x:row>
    <x:row r="32">
      <x:c r="A32" s="121"/>
      <x:c r="B32" s="121"/>
      <x:c r="C32" s="121"/>
      <x:c r="D32" s="128"/>
      <x:c r="E32" s="121"/>
      <x:c r="F32" s="121"/>
      <x:c r="G32" s="129"/>
      <x:c r="H32" s="121"/>
      <x:c r="I32" s="121"/>
      <x:c r="J32" s="123" t="str">
        <x:f>IF(A32="","",MAX(0,100*(1-(D32-MIN($D$5:$D$40))/(MAX($D$5:$D$40)-MIN($D$5:$D$40)+0.0001))))</x:f>
      </x:c>
      <x:c r="K32" s="123" t="str">
        <x:f>IF(A32="","",J32*0.45+G32*100*0.25+H32*0.2+I32*0.1)</x:f>
      </x:c>
      <x:c r="L32" s="123" t="str">
        <x:f>IF(A32="","",IF(K32=MAXIFS($K$5:$K$40,$A$5:$A$40,A32),"VOITTAJA",""))</x:f>
      </x:c>
      <x:c r="M32" s="123" t="str">
        <x:f>IF(L32="VOITTAJA","Paras tarjous / laatu","")</x:f>
      </x:c>
      <x:c r="N32" s="121"/>
    </x:row>
    <x:row r="33">
      <x:c r="A33" s="121"/>
      <x:c r="B33" s="121"/>
      <x:c r="C33" s="121"/>
      <x:c r="D33" s="128"/>
      <x:c r="E33" s="121"/>
      <x:c r="F33" s="121"/>
      <x:c r="G33" s="129"/>
      <x:c r="H33" s="121"/>
      <x:c r="I33" s="121"/>
      <x:c r="J33" s="123" t="str">
        <x:f>IF(A33="","",MAX(0,100*(1-(D33-MIN($D$5:$D$40))/(MAX($D$5:$D$40)-MIN($D$5:$D$40)+0.0001))))</x:f>
      </x:c>
      <x:c r="K33" s="123" t="str">
        <x:f>IF(A33="","",J33*0.45+G33*100*0.25+H33*0.2+I33*0.1)</x:f>
      </x:c>
      <x:c r="L33" s="123" t="str">
        <x:f>IF(A33="","",IF(K33=MAXIFS($K$5:$K$40,$A$5:$A$40,A33),"VOITTAJA",""))</x:f>
      </x:c>
      <x:c r="M33" s="123" t="str">
        <x:f>IF(L33="VOITTAJA","Paras tarjous / laatu","")</x:f>
      </x:c>
      <x:c r="N33" s="121"/>
    </x:row>
    <x:row r="34">
      <x:c r="A34" s="121"/>
      <x:c r="B34" s="121"/>
      <x:c r="C34" s="121"/>
      <x:c r="D34" s="128"/>
      <x:c r="E34" s="121"/>
      <x:c r="F34" s="121"/>
      <x:c r="G34" s="129"/>
      <x:c r="H34" s="121"/>
      <x:c r="I34" s="121"/>
      <x:c r="J34" s="123" t="str">
        <x:f>IF(A34="","",MAX(0,100*(1-(D34-MIN($D$5:$D$40))/(MAX($D$5:$D$40)-MIN($D$5:$D$40)+0.0001))))</x:f>
      </x:c>
      <x:c r="K34" s="123" t="str">
        <x:f>IF(A34="","",J34*0.45+G34*100*0.25+H34*0.2+I34*0.1)</x:f>
      </x:c>
      <x:c r="L34" s="123" t="str">
        <x:f>IF(A34="","",IF(K34=MAXIFS($K$5:$K$40,$A$5:$A$40,A34),"VOITTAJA",""))</x:f>
      </x:c>
      <x:c r="M34" s="123" t="str">
        <x:f>IF(L34="VOITTAJA","Paras tarjous / laatu","")</x:f>
      </x:c>
      <x:c r="N34" s="121"/>
    </x:row>
    <x:row r="35">
      <x:c r="A35" s="121"/>
      <x:c r="B35" s="121"/>
      <x:c r="C35" s="121"/>
      <x:c r="D35" s="128"/>
      <x:c r="E35" s="121"/>
      <x:c r="F35" s="121"/>
      <x:c r="G35" s="129"/>
      <x:c r="H35" s="121"/>
      <x:c r="I35" s="121"/>
      <x:c r="J35" s="123" t="str">
        <x:f>IF(A35="","",MAX(0,100*(1-(D35-MIN($D$5:$D$40))/(MAX($D$5:$D$40)-MIN($D$5:$D$40)+0.0001))))</x:f>
      </x:c>
      <x:c r="K35" s="123" t="str">
        <x:f>IF(A35="","",J35*0.45+G35*100*0.25+H35*0.2+I35*0.1)</x:f>
      </x:c>
      <x:c r="L35" s="123" t="str">
        <x:f>IF(A35="","",IF(K35=MAXIFS($K$5:$K$40,$A$5:$A$40,A35),"VOITTAJA",""))</x:f>
      </x:c>
      <x:c r="M35" s="123" t="str">
        <x:f>IF(L35="VOITTAJA","Paras tarjous / laatu","")</x:f>
      </x:c>
      <x:c r="N35" s="121"/>
    </x:row>
    <x:row r="36">
      <x:c r="A36" s="121"/>
      <x:c r="B36" s="121"/>
      <x:c r="C36" s="121"/>
      <x:c r="D36" s="128"/>
      <x:c r="E36" s="121"/>
      <x:c r="F36" s="121"/>
      <x:c r="G36" s="129"/>
      <x:c r="H36" s="121"/>
      <x:c r="I36" s="121"/>
      <x:c r="J36" s="123" t="str">
        <x:f>IF(A36="","",MAX(0,100*(1-(D36-MIN($D$5:$D$40))/(MAX($D$5:$D$40)-MIN($D$5:$D$40)+0.0001))))</x:f>
      </x:c>
      <x:c r="K36" s="123" t="str">
        <x:f>IF(A36="","",J36*0.45+G36*100*0.25+H36*0.2+I36*0.1)</x:f>
      </x:c>
      <x:c r="L36" s="123" t="str">
        <x:f>IF(A36="","",IF(K36=MAXIFS($K$5:$K$40,$A$5:$A$40,A36),"VOITTAJA",""))</x:f>
      </x:c>
      <x:c r="M36" s="123" t="str">
        <x:f>IF(L36="VOITTAJA","Paras tarjous / laatu","")</x:f>
      </x:c>
      <x:c r="N36" s="121"/>
    </x:row>
    <x:row r="37">
      <x:c r="A37" s="121"/>
      <x:c r="B37" s="121"/>
      <x:c r="C37" s="121"/>
      <x:c r="D37" s="128"/>
      <x:c r="E37" s="121"/>
      <x:c r="F37" s="121"/>
      <x:c r="G37" s="129"/>
      <x:c r="H37" s="121"/>
      <x:c r="I37" s="121"/>
      <x:c r="J37" s="123" t="str">
        <x:f>IF(A37="","",MAX(0,100*(1-(D37-MIN($D$5:$D$40))/(MAX($D$5:$D$40)-MIN($D$5:$D$40)+0.0001))))</x:f>
      </x:c>
      <x:c r="K37" s="123" t="str">
        <x:f>IF(A37="","",J37*0.45+G37*100*0.25+H37*0.2+I37*0.1)</x:f>
      </x:c>
      <x:c r="L37" s="123" t="str">
        <x:f>IF(A37="","",IF(K37=MAXIFS($K$5:$K$40,$A$5:$A$40,A37),"VOITTAJA",""))</x:f>
      </x:c>
      <x:c r="M37" s="123" t="str">
        <x:f>IF(L37="VOITTAJA","Paras tarjous / laatu","")</x:f>
      </x:c>
      <x:c r="N37" s="121"/>
    </x:row>
    <x:row r="38">
      <x:c r="A38" s="121"/>
      <x:c r="B38" s="121"/>
      <x:c r="C38" s="121"/>
      <x:c r="D38" s="128"/>
      <x:c r="E38" s="121"/>
      <x:c r="F38" s="121"/>
      <x:c r="G38" s="129"/>
      <x:c r="H38" s="121"/>
      <x:c r="I38" s="121"/>
      <x:c r="J38" s="123" t="str">
        <x:f>IF(A38="","",MAX(0,100*(1-(D38-MIN($D$5:$D$40))/(MAX($D$5:$D$40)-MIN($D$5:$D$40)+0.0001))))</x:f>
      </x:c>
      <x:c r="K38" s="123" t="str">
        <x:f>IF(A38="","",J38*0.45+G38*100*0.25+H38*0.2+I38*0.1)</x:f>
      </x:c>
      <x:c r="L38" s="123" t="str">
        <x:f>IF(A38="","",IF(K38=MAXIFS($K$5:$K$40,$A$5:$A$40,A38),"VOITTAJA",""))</x:f>
      </x:c>
      <x:c r="M38" s="123" t="str">
        <x:f>IF(L38="VOITTAJA","Paras tarjous / laatu","")</x:f>
      </x:c>
      <x:c r="N38" s="121"/>
    </x:row>
    <x:row r="39">
      <x:c r="A39" s="121"/>
      <x:c r="B39" s="121"/>
      <x:c r="C39" s="121"/>
      <x:c r="D39" s="128"/>
      <x:c r="E39" s="121"/>
      <x:c r="F39" s="121"/>
      <x:c r="G39" s="129"/>
      <x:c r="H39" s="121"/>
      <x:c r="I39" s="121"/>
      <x:c r="J39" s="123" t="str">
        <x:f>IF(A39="","",MAX(0,100*(1-(D39-MIN($D$5:$D$40))/(MAX($D$5:$D$40)-MIN($D$5:$D$40)+0.0001))))</x:f>
      </x:c>
      <x:c r="K39" s="123" t="str">
        <x:f>IF(A39="","",J39*0.45+G39*100*0.25+H39*0.2+I39*0.1)</x:f>
      </x:c>
      <x:c r="L39" s="123" t="str">
        <x:f>IF(A39="","",IF(K39=MAXIFS($K$5:$K$40,$A$5:$A$40,A39),"VOITTAJA",""))</x:f>
      </x:c>
      <x:c r="M39" s="123" t="str">
        <x:f>IF(L39="VOITTAJA","Paras tarjous / laatu","")</x:f>
      </x:c>
      <x:c r="N39" s="121"/>
    </x:row>
    <x:row r="40">
      <x:c r="A40" s="121"/>
      <x:c r="B40" s="121"/>
      <x:c r="C40" s="121"/>
      <x:c r="D40" s="128"/>
      <x:c r="E40" s="121"/>
      <x:c r="F40" s="121"/>
      <x:c r="G40" s="129"/>
      <x:c r="H40" s="121"/>
      <x:c r="I40" s="121"/>
      <x:c r="J40" s="123" t="str">
        <x:f>IF(A40="","",MAX(0,100*(1-(D40-MIN($D$5:$D$40))/(MAX($D$5:$D$40)-MIN($D$5:$D$40)+0.0001))))</x:f>
      </x:c>
      <x:c r="K40" s="123" t="str">
        <x:f>IF(A40="","",J40*0.45+G40*100*0.25+H40*0.2+I40*0.1)</x:f>
      </x:c>
      <x:c r="L40" s="123" t="str">
        <x:f>IF(A40="","",IF(K40=MAXIFS($K$5:$K$40,$A$5:$A$40,A40),"VOITTAJA",""))</x:f>
      </x:c>
      <x:c r="M40" s="123" t="str">
        <x:f>IF(L40="VOITTAJA","Paras tarjous / laatu","")</x:f>
      </x:c>
      <x:c r="N40" s="121"/>
    </x:row>
    <x:row r="41">
      <x:c r="A41" s="121"/>
      <x:c r="B41" s="121"/>
      <x:c r="C41" s="121"/>
      <x:c r="D41" s="128"/>
      <x:c r="E41" s="121"/>
      <x:c r="F41" s="121"/>
      <x:c r="G41" s="129"/>
      <x:c r="H41" s="121"/>
      <x:c r="I41" s="121"/>
      <x:c r="J41" s="123"/>
      <x:c r="K41" s="123"/>
      <x:c r="L41" s="123"/>
      <x:c r="M41" s="123"/>
      <x:c r="N41" s="121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9b987648224a4fb4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</x:cols>
  <x:sheetData>
    <x:row r="1">
      <x:c r="A1" s="108" t="str">
        <x:v>9. Capacity planning – resurssi- ja kapasiteettisuunnittelu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Seuraa trailerien, kuljettajien ja tilausten kapasiteettia päiväkohtaisesti.</x:v>
      </x:c>
    </x:row>
    <x:row r="4">
      <x:c r="A4" s="118" t="str">
        <x:v>Päivä</x:v>
      </x:c>
      <x:c r="B4" s="118" t="str">
        <x:v>Alue</x:v>
      </x:c>
      <x:c r="C4" s="118" t="str">
        <x:v>Tilauksia</x:v>
      </x:c>
      <x:c r="D4" s="118" t="str">
        <x:v>Trailerit saatavilla</x:v>
      </x:c>
      <x:c r="E4" s="118" t="str">
        <x:v>Trailerit tarvitaan</x:v>
      </x:c>
      <x:c r="F4" s="118" t="str">
        <x:v>Kuljettajat saatavilla</x:v>
      </x:c>
      <x:c r="G4" s="118" t="str">
        <x:v>Kuljettajat tarvitaan</x:v>
      </x:c>
      <x:c r="H4" s="118" t="str">
        <x:v>Käyttöaste</x:v>
      </x:c>
      <x:c r="I4" s="118" t="str">
        <x:v>Vajaus trailerit</x:v>
      </x:c>
      <x:c r="J4" s="118" t="str">
        <x:v>Vajaus kuljettajat</x:v>
      </x:c>
      <x:c r="K4" s="118" t="str">
        <x:v>Status</x:v>
      </x:c>
      <x:c r="L4" s="118" t="str">
        <x:v>Toimenpide</x:v>
      </x:c>
      <x:c r="M4" s="118" t="str">
        <x:v>Owner</x:v>
      </x:c>
      <x:c r="N4" s="118" t="str">
        <x:v>Huomio</x:v>
      </x:c>
    </x:row>
    <x:row r="5">
      <x:c r="A5" s="125" t="n">
        <x:v>46147</x:v>
      </x:c>
      <x:c r="B5" s="121" t="str">
        <x:v>Etelä</x:v>
      </x:c>
      <x:c r="C5" s="121" t="n">
        <x:v>18</x:v>
      </x:c>
      <x:c r="D5" s="121" t="n">
        <x:v>16</x:v>
      </x:c>
      <x:c r="E5" s="121" t="n">
        <x:v>14</x:v>
      </x:c>
      <x:c r="F5" s="121" t="n">
        <x:v>15</x:v>
      </x:c>
      <x:c r="G5" s="121" t="n">
        <x:v>14</x:v>
      </x:c>
      <x:c r="H5" s="124" t="n">
        <x:f>IF(D5=0,"",E5/D5)</x:f>
        <x:v>0.875</x:v>
      </x:c>
      <x:c r="I5" s="123" t="n">
        <x:f>IF(A5="","",MAX(0,E5-D5))</x:f>
        <x:v>0</x:v>
      </x:c>
      <x:c r="J5" s="123" t="n">
        <x:f>IF(A5="","",MAX(0,G5-F5))</x:f>
        <x:v>0</x:v>
      </x:c>
      <x:c r="K5" s="123" t="str">
        <x:f>IF(A5="","",IF(OR(I5&gt;0,J5&gt;0),"Vajaus",IF(H5&gt;0.9,"Täysi","OK")))</x:f>
        <x:v>OK</x:v>
      </x:c>
      <x:c r="L5" s="123" t="str">
        <x:f>IF(K5="Vajaus","Hae lisäkapasiteettia",IF(K5="Täysi","Seuraa varauksia","OK"))</x:f>
        <x:v>OK</x:v>
      </x:c>
      <x:c r="M5" s="121" t="str">
        <x:v>Toni</x:v>
      </x:c>
      <x:c r="N5" s="121" t="str"/>
    </x:row>
    <x:row r="6">
      <x:c r="A6" s="125" t="n">
        <x:v>46148</x:v>
      </x:c>
      <x:c r="B6" s="121" t="str">
        <x:v>Etelä</x:v>
      </x:c>
      <x:c r="C6" s="121" t="n">
        <x:v>24</x:v>
      </x:c>
      <x:c r="D6" s="121" t="n">
        <x:v>16</x:v>
      </x:c>
      <x:c r="E6" s="121" t="n">
        <x:v>18</x:v>
      </x:c>
      <x:c r="F6" s="121" t="n">
        <x:v>15</x:v>
      </x:c>
      <x:c r="G6" s="121" t="n">
        <x:v>17</x:v>
      </x:c>
      <x:c r="H6" s="124" t="n">
        <x:f>IF(D6=0,"",E6/D6)</x:f>
        <x:v>1.125</x:v>
      </x:c>
      <x:c r="I6" s="123" t="n">
        <x:f>IF(A6="","",MAX(0,E6-D6))</x:f>
        <x:v>2</x:v>
      </x:c>
      <x:c r="J6" s="123" t="n">
        <x:f>IF(A6="","",MAX(0,G6-F6))</x:f>
        <x:v>2</x:v>
      </x:c>
      <x:c r="K6" s="123" t="str">
        <x:f>IF(A6="","",IF(OR(I6&gt;0,J6&gt;0),"Vajaus",IF(H6&gt;0.9,"Täysi","OK")))</x:f>
        <x:v>Vajaus</x:v>
      </x:c>
      <x:c r="L6" s="123" t="str">
        <x:f>IF(K6="Vajaus","Hae lisäkapasiteettia",IF(K6="Täysi","Seuraa varauksia","OK"))</x:f>
        <x:v>Hae lisäkapasiteettia</x:v>
      </x:c>
      <x:c r="M6" s="121" t="str">
        <x:v>Toni</x:v>
      </x:c>
      <x:c r="N6" s="121" t="str"/>
    </x:row>
    <x:row r="7">
      <x:c r="A7" s="125" t="n">
        <x:v>46149</x:v>
      </x:c>
      <x:c r="B7" s="121" t="str">
        <x:v>Länsi</x:v>
      </x:c>
      <x:c r="C7" s="121" t="n">
        <x:v>14</x:v>
      </x:c>
      <x:c r="D7" s="121" t="n">
        <x:v>10</x:v>
      </x:c>
      <x:c r="E7" s="121" t="n">
        <x:v>9</x:v>
      </x:c>
      <x:c r="F7" s="121" t="n">
        <x:v>10</x:v>
      </x:c>
      <x:c r="G7" s="121" t="n">
        <x:v>8</x:v>
      </x:c>
      <x:c r="H7" s="124" t="n">
        <x:f>IF(D7=0,"",E7/D7)</x:f>
        <x:v>0.9</x:v>
      </x:c>
      <x:c r="I7" s="123" t="n">
        <x:f>IF(A7="","",MAX(0,E7-D7))</x:f>
        <x:v>0</x:v>
      </x:c>
      <x:c r="J7" s="123" t="n">
        <x:f>IF(A7="","",MAX(0,G7-F7))</x:f>
        <x:v>0</x:v>
      </x:c>
      <x:c r="K7" s="123" t="str">
        <x:f>IF(A7="","",IF(OR(I7&gt;0,J7&gt;0),"Vajaus",IF(H7&gt;0.9,"Täysi","OK")))</x:f>
        <x:v>OK</x:v>
      </x:c>
      <x:c r="L7" s="123" t="str">
        <x:f>IF(K7="Vajaus","Hae lisäkapasiteettia",IF(K7="Täysi","Seuraa varauksia","OK"))</x:f>
        <x:v>OK</x:v>
      </x:c>
      <x:c r="M7" s="121" t="str">
        <x:v>Toni</x:v>
      </x:c>
      <x:c r="N7" s="121" t="str"/>
    </x:row>
    <x:row r="8">
      <x:c r="A8" s="125" t="n">
        <x:v>46150</x:v>
      </x:c>
      <x:c r="B8" s="121" t="str">
        <x:v>Pohjoinen</x:v>
      </x:c>
      <x:c r="C8" s="121" t="n">
        <x:v>10</x:v>
      </x:c>
      <x:c r="D8" s="121" t="n">
        <x:v>7</x:v>
      </x:c>
      <x:c r="E8" s="121" t="n">
        <x:v>8</x:v>
      </x:c>
      <x:c r="F8" s="121" t="n">
        <x:v>7</x:v>
      </x:c>
      <x:c r="G8" s="121" t="n">
        <x:v>8</x:v>
      </x:c>
      <x:c r="H8" s="124" t="n">
        <x:f>IF(D8=0,"",E8/D8)</x:f>
        <x:v>1.1428571428571428</x:v>
      </x:c>
      <x:c r="I8" s="123" t="n">
        <x:f>IF(A8="","",MAX(0,E8-D8))</x:f>
        <x:v>1</x:v>
      </x:c>
      <x:c r="J8" s="123" t="n">
        <x:f>IF(A8="","",MAX(0,G8-F8))</x:f>
        <x:v>1</x:v>
      </x:c>
      <x:c r="K8" s="123" t="str">
        <x:f>IF(A8="","",IF(OR(I8&gt;0,J8&gt;0),"Vajaus",IF(H8&gt;0.9,"Täysi","OK")))</x:f>
        <x:v>Vajaus</x:v>
      </x:c>
      <x:c r="L8" s="123" t="str">
        <x:f>IF(K8="Vajaus","Hae lisäkapasiteettia",IF(K8="Täysi","Seuraa varauksia","OK"))</x:f>
        <x:v>Hae lisäkapasiteettia</x:v>
      </x:c>
      <x:c r="M8" s="121" t="str">
        <x:v>Toni</x:v>
      </x:c>
      <x:c r="N8" s="121" t="str"/>
    </x:row>
    <x:row r="9">
      <x:c r="A9" s="125"/>
      <x:c r="B9" s="121"/>
      <x:c r="C9" s="121"/>
      <x:c r="D9" s="121"/>
      <x:c r="E9" s="121"/>
      <x:c r="F9" s="121"/>
      <x:c r="G9" s="121"/>
      <x:c r="H9" s="124" t="str">
        <x:f>IF(D9=0,"",E9/D9)</x:f>
      </x:c>
      <x:c r="I9" s="123" t="str">
        <x:f>IF(A9="","",MAX(0,E9-D9))</x:f>
      </x:c>
      <x:c r="J9" s="123" t="str">
        <x:f>IF(A9="","",MAX(0,G9-F9))</x:f>
      </x:c>
      <x:c r="K9" s="123" t="str">
        <x:f>IF(A9="","",IF(OR(I9&gt;0,J9&gt;0),"Vajaus",IF(H9&gt;0.9,"Täysi","OK")))</x:f>
      </x:c>
      <x:c r="L9" s="123" t="str">
        <x:f>IF(K9="Vajaus","Hae lisäkapasiteettia",IF(K9="Täysi","Seuraa varauksia","OK"))</x:f>
        <x:v>OK</x:v>
      </x:c>
      <x:c r="M9" s="121"/>
      <x:c r="N9" s="121"/>
    </x:row>
    <x:row r="10">
      <x:c r="A10" s="125"/>
      <x:c r="B10" s="121"/>
      <x:c r="C10" s="121"/>
      <x:c r="D10" s="121"/>
      <x:c r="E10" s="121"/>
      <x:c r="F10" s="121"/>
      <x:c r="G10" s="121"/>
      <x:c r="H10" s="124" t="str">
        <x:f>IF(D10=0,"",E10/D10)</x:f>
      </x:c>
      <x:c r="I10" s="123" t="str">
        <x:f>IF(A10="","",MAX(0,E10-D10))</x:f>
      </x:c>
      <x:c r="J10" s="123" t="str">
        <x:f>IF(A10="","",MAX(0,G10-F10))</x:f>
      </x:c>
      <x:c r="K10" s="123" t="str">
        <x:f>IF(A10="","",IF(OR(I10&gt;0,J10&gt;0),"Vajaus",IF(H10&gt;0.9,"Täysi","OK")))</x:f>
      </x:c>
      <x:c r="L10" s="123" t="str">
        <x:f>IF(K10="Vajaus","Hae lisäkapasiteettia",IF(K10="Täysi","Seuraa varauksia","OK"))</x:f>
        <x:v>OK</x:v>
      </x:c>
      <x:c r="M10" s="121"/>
      <x:c r="N10" s="121"/>
    </x:row>
    <x:row r="11">
      <x:c r="A11" s="125"/>
      <x:c r="B11" s="121"/>
      <x:c r="C11" s="121"/>
      <x:c r="D11" s="121"/>
      <x:c r="E11" s="121"/>
      <x:c r="F11" s="121"/>
      <x:c r="G11" s="121"/>
      <x:c r="H11" s="124" t="str">
        <x:f>IF(D11=0,"",E11/D11)</x:f>
      </x:c>
      <x:c r="I11" s="123" t="str">
        <x:f>IF(A11="","",MAX(0,E11-D11))</x:f>
      </x:c>
      <x:c r="J11" s="123" t="str">
        <x:f>IF(A11="","",MAX(0,G11-F11))</x:f>
      </x:c>
      <x:c r="K11" s="123" t="str">
        <x:f>IF(A11="","",IF(OR(I11&gt;0,J11&gt;0),"Vajaus",IF(H11&gt;0.9,"Täysi","OK")))</x:f>
      </x:c>
      <x:c r="L11" s="123" t="str">
        <x:f>IF(K11="Vajaus","Hae lisäkapasiteettia",IF(K11="Täysi","Seuraa varauksia","OK"))</x:f>
        <x:v>OK</x:v>
      </x:c>
      <x:c r="M11" s="121"/>
      <x:c r="N11" s="121"/>
    </x:row>
    <x:row r="12">
      <x:c r="A12" s="125"/>
      <x:c r="B12" s="121"/>
      <x:c r="C12" s="121"/>
      <x:c r="D12" s="121"/>
      <x:c r="E12" s="121"/>
      <x:c r="F12" s="121"/>
      <x:c r="G12" s="121"/>
      <x:c r="H12" s="124" t="str">
        <x:f>IF(D12=0,"",E12/D12)</x:f>
      </x:c>
      <x:c r="I12" s="123" t="str">
        <x:f>IF(A12="","",MAX(0,E12-D12))</x:f>
      </x:c>
      <x:c r="J12" s="123" t="str">
        <x:f>IF(A12="","",MAX(0,G12-F12))</x:f>
      </x:c>
      <x:c r="K12" s="123" t="str">
        <x:f>IF(A12="","",IF(OR(I12&gt;0,J12&gt;0),"Vajaus",IF(H12&gt;0.9,"Täysi","OK")))</x:f>
      </x:c>
      <x:c r="L12" s="123" t="str">
        <x:f>IF(K12="Vajaus","Hae lisäkapasiteettia",IF(K12="Täysi","Seuraa varauksia","OK"))</x:f>
        <x:v>OK</x:v>
      </x:c>
      <x:c r="M12" s="121"/>
      <x:c r="N12" s="121"/>
    </x:row>
    <x:row r="13">
      <x:c r="A13" s="125"/>
      <x:c r="B13" s="121"/>
      <x:c r="C13" s="121"/>
      <x:c r="D13" s="121"/>
      <x:c r="E13" s="121"/>
      <x:c r="F13" s="121"/>
      <x:c r="G13" s="121"/>
      <x:c r="H13" s="124" t="str">
        <x:f>IF(D13=0,"",E13/D13)</x:f>
      </x:c>
      <x:c r="I13" s="123" t="str">
        <x:f>IF(A13="","",MAX(0,E13-D13))</x:f>
      </x:c>
      <x:c r="J13" s="123" t="str">
        <x:f>IF(A13="","",MAX(0,G13-F13))</x:f>
      </x:c>
      <x:c r="K13" s="123" t="str">
        <x:f>IF(A13="","",IF(OR(I13&gt;0,J13&gt;0),"Vajaus",IF(H13&gt;0.9,"Täysi","OK")))</x:f>
      </x:c>
      <x:c r="L13" s="123" t="str">
        <x:f>IF(K13="Vajaus","Hae lisäkapasiteettia",IF(K13="Täysi","Seuraa varauksia","OK"))</x:f>
        <x:v>OK</x:v>
      </x:c>
      <x:c r="M13" s="121"/>
      <x:c r="N13" s="121"/>
    </x:row>
    <x:row r="14">
      <x:c r="A14" s="125"/>
      <x:c r="B14" s="121"/>
      <x:c r="C14" s="121"/>
      <x:c r="D14" s="121"/>
      <x:c r="E14" s="121"/>
      <x:c r="F14" s="121"/>
      <x:c r="G14" s="121"/>
      <x:c r="H14" s="124" t="str">
        <x:f>IF(D14=0,"",E14/D14)</x:f>
      </x:c>
      <x:c r="I14" s="123" t="str">
        <x:f>IF(A14="","",MAX(0,E14-D14))</x:f>
      </x:c>
      <x:c r="J14" s="123" t="str">
        <x:f>IF(A14="","",MAX(0,G14-F14))</x:f>
      </x:c>
      <x:c r="K14" s="123" t="str">
        <x:f>IF(A14="","",IF(OR(I14&gt;0,J14&gt;0),"Vajaus",IF(H14&gt;0.9,"Täysi","OK")))</x:f>
      </x:c>
      <x:c r="L14" s="123" t="str">
        <x:f>IF(K14="Vajaus","Hae lisäkapasiteettia",IF(K14="Täysi","Seuraa varauksia","OK"))</x:f>
        <x:v>OK</x:v>
      </x:c>
      <x:c r="M14" s="121"/>
      <x:c r="N14" s="121"/>
    </x:row>
    <x:row r="15">
      <x:c r="A15" s="125"/>
      <x:c r="B15" s="121"/>
      <x:c r="C15" s="121"/>
      <x:c r="D15" s="121"/>
      <x:c r="E15" s="121"/>
      <x:c r="F15" s="121"/>
      <x:c r="G15" s="121"/>
      <x:c r="H15" s="124" t="str">
        <x:f>IF(D15=0,"",E15/D15)</x:f>
      </x:c>
      <x:c r="I15" s="123" t="str">
        <x:f>IF(A15="","",MAX(0,E15-D15))</x:f>
      </x:c>
      <x:c r="J15" s="123" t="str">
        <x:f>IF(A15="","",MAX(0,G15-F15))</x:f>
      </x:c>
      <x:c r="K15" s="123" t="str">
        <x:f>IF(A15="","",IF(OR(I15&gt;0,J15&gt;0),"Vajaus",IF(H15&gt;0.9,"Täysi","OK")))</x:f>
      </x:c>
      <x:c r="L15" s="123" t="str">
        <x:f>IF(K15="Vajaus","Hae lisäkapasiteettia",IF(K15="Täysi","Seuraa varauksia","OK"))</x:f>
        <x:v>OK</x:v>
      </x:c>
      <x:c r="M15" s="121"/>
      <x:c r="N15" s="121"/>
    </x:row>
    <x:row r="16">
      <x:c r="A16" s="125"/>
      <x:c r="B16" s="121"/>
      <x:c r="C16" s="121"/>
      <x:c r="D16" s="121"/>
      <x:c r="E16" s="121"/>
      <x:c r="F16" s="121"/>
      <x:c r="G16" s="121"/>
      <x:c r="H16" s="124" t="str">
        <x:f>IF(D16=0,"",E16/D16)</x:f>
      </x:c>
      <x:c r="I16" s="123" t="str">
        <x:f>IF(A16="","",MAX(0,E16-D16))</x:f>
      </x:c>
      <x:c r="J16" s="123" t="str">
        <x:f>IF(A16="","",MAX(0,G16-F16))</x:f>
      </x:c>
      <x:c r="K16" s="123" t="str">
        <x:f>IF(A16="","",IF(OR(I16&gt;0,J16&gt;0),"Vajaus",IF(H16&gt;0.9,"Täysi","OK")))</x:f>
      </x:c>
      <x:c r="L16" s="123" t="str">
        <x:f>IF(K16="Vajaus","Hae lisäkapasiteettia",IF(K16="Täysi","Seuraa varauksia","OK"))</x:f>
        <x:v>OK</x:v>
      </x:c>
      <x:c r="M16" s="121"/>
      <x:c r="N16" s="121"/>
    </x:row>
    <x:row r="17">
      <x:c r="A17" s="125"/>
      <x:c r="B17" s="121"/>
      <x:c r="C17" s="121"/>
      <x:c r="D17" s="121"/>
      <x:c r="E17" s="121"/>
      <x:c r="F17" s="121"/>
      <x:c r="G17" s="121"/>
      <x:c r="H17" s="124" t="str">
        <x:f>IF(D17=0,"",E17/D17)</x:f>
      </x:c>
      <x:c r="I17" s="123" t="str">
        <x:f>IF(A17="","",MAX(0,E17-D17))</x:f>
      </x:c>
      <x:c r="J17" s="123" t="str">
        <x:f>IF(A17="","",MAX(0,G17-F17))</x:f>
      </x:c>
      <x:c r="K17" s="123" t="str">
        <x:f>IF(A17="","",IF(OR(I17&gt;0,J17&gt;0),"Vajaus",IF(H17&gt;0.9,"Täysi","OK")))</x:f>
      </x:c>
      <x:c r="L17" s="123" t="str">
        <x:f>IF(K17="Vajaus","Hae lisäkapasiteettia",IF(K17="Täysi","Seuraa varauksia","OK"))</x:f>
        <x:v>OK</x:v>
      </x:c>
      <x:c r="M17" s="121"/>
      <x:c r="N17" s="121"/>
    </x:row>
    <x:row r="18">
      <x:c r="A18" s="125"/>
      <x:c r="B18" s="121"/>
      <x:c r="C18" s="121"/>
      <x:c r="D18" s="121"/>
      <x:c r="E18" s="121"/>
      <x:c r="F18" s="121"/>
      <x:c r="G18" s="121"/>
      <x:c r="H18" s="124" t="str">
        <x:f>IF(D18=0,"",E18/D18)</x:f>
      </x:c>
      <x:c r="I18" s="123" t="str">
        <x:f>IF(A18="","",MAX(0,E18-D18))</x:f>
      </x:c>
      <x:c r="J18" s="123" t="str">
        <x:f>IF(A18="","",MAX(0,G18-F18))</x:f>
      </x:c>
      <x:c r="K18" s="123" t="str">
        <x:f>IF(A18="","",IF(OR(I18&gt;0,J18&gt;0),"Vajaus",IF(H18&gt;0.9,"Täysi","OK")))</x:f>
      </x:c>
      <x:c r="L18" s="123" t="str">
        <x:f>IF(K18="Vajaus","Hae lisäkapasiteettia",IF(K18="Täysi","Seuraa varauksia","OK"))</x:f>
        <x:v>OK</x:v>
      </x:c>
      <x:c r="M18" s="121"/>
      <x:c r="N18" s="121"/>
    </x:row>
    <x:row r="19">
      <x:c r="A19" s="125"/>
      <x:c r="B19" s="121"/>
      <x:c r="C19" s="121"/>
      <x:c r="D19" s="121"/>
      <x:c r="E19" s="121"/>
      <x:c r="F19" s="121"/>
      <x:c r="G19" s="121"/>
      <x:c r="H19" s="124" t="str">
        <x:f>IF(D19=0,"",E19/D19)</x:f>
      </x:c>
      <x:c r="I19" s="123" t="str">
        <x:f>IF(A19="","",MAX(0,E19-D19))</x:f>
      </x:c>
      <x:c r="J19" s="123" t="str">
        <x:f>IF(A19="","",MAX(0,G19-F19))</x:f>
      </x:c>
      <x:c r="K19" s="123" t="str">
        <x:f>IF(A19="","",IF(OR(I19&gt;0,J19&gt;0),"Vajaus",IF(H19&gt;0.9,"Täysi","OK")))</x:f>
      </x:c>
      <x:c r="L19" s="123" t="str">
        <x:f>IF(K19="Vajaus","Hae lisäkapasiteettia",IF(K19="Täysi","Seuraa varauksia","OK"))</x:f>
        <x:v>OK</x:v>
      </x:c>
      <x:c r="M19" s="121"/>
      <x:c r="N19" s="121"/>
    </x:row>
    <x:row r="20">
      <x:c r="A20" s="125"/>
      <x:c r="B20" s="121"/>
      <x:c r="C20" s="121"/>
      <x:c r="D20" s="121"/>
      <x:c r="E20" s="121"/>
      <x:c r="F20" s="121"/>
      <x:c r="G20" s="121"/>
      <x:c r="H20" s="124" t="str">
        <x:f>IF(D20=0,"",E20/D20)</x:f>
      </x:c>
      <x:c r="I20" s="123" t="str">
        <x:f>IF(A20="","",MAX(0,E20-D20))</x:f>
      </x:c>
      <x:c r="J20" s="123" t="str">
        <x:f>IF(A20="","",MAX(0,G20-F20))</x:f>
      </x:c>
      <x:c r="K20" s="123" t="str">
        <x:f>IF(A20="","",IF(OR(I20&gt;0,J20&gt;0),"Vajaus",IF(H20&gt;0.9,"Täysi","OK")))</x:f>
      </x:c>
      <x:c r="L20" s="123" t="str">
        <x:f>IF(K20="Vajaus","Hae lisäkapasiteettia",IF(K20="Täysi","Seuraa varauksia","OK"))</x:f>
        <x:v>OK</x:v>
      </x:c>
      <x:c r="M20" s="121"/>
      <x:c r="N20" s="121"/>
    </x:row>
    <x:row r="21">
      <x:c r="A21" s="125"/>
      <x:c r="B21" s="121"/>
      <x:c r="C21" s="121"/>
      <x:c r="D21" s="121"/>
      <x:c r="E21" s="121"/>
      <x:c r="F21" s="121"/>
      <x:c r="G21" s="121"/>
      <x:c r="H21" s="124" t="str">
        <x:f>IF(D21=0,"",E21/D21)</x:f>
      </x:c>
      <x:c r="I21" s="123" t="str">
        <x:f>IF(A21="","",MAX(0,E21-D21))</x:f>
      </x:c>
      <x:c r="J21" s="123" t="str">
        <x:f>IF(A21="","",MAX(0,G21-F21))</x:f>
      </x:c>
      <x:c r="K21" s="123" t="str">
        <x:f>IF(A21="","",IF(OR(I21&gt;0,J21&gt;0),"Vajaus",IF(H21&gt;0.9,"Täysi","OK")))</x:f>
      </x:c>
      <x:c r="L21" s="123" t="str">
        <x:f>IF(K21="Vajaus","Hae lisäkapasiteettia",IF(K21="Täysi","Seuraa varauksia","OK"))</x:f>
        <x:v>OK</x:v>
      </x:c>
      <x:c r="M21" s="121"/>
      <x:c r="N21" s="121"/>
    </x:row>
    <x:row r="22">
      <x:c r="A22" s="125"/>
      <x:c r="B22" s="121"/>
      <x:c r="C22" s="121"/>
      <x:c r="D22" s="121"/>
      <x:c r="E22" s="121"/>
      <x:c r="F22" s="121"/>
      <x:c r="G22" s="121"/>
      <x:c r="H22" s="124" t="str">
        <x:f>IF(D22=0,"",E22/D22)</x:f>
      </x:c>
      <x:c r="I22" s="123" t="str">
        <x:f>IF(A22="","",MAX(0,E22-D22))</x:f>
      </x:c>
      <x:c r="J22" s="123" t="str">
        <x:f>IF(A22="","",MAX(0,G22-F22))</x:f>
      </x:c>
      <x:c r="K22" s="123" t="str">
        <x:f>IF(A22="","",IF(OR(I22&gt;0,J22&gt;0),"Vajaus",IF(H22&gt;0.9,"Täysi","OK")))</x:f>
      </x:c>
      <x:c r="L22" s="123" t="str">
        <x:f>IF(K22="Vajaus","Hae lisäkapasiteettia",IF(K22="Täysi","Seuraa varauksia","OK"))</x:f>
        <x:v>OK</x:v>
      </x:c>
      <x:c r="M22" s="121"/>
      <x:c r="N22" s="121"/>
    </x:row>
    <x:row r="23">
      <x:c r="A23" s="125"/>
      <x:c r="B23" s="121"/>
      <x:c r="C23" s="121"/>
      <x:c r="D23" s="121"/>
      <x:c r="E23" s="121"/>
      <x:c r="F23" s="121"/>
      <x:c r="G23" s="121"/>
      <x:c r="H23" s="124" t="str">
        <x:f>IF(D23=0,"",E23/D23)</x:f>
      </x:c>
      <x:c r="I23" s="123" t="str">
        <x:f>IF(A23="","",MAX(0,E23-D23))</x:f>
      </x:c>
      <x:c r="J23" s="123" t="str">
        <x:f>IF(A23="","",MAX(0,G23-F23))</x:f>
      </x:c>
      <x:c r="K23" s="123" t="str">
        <x:f>IF(A23="","",IF(OR(I23&gt;0,J23&gt;0),"Vajaus",IF(H23&gt;0.9,"Täysi","OK")))</x:f>
      </x:c>
      <x:c r="L23" s="123" t="str">
        <x:f>IF(K23="Vajaus","Hae lisäkapasiteettia",IF(K23="Täysi","Seuraa varauksia","OK"))</x:f>
        <x:v>OK</x:v>
      </x:c>
      <x:c r="M23" s="121"/>
      <x:c r="N23" s="121"/>
    </x:row>
    <x:row r="24">
      <x:c r="A24" s="125"/>
      <x:c r="B24" s="121"/>
      <x:c r="C24" s="121"/>
      <x:c r="D24" s="121"/>
      <x:c r="E24" s="121"/>
      <x:c r="F24" s="121"/>
      <x:c r="G24" s="121"/>
      <x:c r="H24" s="124" t="str">
        <x:f>IF(D24=0,"",E24/D24)</x:f>
      </x:c>
      <x:c r="I24" s="123" t="str">
        <x:f>IF(A24="","",MAX(0,E24-D24))</x:f>
      </x:c>
      <x:c r="J24" s="123" t="str">
        <x:f>IF(A24="","",MAX(0,G24-F24))</x:f>
      </x:c>
      <x:c r="K24" s="123" t="str">
        <x:f>IF(A24="","",IF(OR(I24&gt;0,J24&gt;0),"Vajaus",IF(H24&gt;0.9,"Täysi","OK")))</x:f>
      </x:c>
      <x:c r="L24" s="123" t="str">
        <x:f>IF(K24="Vajaus","Hae lisäkapasiteettia",IF(K24="Täysi","Seuraa varauksia","OK"))</x:f>
        <x:v>OK</x:v>
      </x:c>
      <x:c r="M24" s="121"/>
      <x:c r="N24" s="121"/>
    </x:row>
    <x:row r="25">
      <x:c r="A25" s="125"/>
      <x:c r="B25" s="121"/>
      <x:c r="C25" s="121"/>
      <x:c r="D25" s="121"/>
      <x:c r="E25" s="121"/>
      <x:c r="F25" s="121"/>
      <x:c r="G25" s="121"/>
      <x:c r="H25" s="124" t="str">
        <x:f>IF(D25=0,"",E25/D25)</x:f>
      </x:c>
      <x:c r="I25" s="123" t="str">
        <x:f>IF(A25="","",MAX(0,E25-D25))</x:f>
      </x:c>
      <x:c r="J25" s="123" t="str">
        <x:f>IF(A25="","",MAX(0,G25-F25))</x:f>
      </x:c>
      <x:c r="K25" s="123" t="str">
        <x:f>IF(A25="","",IF(OR(I25&gt;0,J25&gt;0),"Vajaus",IF(H25&gt;0.9,"Täysi","OK")))</x:f>
      </x:c>
      <x:c r="L25" s="123" t="str">
        <x:f>IF(K25="Vajaus","Hae lisäkapasiteettia",IF(K25="Täysi","Seuraa varauksia","OK"))</x:f>
        <x:v>OK</x:v>
      </x:c>
      <x:c r="M25" s="121"/>
      <x:c r="N25" s="121"/>
    </x:row>
    <x:row r="26">
      <x:c r="A26" s="125"/>
      <x:c r="B26" s="121"/>
      <x:c r="C26" s="121"/>
      <x:c r="D26" s="121"/>
      <x:c r="E26" s="121"/>
      <x:c r="F26" s="121"/>
      <x:c r="G26" s="121"/>
      <x:c r="H26" s="124" t="str">
        <x:f>IF(D26=0,"",E26/D26)</x:f>
      </x:c>
      <x:c r="I26" s="123" t="str">
        <x:f>IF(A26="","",MAX(0,E26-D26))</x:f>
      </x:c>
      <x:c r="J26" s="123" t="str">
        <x:f>IF(A26="","",MAX(0,G26-F26))</x:f>
      </x:c>
      <x:c r="K26" s="123" t="str">
        <x:f>IF(A26="","",IF(OR(I26&gt;0,J26&gt;0),"Vajaus",IF(H26&gt;0.9,"Täysi","OK")))</x:f>
      </x:c>
      <x:c r="L26" s="123" t="str">
        <x:f>IF(K26="Vajaus","Hae lisäkapasiteettia",IF(K26="Täysi","Seuraa varauksia","OK"))</x:f>
        <x:v>OK</x:v>
      </x:c>
      <x:c r="M26" s="121"/>
      <x:c r="N26" s="121"/>
    </x:row>
    <x:row r="27">
      <x:c r="A27" s="125"/>
      <x:c r="B27" s="121"/>
      <x:c r="C27" s="121"/>
      <x:c r="D27" s="121"/>
      <x:c r="E27" s="121"/>
      <x:c r="F27" s="121"/>
      <x:c r="G27" s="121"/>
      <x:c r="H27" s="124" t="str">
        <x:f>IF(D27=0,"",E27/D27)</x:f>
      </x:c>
      <x:c r="I27" s="123" t="str">
        <x:f>IF(A27="","",MAX(0,E27-D27))</x:f>
      </x:c>
      <x:c r="J27" s="123" t="str">
        <x:f>IF(A27="","",MAX(0,G27-F27))</x:f>
      </x:c>
      <x:c r="K27" s="123" t="str">
        <x:f>IF(A27="","",IF(OR(I27&gt;0,J27&gt;0),"Vajaus",IF(H27&gt;0.9,"Täysi","OK")))</x:f>
      </x:c>
      <x:c r="L27" s="123" t="str">
        <x:f>IF(K27="Vajaus","Hae lisäkapasiteettia",IF(K27="Täysi","Seuraa varauksia","OK"))</x:f>
        <x:v>OK</x:v>
      </x:c>
      <x:c r="M27" s="121"/>
      <x:c r="N27" s="121"/>
    </x:row>
    <x:row r="28">
      <x:c r="A28" s="125"/>
      <x:c r="B28" s="121"/>
      <x:c r="C28" s="121"/>
      <x:c r="D28" s="121"/>
      <x:c r="E28" s="121"/>
      <x:c r="F28" s="121"/>
      <x:c r="G28" s="121"/>
      <x:c r="H28" s="124" t="str">
        <x:f>IF(D28=0,"",E28/D28)</x:f>
      </x:c>
      <x:c r="I28" s="123" t="str">
        <x:f>IF(A28="","",MAX(0,E28-D28))</x:f>
      </x:c>
      <x:c r="J28" s="123" t="str">
        <x:f>IF(A28="","",MAX(0,G28-F28))</x:f>
      </x:c>
      <x:c r="K28" s="123" t="str">
        <x:f>IF(A28="","",IF(OR(I28&gt;0,J28&gt;0),"Vajaus",IF(H28&gt;0.9,"Täysi","OK")))</x:f>
      </x:c>
      <x:c r="L28" s="123" t="str">
        <x:f>IF(K28="Vajaus","Hae lisäkapasiteettia",IF(K28="Täysi","Seuraa varauksia","OK"))</x:f>
        <x:v>OK</x:v>
      </x:c>
      <x:c r="M28" s="121"/>
      <x:c r="N28" s="121"/>
    </x:row>
    <x:row r="29">
      <x:c r="A29" s="125"/>
      <x:c r="B29" s="121"/>
      <x:c r="C29" s="121"/>
      <x:c r="D29" s="121"/>
      <x:c r="E29" s="121"/>
      <x:c r="F29" s="121"/>
      <x:c r="G29" s="121"/>
      <x:c r="H29" s="124" t="str">
        <x:f>IF(D29=0,"",E29/D29)</x:f>
      </x:c>
      <x:c r="I29" s="123" t="str">
        <x:f>IF(A29="","",MAX(0,E29-D29))</x:f>
      </x:c>
      <x:c r="J29" s="123" t="str">
        <x:f>IF(A29="","",MAX(0,G29-F29))</x:f>
      </x:c>
      <x:c r="K29" s="123" t="str">
        <x:f>IF(A29="","",IF(OR(I29&gt;0,J29&gt;0),"Vajaus",IF(H29&gt;0.9,"Täysi","OK")))</x:f>
      </x:c>
      <x:c r="L29" s="123" t="str">
        <x:f>IF(K29="Vajaus","Hae lisäkapasiteettia",IF(K29="Täysi","Seuraa varauksia","OK"))</x:f>
        <x:v>OK</x:v>
      </x:c>
      <x:c r="M29" s="121"/>
      <x:c r="N29" s="121"/>
    </x:row>
    <x:row r="30">
      <x:c r="A30" s="125"/>
      <x:c r="B30" s="121"/>
      <x:c r="C30" s="121"/>
      <x:c r="D30" s="121"/>
      <x:c r="E30" s="121"/>
      <x:c r="F30" s="121"/>
      <x:c r="G30" s="121"/>
      <x:c r="H30" s="124" t="str">
        <x:f>IF(D30=0,"",E30/D30)</x:f>
      </x:c>
      <x:c r="I30" s="123" t="str">
        <x:f>IF(A30="","",MAX(0,E30-D30))</x:f>
      </x:c>
      <x:c r="J30" s="123" t="str">
        <x:f>IF(A30="","",MAX(0,G30-F30))</x:f>
      </x:c>
      <x:c r="K30" s="123" t="str">
        <x:f>IF(A30="","",IF(OR(I30&gt;0,J30&gt;0),"Vajaus",IF(H30&gt;0.9,"Täysi","OK")))</x:f>
      </x:c>
      <x:c r="L30" s="123" t="str">
        <x:f>IF(K30="Vajaus","Hae lisäkapasiteettia",IF(K30="Täysi","Seuraa varauksia","OK"))</x:f>
        <x:v>OK</x:v>
      </x:c>
      <x:c r="M30" s="121"/>
      <x:c r="N30" s="121"/>
    </x:row>
    <x:row r="31">
      <x:c r="A31" s="125"/>
      <x:c r="B31" s="121"/>
      <x:c r="C31" s="121"/>
      <x:c r="D31" s="121"/>
      <x:c r="E31" s="121"/>
      <x:c r="F31" s="121"/>
      <x:c r="G31" s="121"/>
      <x:c r="H31" s="124" t="str">
        <x:f>IF(D31=0,"",E31/D31)</x:f>
      </x:c>
      <x:c r="I31" s="123" t="str">
        <x:f>IF(A31="","",MAX(0,E31-D31))</x:f>
      </x:c>
      <x:c r="J31" s="123" t="str">
        <x:f>IF(A31="","",MAX(0,G31-F31))</x:f>
      </x:c>
      <x:c r="K31" s="123" t="str">
        <x:f>IF(A31="","",IF(OR(I31&gt;0,J31&gt;0),"Vajaus",IF(H31&gt;0.9,"Täysi","OK")))</x:f>
      </x:c>
      <x:c r="L31" s="123" t="str">
        <x:f>IF(K31="Vajaus","Hae lisäkapasiteettia",IF(K31="Täysi","Seuraa varauksia","OK"))</x:f>
        <x:v>OK</x:v>
      </x:c>
      <x:c r="M31" s="121"/>
      <x:c r="N31" s="121"/>
    </x:row>
    <x:row r="32">
      <x:c r="A32" s="125"/>
      <x:c r="B32" s="121"/>
      <x:c r="C32" s="121"/>
      <x:c r="D32" s="121"/>
      <x:c r="E32" s="121"/>
      <x:c r="F32" s="121"/>
      <x:c r="G32" s="121"/>
      <x:c r="H32" s="124" t="str">
        <x:f>IF(D32=0,"",E32/D32)</x:f>
      </x:c>
      <x:c r="I32" s="123" t="str">
        <x:f>IF(A32="","",MAX(0,E32-D32))</x:f>
      </x:c>
      <x:c r="J32" s="123" t="str">
        <x:f>IF(A32="","",MAX(0,G32-F32))</x:f>
      </x:c>
      <x:c r="K32" s="123" t="str">
        <x:f>IF(A32="","",IF(OR(I32&gt;0,J32&gt;0),"Vajaus",IF(H32&gt;0.9,"Täysi","OK")))</x:f>
      </x:c>
      <x:c r="L32" s="123" t="str">
        <x:f>IF(K32="Vajaus","Hae lisäkapasiteettia",IF(K32="Täysi","Seuraa varauksia","OK"))</x:f>
        <x:v>OK</x:v>
      </x:c>
      <x:c r="M32" s="121"/>
      <x:c r="N32" s="121"/>
    </x:row>
    <x:row r="33">
      <x:c r="A33" s="125"/>
      <x:c r="B33" s="121"/>
      <x:c r="C33" s="121"/>
      <x:c r="D33" s="121"/>
      <x:c r="E33" s="121"/>
      <x:c r="F33" s="121"/>
      <x:c r="G33" s="121"/>
      <x:c r="H33" s="124" t="str">
        <x:f>IF(D33=0,"",E33/D33)</x:f>
      </x:c>
      <x:c r="I33" s="123" t="str">
        <x:f>IF(A33="","",MAX(0,E33-D33))</x:f>
      </x:c>
      <x:c r="J33" s="123" t="str">
        <x:f>IF(A33="","",MAX(0,G33-F33))</x:f>
      </x:c>
      <x:c r="K33" s="123" t="str">
        <x:f>IF(A33="","",IF(OR(I33&gt;0,J33&gt;0),"Vajaus",IF(H33&gt;0.9,"Täysi","OK")))</x:f>
      </x:c>
      <x:c r="L33" s="123" t="str">
        <x:f>IF(K33="Vajaus","Hae lisäkapasiteettia",IF(K33="Täysi","Seuraa varauksia","OK"))</x:f>
        <x:v>OK</x:v>
      </x:c>
      <x:c r="M33" s="121"/>
      <x:c r="N33" s="121"/>
    </x:row>
    <x:row r="34">
      <x:c r="A34" s="125"/>
      <x:c r="B34" s="121"/>
      <x:c r="C34" s="121"/>
      <x:c r="D34" s="121"/>
      <x:c r="E34" s="121"/>
      <x:c r="F34" s="121"/>
      <x:c r="G34" s="121"/>
      <x:c r="H34" s="124" t="str">
        <x:f>IF(D34=0,"",E34/D34)</x:f>
      </x:c>
      <x:c r="I34" s="123" t="str">
        <x:f>IF(A34="","",MAX(0,E34-D34))</x:f>
      </x:c>
      <x:c r="J34" s="123" t="str">
        <x:f>IF(A34="","",MAX(0,G34-F34))</x:f>
      </x:c>
      <x:c r="K34" s="123" t="str">
        <x:f>IF(A34="","",IF(OR(I34&gt;0,J34&gt;0),"Vajaus",IF(H34&gt;0.9,"Täysi","OK")))</x:f>
      </x:c>
      <x:c r="L34" s="123" t="str">
        <x:f>IF(K34="Vajaus","Hae lisäkapasiteettia",IF(K34="Täysi","Seuraa varauksia","OK"))</x:f>
        <x:v>OK</x:v>
      </x:c>
      <x:c r="M34" s="121"/>
      <x:c r="N34" s="121"/>
    </x:row>
    <x:row r="35">
      <x:c r="A35" s="125"/>
      <x:c r="B35" s="121"/>
      <x:c r="C35" s="121"/>
      <x:c r="D35" s="121"/>
      <x:c r="E35" s="121"/>
      <x:c r="F35" s="121"/>
      <x:c r="G35" s="121"/>
      <x:c r="H35" s="124" t="str">
        <x:f>IF(D35=0,"",E35/D35)</x:f>
      </x:c>
      <x:c r="I35" s="123" t="str">
        <x:f>IF(A35="","",MAX(0,E35-D35))</x:f>
      </x:c>
      <x:c r="J35" s="123" t="str">
        <x:f>IF(A35="","",MAX(0,G35-F35))</x:f>
      </x:c>
      <x:c r="K35" s="123" t="str">
        <x:f>IF(A35="","",IF(OR(I35&gt;0,J35&gt;0),"Vajaus",IF(H35&gt;0.9,"Täysi","OK")))</x:f>
      </x:c>
      <x:c r="L35" s="123" t="str">
        <x:f>IF(K35="Vajaus","Hae lisäkapasiteettia",IF(K35="Täysi","Seuraa varauksia","OK"))</x:f>
        <x:v>OK</x:v>
      </x:c>
      <x:c r="M35" s="121"/>
      <x:c r="N35" s="121"/>
    </x:row>
    <x:row r="36">
      <x:c r="A36" s="125"/>
      <x:c r="B36" s="121"/>
      <x:c r="C36" s="121"/>
      <x:c r="D36" s="121"/>
      <x:c r="E36" s="121"/>
      <x:c r="F36" s="121"/>
      <x:c r="G36" s="121"/>
      <x:c r="H36" s="124" t="str">
        <x:f>IF(D36=0,"",E36/D36)</x:f>
      </x:c>
      <x:c r="I36" s="123" t="str">
        <x:f>IF(A36="","",MAX(0,E36-D36))</x:f>
      </x:c>
      <x:c r="J36" s="123" t="str">
        <x:f>IF(A36="","",MAX(0,G36-F36))</x:f>
      </x:c>
      <x:c r="K36" s="123" t="str">
        <x:f>IF(A36="","",IF(OR(I36&gt;0,J36&gt;0),"Vajaus",IF(H36&gt;0.9,"Täysi","OK")))</x:f>
      </x:c>
      <x:c r="L36" s="123" t="str">
        <x:f>IF(K36="Vajaus","Hae lisäkapasiteettia",IF(K36="Täysi","Seuraa varauksia","OK"))</x:f>
        <x:v>OK</x:v>
      </x:c>
      <x:c r="M36" s="121"/>
      <x:c r="N36" s="121"/>
    </x:row>
    <x:row r="37">
      <x:c r="A37" s="125"/>
      <x:c r="B37" s="121"/>
      <x:c r="C37" s="121"/>
      <x:c r="D37" s="121"/>
      <x:c r="E37" s="121"/>
      <x:c r="F37" s="121"/>
      <x:c r="G37" s="121"/>
      <x:c r="H37" s="124" t="str">
        <x:f>IF(D37=0,"",E37/D37)</x:f>
      </x:c>
      <x:c r="I37" s="123" t="str">
        <x:f>IF(A37="","",MAX(0,E37-D37))</x:f>
      </x:c>
      <x:c r="J37" s="123" t="str">
        <x:f>IF(A37="","",MAX(0,G37-F37))</x:f>
      </x:c>
      <x:c r="K37" s="123" t="str">
        <x:f>IF(A37="","",IF(OR(I37&gt;0,J37&gt;0),"Vajaus",IF(H37&gt;0.9,"Täysi","OK")))</x:f>
      </x:c>
      <x:c r="L37" s="123" t="str">
        <x:f>IF(K37="Vajaus","Hae lisäkapasiteettia",IF(K37="Täysi","Seuraa varauksia","OK"))</x:f>
        <x:v>OK</x:v>
      </x:c>
      <x:c r="M37" s="121"/>
      <x:c r="N37" s="121"/>
    </x:row>
    <x:row r="38">
      <x:c r="A38" s="125"/>
      <x:c r="B38" s="121"/>
      <x:c r="C38" s="121"/>
      <x:c r="D38" s="121"/>
      <x:c r="E38" s="121"/>
      <x:c r="F38" s="121"/>
      <x:c r="G38" s="121"/>
      <x:c r="H38" s="124" t="str">
        <x:f>IF(D38=0,"",E38/D38)</x:f>
      </x:c>
      <x:c r="I38" s="123" t="str">
        <x:f>IF(A38="","",MAX(0,E38-D38))</x:f>
      </x:c>
      <x:c r="J38" s="123" t="str">
        <x:f>IF(A38="","",MAX(0,G38-F38))</x:f>
      </x:c>
      <x:c r="K38" s="123" t="str">
        <x:f>IF(A38="","",IF(OR(I38&gt;0,J38&gt;0),"Vajaus",IF(H38&gt;0.9,"Täysi","OK")))</x:f>
      </x:c>
      <x:c r="L38" s="123" t="str">
        <x:f>IF(K38="Vajaus","Hae lisäkapasiteettia",IF(K38="Täysi","Seuraa varauksia","OK"))</x:f>
        <x:v>OK</x:v>
      </x:c>
      <x:c r="M38" s="121"/>
      <x:c r="N38" s="121"/>
    </x:row>
    <x:row r="39">
      <x:c r="A39" s="125"/>
      <x:c r="B39" s="121"/>
      <x:c r="C39" s="121"/>
      <x:c r="D39" s="121"/>
      <x:c r="E39" s="121"/>
      <x:c r="F39" s="121"/>
      <x:c r="G39" s="121"/>
      <x:c r="H39" s="124" t="str">
        <x:f>IF(D39=0,"",E39/D39)</x:f>
      </x:c>
      <x:c r="I39" s="123" t="str">
        <x:f>IF(A39="","",MAX(0,E39-D39))</x:f>
      </x:c>
      <x:c r="J39" s="123" t="str">
        <x:f>IF(A39="","",MAX(0,G39-F39))</x:f>
      </x:c>
      <x:c r="K39" s="123" t="str">
        <x:f>IF(A39="","",IF(OR(I39&gt;0,J39&gt;0),"Vajaus",IF(H39&gt;0.9,"Täysi","OK")))</x:f>
      </x:c>
      <x:c r="L39" s="123" t="str">
        <x:f>IF(K39="Vajaus","Hae lisäkapasiteettia",IF(K39="Täysi","Seuraa varauksia","OK"))</x:f>
        <x:v>OK</x:v>
      </x:c>
      <x:c r="M39" s="121"/>
      <x:c r="N39" s="121"/>
    </x:row>
    <x:row r="40">
      <x:c r="A40" s="125"/>
      <x:c r="B40" s="121"/>
      <x:c r="C40" s="121"/>
      <x:c r="D40" s="121"/>
      <x:c r="E40" s="121"/>
      <x:c r="F40" s="121"/>
      <x:c r="G40" s="121"/>
      <x:c r="H40" s="124" t="str">
        <x:f>IF(D40=0,"",E40/D40)</x:f>
      </x:c>
      <x:c r="I40" s="123" t="str">
        <x:f>IF(A40="","",MAX(0,E40-D40))</x:f>
      </x:c>
      <x:c r="J40" s="123" t="str">
        <x:f>IF(A40="","",MAX(0,G40-F40))</x:f>
      </x:c>
      <x:c r="K40" s="123" t="str">
        <x:f>IF(A40="","",IF(OR(I40&gt;0,J40&gt;0),"Vajaus",IF(H40&gt;0.9,"Täysi","OK")))</x:f>
      </x:c>
      <x:c r="L40" s="123" t="str">
        <x:f>IF(K40="Vajaus","Hae lisäkapasiteettia",IF(K40="Täysi","Seuraa varauksia","OK"))</x:f>
        <x:v>OK</x:v>
      </x:c>
      <x:c r="M40" s="121"/>
      <x:c r="N40" s="121"/>
    </x:row>
    <x:row r="41">
      <x:c r="A41" s="125"/>
      <x:c r="B41" s="121"/>
      <x:c r="C41" s="121"/>
      <x:c r="D41" s="121"/>
      <x:c r="E41" s="121"/>
      <x:c r="F41" s="121"/>
      <x:c r="G41" s="121"/>
      <x:c r="H41" s="124"/>
      <x:c r="I41" s="123"/>
      <x:c r="J41" s="123"/>
      <x:c r="K41" s="123"/>
      <x:c r="L41" s="123"/>
      <x:c r="M41" s="121"/>
      <x:c r="N41" s="121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91780e5f20f74f05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24" hidden="0" customWidth="1"/>
  </x:cols>
  <x:sheetData>
    <x:row r="1">
      <x:c r="A1" s="108" t="str">
        <x:v>10. Network optimization – verkosto-optimointi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Vertailee hubi- ja verkostovaihtoehtoja kustannuksen, ajan, CO₂:n ja riskin perusteella.</x:v>
      </x:c>
    </x:row>
    <x:row r="4">
      <x:c r="A4" s="118" t="str">
        <x:v>Vaihtoehto</x:v>
      </x:c>
      <x:c r="B4" s="118" t="str">
        <x:v>Hub 1</x:v>
      </x:c>
      <x:c r="C4" s="118" t="str">
        <x:v>Hub 2</x:v>
      </x:c>
      <x:c r="D4" s="118" t="str">
        <x:v>Km</x:v>
      </x:c>
      <x:c r="E4" s="118" t="str">
        <x:v>Ajoaika h</x:v>
      </x:c>
      <x:c r="F4" s="118" t="str">
        <x:v>Kustannus €</x:v>
      </x:c>
      <x:c r="G4" s="118" t="str">
        <x:v>CO₂ kg</x:v>
      </x:c>
      <x:c r="H4" s="118" t="str">
        <x:v>Riski</x:v>
      </x:c>
      <x:c r="I4" s="118" t="str">
        <x:v>Network score</x:v>
      </x:c>
      <x:c r="J4" s="118" t="str">
        <x:v>Päätös</x:v>
      </x:c>
      <x:c r="K4" s="118" t="str">
        <x:v>Km score</x:v>
      </x:c>
      <x:c r="L4" s="118" t="str">
        <x:v>Cost score</x:v>
      </x:c>
      <x:c r="M4" s="118" t="str">
        <x:v>CO₂ score</x:v>
      </x:c>
      <x:c r="N4" s="118" t="str">
        <x:v>Huomio</x:v>
      </x:c>
    </x:row>
    <x:row r="5">
      <x:c r="A5" s="121" t="str">
        <x:v>N1</x:v>
      </x:c>
      <x:c r="B5" s="121" t="str">
        <x:v>Vantaa</x:v>
      </x:c>
      <x:c r="C5" s="121" t="str">
        <x:v>Tampere</x:v>
      </x:c>
      <x:c r="D5" s="121" t="n">
        <x:v>290</x:v>
      </x:c>
      <x:c r="E5" s="121" t="n">
        <x:v>3.9</x:v>
      </x:c>
      <x:c r="F5" s="128" t="n">
        <x:v>700</x:v>
      </x:c>
      <x:c r="G5" s="121" t="n">
        <x:v>260</x:v>
      </x:c>
      <x:c r="H5" s="121" t="n">
        <x:v>2</x:v>
      </x:c>
      <x:c r="I5" s="123" t="n">
        <x:f>IF(A5="","",K5*0.3+L5*0.35+M5*0.2+(100-H5*15)*0.15)</x:f>
        <x:v>95.5</x:v>
      </x:c>
      <x:c r="J5" s="123" t="str">
        <x:f>IF(A5="","",IF(I5=MAX($I$5:$I$20),"PARAS",""))</x:f>
        <x:v>PARAS</x:v>
      </x:c>
      <x:c r="K5" s="123" t="n">
        <x:f>IF(A5="","",MAX(0,100*(1-(D5-MIN($D$5:$D$20))/(MAX($D$5:$D$20)-MIN($D$5:$D$20)+0.0001))))</x:f>
        <x:v>100</x:v>
      </x:c>
      <x:c r="L5" s="123" t="n">
        <x:f>IF(A5="","",MAX(0,100*(1-(F5-MIN($F$5:$F$20))/(MAX($F$5:$F$20)-MIN($F$5:$F$20)+0.0001))))</x:f>
        <x:v>100</x:v>
      </x:c>
      <x:c r="M5" s="123" t="n">
        <x:f>IF(A5="","",MAX(0,100*(1-(G5-MIN($G$5:$G$20))/(MAX($G$5:$G$20)-MIN($G$5:$G$20)+0.0001))))</x:f>
        <x:v>100</x:v>
      </x:c>
      <x:c r="N5" s="121" t="str">
        <x:v>Nykyinen</x:v>
      </x:c>
    </x:row>
    <x:row r="6">
      <x:c r="A6" s="121" t="str">
        <x:v>N2</x:v>
      </x:c>
      <x:c r="B6" s="121" t="str">
        <x:v>Vantaa</x:v>
      </x:c>
      <x:c r="C6" s="121" t="str">
        <x:v>Lahti</x:v>
      </x:c>
      <x:c r="D6" s="121" t="n">
        <x:v>330</x:v>
      </x:c>
      <x:c r="E6" s="121" t="n">
        <x:v>4.4</x:v>
      </x:c>
      <x:c r="F6" s="128" t="n">
        <x:v>740</x:v>
      </x:c>
      <x:c r="G6" s="121" t="n">
        <x:v>300</x:v>
      </x:c>
      <x:c r="H6" s="121" t="n">
        <x:v>2</x:v>
      </x:c>
      <x:c r="I6" s="123" t="n">
        <x:f>IF(A6="","",K6*0.3+L6*0.35+M6*0.2+(100-H6*15)*0.15)</x:f>
        <x:v>86.19138199346753</x:v>
      </x:c>
      <x:c r="J6" s="123" t="str">
        <x:f>IF(A6="","",IF(I6=MAX($I$5:$I$20),"PARAS",""))</x:f>
      </x:c>
      <x:c r="K6" s="123" t="n">
        <x:f>IF(A6="","",MAX(0,100*(1-(D6-MIN($D$5:$D$20))/(MAX($D$5:$D$20)-MIN($D$5:$D$20)+0.0001))))</x:f>
        <x:v>87.50000390624878</x:v>
      </x:c>
      <x:c r="L6" s="123" t="n">
        <x:f>IF(A6="","",MAX(0,100*(1-(F6-MIN($F$5:$F$20))/(MAX($F$5:$F$20)-MIN($F$5:$F$20)+0.0001))))</x:f>
        <x:v>92.00000159999968</x:v>
      </x:c>
      <x:c r="M6" s="123" t="n">
        <x:f>IF(A6="","",MAX(0,100*(1-(G6-MIN($G$5:$G$20))/(MAX($G$5:$G$20)-MIN($G$5:$G$20)+0.0001))))</x:f>
        <x:v>86.20690130796507</x:v>
      </x:c>
      <x:c r="N6" s="121" t="str">
        <x:v>Vaihtoehto</x:v>
      </x:c>
    </x:row>
    <x:row r="7">
      <x:c r="A7" s="121" t="str">
        <x:v>N3</x:v>
      </x:c>
      <x:c r="B7" s="121" t="str">
        <x:v>Vantaa</x:v>
      </x:c>
      <x:c r="C7" s="121" t="str">
        <x:v>Jyväskylä</x:v>
      </x:c>
      <x:c r="D7" s="121" t="n">
        <x:v>610</x:v>
      </x:c>
      <x:c r="E7" s="121" t="n">
        <x:v>8.1</x:v>
      </x:c>
      <x:c r="F7" s="128" t="n">
        <x:v>1200</x:v>
      </x:c>
      <x:c r="G7" s="121" t="n">
        <x:v>550</x:v>
      </x:c>
      <x:c r="H7" s="121" t="n">
        <x:v>4</x:v>
      </x:c>
      <x:c r="I7" s="123" t="n">
        <x:f>IF(A7="","",K7*0.3+L7*0.35+M7*0.2+(100-H7*15)*0.15)</x:f>
        <x:v>6.000023271545011</x:v>
      </x:c>
      <x:c r="J7" s="123" t="str">
        <x:f>IF(A7="","",IF(I7=MAX($I$5:$I$20),"PARAS",""))</x:f>
      </x:c>
      <x:c r="K7" s="123" t="n">
        <x:f>IF(A7="","",MAX(0,100*(1-(D7-MIN($D$5:$D$20))/(MAX($D$5:$D$20)-MIN($D$5:$D$20)+0.0001))))</x:f>
        <x:v>0.00003124999022885433</x:v>
      </x:c>
      <x:c r="L7" s="123" t="n">
        <x:f>IF(A7="","",MAX(0,100*(1-(F7-MIN($F$5:$F$20))/(MAX($F$5:$F$20)-MIN($F$5:$F$20)+0.0001))))</x:f>
        <x:v>0.000019999995992669994</x:v>
      </x:c>
      <x:c r="M7" s="123" t="n">
        <x:f>IF(A7="","",MAX(0,100*(1-(G7-MIN($G$5:$G$20))/(MAX($G$5:$G$20)-MIN($G$5:$G$20)+0.0001))))</x:f>
        <x:v>0.00003448274672468443</x:v>
      </x:c>
      <x:c r="N7" s="121" t="str">
        <x:v>Pitkä runko</x:v>
      </x:c>
    </x:row>
    <x:row r="8">
      <x:c r="A8" s="121" t="str">
        <x:v>N4</x:v>
      </x:c>
      <x:c r="B8" s="121" t="str">
        <x:v>Turku</x:v>
      </x:c>
      <x:c r="C8" s="121" t="str">
        <x:v>Tampere</x:v>
      </x:c>
      <x:c r="D8" s="121" t="n">
        <x:v>455</x:v>
      </x:c>
      <x:c r="E8" s="121" t="n">
        <x:v>6.1</x:v>
      </x:c>
      <x:c r="F8" s="128" t="n">
        <x:v>950</x:v>
      </x:c>
      <x:c r="G8" s="121" t="n">
        <x:v>410</x:v>
      </x:c>
      <x:c r="H8" s="121" t="n">
        <x:v>3</x:v>
      </x:c>
      <x:c r="I8" s="123" t="n">
        <x:f>IF(A8="","",K8*0.3+L8*0.35+M8*0.2+(100-H8*15)*0.15)</x:f>
        <x:v>49.93643431495596</x:v>
      </x:c>
      <x:c r="J8" s="123" t="str">
        <x:f>IF(A8="","",IF(I8=MAX($I$5:$I$20),"PARAS",""))</x:f>
      </x:c>
      <x:c r="K8" s="123" t="n">
        <x:f>IF(A8="","",MAX(0,100*(1-(D8-MIN($D$5:$D$20))/(MAX($D$5:$D$20)-MIN($D$5:$D$20)+0.0001))))</x:f>
        <x:v>48.43751611327621</x:v>
      </x:c>
      <x:c r="L8" s="123" t="n">
        <x:f>IF(A8="","",MAX(0,100*(1-(F8-MIN($F$5:$F$20))/(MAX($F$5:$F$20)-MIN($F$5:$F$20)+0.0001))))</x:f>
        <x:v>50.000009999998</x:v>
      </x:c>
      <x:c r="M8" s="123" t="n">
        <x:f>IF(A8="","",MAX(0,100*(1-(G8-MIN($G$5:$G$20))/(MAX($G$5:$G$20)-MIN($G$5:$G$20)+0.0001))))</x:f>
        <x:v>48.27587990486899</x:v>
      </x:c>
      <x:c r="N8" s="121" t="str">
        <x:v>Lounais-vaihtoehto</x:v>
      </x:c>
    </x:row>
    <x:row r="9">
      <x:c r="A9" s="121"/>
      <x:c r="B9" s="121"/>
      <x:c r="C9" s="121"/>
      <x:c r="D9" s="121"/>
      <x:c r="E9" s="121"/>
      <x:c r="F9" s="128"/>
      <x:c r="G9" s="121"/>
      <x:c r="H9" s="121"/>
      <x:c r="I9" s="123" t="str">
        <x:f>IF(A9="","",K9*0.3+L9*0.35+M9*0.2+(100-H9*15)*0.15)</x:f>
      </x:c>
      <x:c r="J9" s="123" t="str">
        <x:f>IF(A9="","",IF(I9=MAX($I$5:$I$20),"PARAS",""))</x:f>
      </x:c>
      <x:c r="K9" s="123" t="str">
        <x:f>IF(A9="","",MAX(0,100*(1-(D9-MIN($D$5:$D$20))/(MAX($D$5:$D$20)-MIN($D$5:$D$20)+0.0001))))</x:f>
      </x:c>
      <x:c r="L9" s="123" t="str">
        <x:f>IF(A9="","",MAX(0,100*(1-(F9-MIN($F$5:$F$20))/(MAX($F$5:$F$20)-MIN($F$5:$F$20)+0.0001))))</x:f>
      </x:c>
      <x:c r="M9" s="123" t="str">
        <x:f>IF(A9="","",MAX(0,100*(1-(G9-MIN($G$5:$G$20))/(MAX($G$5:$G$20)-MIN($G$5:$G$20)+0.0001))))</x:f>
      </x:c>
      <x:c r="N9" s="121"/>
    </x:row>
    <x:row r="10">
      <x:c r="A10" s="121"/>
      <x:c r="B10" s="121"/>
      <x:c r="C10" s="121"/>
      <x:c r="D10" s="121"/>
      <x:c r="E10" s="121"/>
      <x:c r="F10" s="128"/>
      <x:c r="G10" s="121"/>
      <x:c r="H10" s="121"/>
      <x:c r="I10" s="123" t="str">
        <x:f>IF(A10="","",K10*0.3+L10*0.35+M10*0.2+(100-H10*15)*0.15)</x:f>
      </x:c>
      <x:c r="J10" s="123" t="str">
        <x:f>IF(A10="","",IF(I10=MAX($I$5:$I$20),"PARAS",""))</x:f>
      </x:c>
      <x:c r="K10" s="123" t="str">
        <x:f>IF(A10="","",MAX(0,100*(1-(D10-MIN($D$5:$D$20))/(MAX($D$5:$D$20)-MIN($D$5:$D$20)+0.0001))))</x:f>
      </x:c>
      <x:c r="L10" s="123" t="str">
        <x:f>IF(A10="","",MAX(0,100*(1-(F10-MIN($F$5:$F$20))/(MAX($F$5:$F$20)-MIN($F$5:$F$20)+0.0001))))</x:f>
      </x:c>
      <x:c r="M10" s="123" t="str">
        <x:f>IF(A10="","",MAX(0,100*(1-(G10-MIN($G$5:$G$20))/(MAX($G$5:$G$20)-MIN($G$5:$G$20)+0.0001))))</x:f>
      </x:c>
      <x:c r="N10" s="121"/>
    </x:row>
    <x:row r="11">
      <x:c r="A11" s="121"/>
      <x:c r="B11" s="121"/>
      <x:c r="C11" s="121"/>
      <x:c r="D11" s="121"/>
      <x:c r="E11" s="121"/>
      <x:c r="F11" s="128"/>
      <x:c r="G11" s="121"/>
      <x:c r="H11" s="121"/>
      <x:c r="I11" s="123" t="str">
        <x:f>IF(A11="","",K11*0.3+L11*0.35+M11*0.2+(100-H11*15)*0.15)</x:f>
      </x:c>
      <x:c r="J11" s="123" t="str">
        <x:f>IF(A11="","",IF(I11=MAX($I$5:$I$20),"PARAS",""))</x:f>
      </x:c>
      <x:c r="K11" s="123" t="str">
        <x:f>IF(A11="","",MAX(0,100*(1-(D11-MIN($D$5:$D$20))/(MAX($D$5:$D$20)-MIN($D$5:$D$20)+0.0001))))</x:f>
      </x:c>
      <x:c r="L11" s="123" t="str">
        <x:f>IF(A11="","",MAX(0,100*(1-(F11-MIN($F$5:$F$20))/(MAX($F$5:$F$20)-MIN($F$5:$F$20)+0.0001))))</x:f>
      </x:c>
      <x:c r="M11" s="123" t="str">
        <x:f>IF(A11="","",MAX(0,100*(1-(G11-MIN($G$5:$G$20))/(MAX($G$5:$G$20)-MIN($G$5:$G$20)+0.0001))))</x:f>
      </x:c>
      <x:c r="N11" s="121"/>
    </x:row>
    <x:row r="12">
      <x:c r="A12" s="121"/>
      <x:c r="B12" s="121"/>
      <x:c r="C12" s="121"/>
      <x:c r="D12" s="121"/>
      <x:c r="E12" s="121"/>
      <x:c r="F12" s="128"/>
      <x:c r="G12" s="121"/>
      <x:c r="H12" s="121"/>
      <x:c r="I12" s="123" t="str">
        <x:f>IF(A12="","",K12*0.3+L12*0.35+M12*0.2+(100-H12*15)*0.15)</x:f>
      </x:c>
      <x:c r="J12" s="123" t="str">
        <x:f>IF(A12="","",IF(I12=MAX($I$5:$I$20),"PARAS",""))</x:f>
      </x:c>
      <x:c r="K12" s="123" t="str">
        <x:f>IF(A12="","",MAX(0,100*(1-(D12-MIN($D$5:$D$20))/(MAX($D$5:$D$20)-MIN($D$5:$D$20)+0.0001))))</x:f>
      </x:c>
      <x:c r="L12" s="123" t="str">
        <x:f>IF(A12="","",MAX(0,100*(1-(F12-MIN($F$5:$F$20))/(MAX($F$5:$F$20)-MIN($F$5:$F$20)+0.0001))))</x:f>
      </x:c>
      <x:c r="M12" s="123" t="str">
        <x:f>IF(A12="","",MAX(0,100*(1-(G12-MIN($G$5:$G$20))/(MAX($G$5:$G$20)-MIN($G$5:$G$20)+0.0001))))</x:f>
      </x:c>
      <x:c r="N12" s="121"/>
    </x:row>
    <x:row r="13">
      <x:c r="A13" s="121"/>
      <x:c r="B13" s="121"/>
      <x:c r="C13" s="121"/>
      <x:c r="D13" s="121"/>
      <x:c r="E13" s="121"/>
      <x:c r="F13" s="128"/>
      <x:c r="G13" s="121"/>
      <x:c r="H13" s="121"/>
      <x:c r="I13" s="123" t="str">
        <x:f>IF(A13="","",K13*0.3+L13*0.35+M13*0.2+(100-H13*15)*0.15)</x:f>
      </x:c>
      <x:c r="J13" s="123" t="str">
        <x:f>IF(A13="","",IF(I13=MAX($I$5:$I$20),"PARAS",""))</x:f>
      </x:c>
      <x:c r="K13" s="123" t="str">
        <x:f>IF(A13="","",MAX(0,100*(1-(D13-MIN($D$5:$D$20))/(MAX($D$5:$D$20)-MIN($D$5:$D$20)+0.0001))))</x:f>
      </x:c>
      <x:c r="L13" s="123" t="str">
        <x:f>IF(A13="","",MAX(0,100*(1-(F13-MIN($F$5:$F$20))/(MAX($F$5:$F$20)-MIN($F$5:$F$20)+0.0001))))</x:f>
      </x:c>
      <x:c r="M13" s="123" t="str">
        <x:f>IF(A13="","",MAX(0,100*(1-(G13-MIN($G$5:$G$20))/(MAX($G$5:$G$20)-MIN($G$5:$G$20)+0.0001))))</x:f>
      </x:c>
      <x:c r="N13" s="121"/>
    </x:row>
    <x:row r="14">
      <x:c r="A14" s="121"/>
      <x:c r="B14" s="121"/>
      <x:c r="C14" s="121"/>
      <x:c r="D14" s="121"/>
      <x:c r="E14" s="121"/>
      <x:c r="F14" s="128"/>
      <x:c r="G14" s="121"/>
      <x:c r="H14" s="121"/>
      <x:c r="I14" s="123" t="str">
        <x:f>IF(A14="","",K14*0.3+L14*0.35+M14*0.2+(100-H14*15)*0.15)</x:f>
      </x:c>
      <x:c r="J14" s="123" t="str">
        <x:f>IF(A14="","",IF(I14=MAX($I$5:$I$20),"PARAS",""))</x:f>
      </x:c>
      <x:c r="K14" s="123" t="str">
        <x:f>IF(A14="","",MAX(0,100*(1-(D14-MIN($D$5:$D$20))/(MAX($D$5:$D$20)-MIN($D$5:$D$20)+0.0001))))</x:f>
      </x:c>
      <x:c r="L14" s="123" t="str">
        <x:f>IF(A14="","",MAX(0,100*(1-(F14-MIN($F$5:$F$20))/(MAX($F$5:$F$20)-MIN($F$5:$F$20)+0.0001))))</x:f>
      </x:c>
      <x:c r="M14" s="123" t="str">
        <x:f>IF(A14="","",MAX(0,100*(1-(G14-MIN($G$5:$G$20))/(MAX($G$5:$G$20)-MIN($G$5:$G$20)+0.0001))))</x:f>
      </x:c>
      <x:c r="N14" s="121"/>
    </x:row>
    <x:row r="15">
      <x:c r="A15" s="121"/>
      <x:c r="B15" s="121"/>
      <x:c r="C15" s="121"/>
      <x:c r="D15" s="121"/>
      <x:c r="E15" s="121"/>
      <x:c r="F15" s="128"/>
      <x:c r="G15" s="121"/>
      <x:c r="H15" s="121"/>
      <x:c r="I15" s="123" t="str">
        <x:f>IF(A15="","",K15*0.3+L15*0.35+M15*0.2+(100-H15*15)*0.15)</x:f>
      </x:c>
      <x:c r="J15" s="123" t="str">
        <x:f>IF(A15="","",IF(I15=MAX($I$5:$I$20),"PARAS",""))</x:f>
      </x:c>
      <x:c r="K15" s="123" t="str">
        <x:f>IF(A15="","",MAX(0,100*(1-(D15-MIN($D$5:$D$20))/(MAX($D$5:$D$20)-MIN($D$5:$D$20)+0.0001))))</x:f>
      </x:c>
      <x:c r="L15" s="123" t="str">
        <x:f>IF(A15="","",MAX(0,100*(1-(F15-MIN($F$5:$F$20))/(MAX($F$5:$F$20)-MIN($F$5:$F$20)+0.0001))))</x:f>
      </x:c>
      <x:c r="M15" s="123" t="str">
        <x:f>IF(A15="","",MAX(0,100*(1-(G15-MIN($G$5:$G$20))/(MAX($G$5:$G$20)-MIN($G$5:$G$20)+0.0001))))</x:f>
      </x:c>
      <x:c r="N15" s="121"/>
    </x:row>
    <x:row r="16">
      <x:c r="A16" s="121"/>
      <x:c r="B16" s="121"/>
      <x:c r="C16" s="121"/>
      <x:c r="D16" s="121"/>
      <x:c r="E16" s="121"/>
      <x:c r="F16" s="128"/>
      <x:c r="G16" s="121"/>
      <x:c r="H16" s="121"/>
      <x:c r="I16" s="123" t="str">
        <x:f>IF(A16="","",K16*0.3+L16*0.35+M16*0.2+(100-H16*15)*0.15)</x:f>
      </x:c>
      <x:c r="J16" s="123" t="str">
        <x:f>IF(A16="","",IF(I16=MAX($I$5:$I$20),"PARAS",""))</x:f>
      </x:c>
      <x:c r="K16" s="123" t="str">
        <x:f>IF(A16="","",MAX(0,100*(1-(D16-MIN($D$5:$D$20))/(MAX($D$5:$D$20)-MIN($D$5:$D$20)+0.0001))))</x:f>
      </x:c>
      <x:c r="L16" s="123" t="str">
        <x:f>IF(A16="","",MAX(0,100*(1-(F16-MIN($F$5:$F$20))/(MAX($F$5:$F$20)-MIN($F$5:$F$20)+0.0001))))</x:f>
      </x:c>
      <x:c r="M16" s="123" t="str">
        <x:f>IF(A16="","",MAX(0,100*(1-(G16-MIN($G$5:$G$20))/(MAX($G$5:$G$20)-MIN($G$5:$G$20)+0.0001))))</x:f>
      </x:c>
      <x:c r="N16" s="121"/>
    </x:row>
    <x:row r="17">
      <x:c r="A17" s="121"/>
      <x:c r="B17" s="121"/>
      <x:c r="C17" s="121"/>
      <x:c r="D17" s="121"/>
      <x:c r="E17" s="121"/>
      <x:c r="F17" s="128"/>
      <x:c r="G17" s="121"/>
      <x:c r="H17" s="121"/>
      <x:c r="I17" s="123" t="str">
        <x:f>IF(A17="","",K17*0.3+L17*0.35+M17*0.2+(100-H17*15)*0.15)</x:f>
      </x:c>
      <x:c r="J17" s="123" t="str">
        <x:f>IF(A17="","",IF(I17=MAX($I$5:$I$20),"PARAS",""))</x:f>
      </x:c>
      <x:c r="K17" s="123" t="str">
        <x:f>IF(A17="","",MAX(0,100*(1-(D17-MIN($D$5:$D$20))/(MAX($D$5:$D$20)-MIN($D$5:$D$20)+0.0001))))</x:f>
      </x:c>
      <x:c r="L17" s="123" t="str">
        <x:f>IF(A17="","",MAX(0,100*(1-(F17-MIN($F$5:$F$20))/(MAX($F$5:$F$20)-MIN($F$5:$F$20)+0.0001))))</x:f>
      </x:c>
      <x:c r="M17" s="123" t="str">
        <x:f>IF(A17="","",MAX(0,100*(1-(G17-MIN($G$5:$G$20))/(MAX($G$5:$G$20)-MIN($G$5:$G$20)+0.0001))))</x:f>
      </x:c>
      <x:c r="N17" s="121"/>
    </x:row>
    <x:row r="18">
      <x:c r="A18" s="121"/>
      <x:c r="B18" s="121"/>
      <x:c r="C18" s="121"/>
      <x:c r="D18" s="121"/>
      <x:c r="E18" s="121"/>
      <x:c r="F18" s="128"/>
      <x:c r="G18" s="121"/>
      <x:c r="H18" s="121"/>
      <x:c r="I18" s="123" t="str">
        <x:f>IF(A18="","",K18*0.3+L18*0.35+M18*0.2+(100-H18*15)*0.15)</x:f>
      </x:c>
      <x:c r="J18" s="123" t="str">
        <x:f>IF(A18="","",IF(I18=MAX($I$5:$I$20),"PARAS",""))</x:f>
      </x:c>
      <x:c r="K18" s="123" t="str">
        <x:f>IF(A18="","",MAX(0,100*(1-(D18-MIN($D$5:$D$20))/(MAX($D$5:$D$20)-MIN($D$5:$D$20)+0.0001))))</x:f>
      </x:c>
      <x:c r="L18" s="123" t="str">
        <x:f>IF(A18="","",MAX(0,100*(1-(F18-MIN($F$5:$F$20))/(MAX($F$5:$F$20)-MIN($F$5:$F$20)+0.0001))))</x:f>
      </x:c>
      <x:c r="M18" s="123" t="str">
        <x:f>IF(A18="","",MAX(0,100*(1-(G18-MIN($G$5:$G$20))/(MAX($G$5:$G$20)-MIN($G$5:$G$20)+0.0001))))</x:f>
      </x:c>
      <x:c r="N18" s="121"/>
    </x:row>
    <x:row r="19">
      <x:c r="A19" s="121"/>
      <x:c r="B19" s="121"/>
      <x:c r="C19" s="121"/>
      <x:c r="D19" s="121"/>
      <x:c r="E19" s="121"/>
      <x:c r="F19" s="128"/>
      <x:c r="G19" s="121"/>
      <x:c r="H19" s="121"/>
      <x:c r="I19" s="123" t="str">
        <x:f>IF(A19="","",K19*0.3+L19*0.35+M19*0.2+(100-H19*15)*0.15)</x:f>
      </x:c>
      <x:c r="J19" s="123" t="str">
        <x:f>IF(A19="","",IF(I19=MAX($I$5:$I$20),"PARAS",""))</x:f>
      </x:c>
      <x:c r="K19" s="123" t="str">
        <x:f>IF(A19="","",MAX(0,100*(1-(D19-MIN($D$5:$D$20))/(MAX($D$5:$D$20)-MIN($D$5:$D$20)+0.0001))))</x:f>
      </x:c>
      <x:c r="L19" s="123" t="str">
        <x:f>IF(A19="","",MAX(0,100*(1-(F19-MIN($F$5:$F$20))/(MAX($F$5:$F$20)-MIN($F$5:$F$20)+0.0001))))</x:f>
      </x:c>
      <x:c r="M19" s="123" t="str">
        <x:f>IF(A19="","",MAX(0,100*(1-(G19-MIN($G$5:$G$20))/(MAX($G$5:$G$20)-MIN($G$5:$G$20)+0.0001))))</x:f>
      </x:c>
      <x:c r="N19" s="121"/>
    </x:row>
    <x:row r="20">
      <x:c r="A20" s="121"/>
      <x:c r="B20" s="121"/>
      <x:c r="C20" s="121"/>
      <x:c r="D20" s="121"/>
      <x:c r="E20" s="121"/>
      <x:c r="F20" s="128"/>
      <x:c r="G20" s="121"/>
      <x:c r="H20" s="121"/>
      <x:c r="I20" s="123" t="str">
        <x:f>IF(A20="","",K20*0.3+L20*0.35+M20*0.2+(100-H20*15)*0.15)</x:f>
      </x:c>
      <x:c r="J20" s="123" t="str">
        <x:f>IF(A20="","",IF(I20=MAX($I$5:$I$20),"PARAS",""))</x:f>
      </x:c>
      <x:c r="K20" s="123" t="str">
        <x:f>IF(A20="","",MAX(0,100*(1-(D20-MIN($D$5:$D$20))/(MAX($D$5:$D$20)-MIN($D$5:$D$20)+0.0001))))</x:f>
      </x:c>
      <x:c r="L20" s="123" t="str">
        <x:f>IF(A20="","",MAX(0,100*(1-(F20-MIN($F$5:$F$20))/(MAX($F$5:$F$20)-MIN($F$5:$F$20)+0.0001))))</x:f>
      </x:c>
      <x:c r="M20" s="123" t="str">
        <x:f>IF(A20="","",MAX(0,100*(1-(G20-MIN($G$5:$G$20))/(MAX($G$5:$G$20)-MIN($G$5:$G$20)+0.0001))))</x:f>
      </x:c>
      <x:c r="N20" s="121"/>
    </x:row>
    <x:row r="21">
      <x:c r="A21" s="121"/>
      <x:c r="B21" s="121"/>
      <x:c r="C21" s="121"/>
      <x:c r="D21" s="121"/>
      <x:c r="E21" s="121"/>
      <x:c r="F21" s="128"/>
      <x:c r="G21" s="121"/>
      <x:c r="H21" s="121"/>
      <x:c r="I21" s="123"/>
      <x:c r="J21" s="123"/>
      <x:c r="K21" s="123"/>
      <x:c r="L21" s="123"/>
      <x:c r="M21" s="123"/>
      <x:c r="N21" s="121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3fb24e9c2db44133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22" hidden="0" customWidth="1"/>
    <x:col min="4" max="4" width="22" hidden="0" customWidth="1"/>
    <x:col min="5" max="5" width="16" hidden="0" customWidth="1"/>
    <x:col min="6" max="6" width="36" hidden="0" customWidth="1"/>
    <x:col min="7" max="7" width="12" hidden="0" customWidth="1"/>
    <x:col min="8" max="8" width="12" hidden="0" customWidth="1"/>
  </x:cols>
  <x:sheetData>
    <x:row r="1">
      <x:c r="A1" s="108" t="str">
        <x:v>TMS Testiraportti</x:v>
      </x:c>
    </x:row>
    <x:row r="2">
      <x:c r="A2" s="13" t="str">
        <x:v>Tarkistus uusille TMS-välilehdille: linkit, KPI:t ja kaavavirheet.</x:v>
      </x:c>
    </x:row>
    <x:row r="4">
      <x:c r="A4" s="118" t="str">
        <x:v>Testi</x:v>
      </x:c>
      <x:c r="B4" s="118" t="str">
        <x:v>Tarkistus</x:v>
      </x:c>
      <x:c r="C4" s="118" t="str">
        <x:v>Odotettu</x:v>
      </x:c>
      <x:c r="D4" s="118" t="str">
        <x:v>Tulos</x:v>
      </x:c>
      <x:c r="E4" s="118" t="str">
        <x:v>Status</x:v>
      </x:c>
      <x:c r="F4" s="118" t="str">
        <x:v>Huomio</x:v>
      </x:c>
    </x:row>
    <x:row r="5">
      <x:c r="A5" t="str">
        <x:v>Kaavavirheet</x:v>
      </x:c>
      <x:c r="B5" t="str">
        <x:v>Ei Excel-virhekoodeja</x:v>
      </x:c>
      <x:c r="C5" t="str">
        <x:v>0</x:v>
      </x:c>
      <x:c r="D5" t="str">
        <x:v>Tarkistettu työkalulla</x:v>
      </x:c>
      <x:c r="E5" t="str">
        <x:v>OK</x:v>
      </x:c>
      <x:c r="F5" t="str">
        <x:v>Virheskannaus ei löytänyt osumia</x:v>
      </x:c>
    </x:row>
    <x:row r="6">
      <x:c r="A6" t="str">
        <x:v>Orders</x:v>
      </x:c>
      <x:c r="B6" t="str">
        <x:v>Avoimet tilaukset lasketaan ilman tyhjiä rivejä</x:v>
      </x:c>
      <x:c r="C6" t="str">
        <x:v>4</x:v>
      </x:c>
      <x:c r="D6" s="123" t="n">
        <x:f>'TMS Dashboard'!B20</x:f>
        <x:v>4</x:v>
      </x:c>
      <x:c r="E6" s="123" t="str">
        <x:f>IF(D6=4,"OK","TARKISTA")</x:f>
        <x:v>OK</x:v>
      </x:c>
      <x:c r="F6" t="str">
        <x:v>COUNTIFS toimii</x:v>
      </x:c>
    </x:row>
    <x:row r="7">
      <x:c r="A7" t="str">
        <x:v>Consolidation</x:v>
      </x:c>
      <x:c r="B7" t="str">
        <x:v>C2 saa yhdistä-päätöksen</x:v>
      </x:c>
      <x:c r="C7" t="str">
        <x:v>Yhdistä</x:v>
      </x:c>
      <x:c r="D7" s="123" t="str">
        <x:f>'TMS Consolidation'!M6</x:f>
        <x:v>Yhdistä</x:v>
      </x:c>
      <x:c r="E7" s="123" t="str">
        <x:f>IF(D7="Yhdistä","OK","TARKISTA")</x:f>
        <x:v>OK</x:v>
      </x:c>
      <x:c r="F7" t="str">
        <x:v>Täyttö + km-säästö + aikasäästö</x:v>
      </x:c>
    </x:row>
    <x:row r="8">
      <x:c r="A8" t="str">
        <x:v>Dynamic Routing</x:v>
      </x:c>
      <x:c r="B8" t="str">
        <x:v>Korkea viive antaa vaihtoehtoisen reitin suosituksen</x:v>
      </x:c>
      <x:c r="C8" t="str">
        <x:v>Etsi vaihtoehtoinen reitti</x:v>
      </x:c>
      <x:c r="D8" s="123" t="str">
        <x:f>'TMS Dynamic Routing'!M6</x:f>
        <x:v>Etsi vaihtoehtoinen reitti</x:v>
      </x:c>
      <x:c r="E8" s="123" t="str">
        <x:f>IF(D8="Etsi vaihtoehtoinen reitti","OK","TARKISTA")</x:f>
        <x:v>OK</x:v>
      </x:c>
      <x:c r="F8" t="str">
        <x:v>Viiveet huomioidaan</x:v>
      </x:c>
    </x:row>
    <x:row r="9">
      <x:c r="A9" t="str">
        <x:v>Carrier selection</x:v>
      </x:c>
      <x:c r="B9" t="str">
        <x:v>Vain yksi VALITSE</x:v>
      </x:c>
      <x:c r="C9" t="str">
        <x:v>1</x:v>
      </x:c>
      <x:c r="D9" s="123" t="n">
        <x:f>COUNTIF('TMS Carrier Selection'!L5:L20,"VALITSE")</x:f>
        <x:v>1</x:v>
      </x:c>
      <x:c r="E9" s="123" t="str">
        <x:f>IF(D9=1,"OK","TARKISTA")</x:f>
        <x:v>OK</x:v>
      </x:c>
      <x:c r="F9" t="str">
        <x:v>Carrier score</x:v>
      </x:c>
    </x:row>
    <x:row r="10">
      <x:c r="A10" t="str">
        <x:v>Tendering</x:v>
      </x:c>
      <x:c r="B10" t="str">
        <x:v>Voittaja löytyy</x:v>
      </x:c>
      <x:c r="C10" t="str">
        <x:v>1</x:v>
      </x:c>
      <x:c r="D10" s="123" t="n">
        <x:f>COUNTIF('TMS Tendering'!L5:L40,"VOITTAJA")</x:f>
        <x:v>1</x:v>
      </x:c>
      <x:c r="E10" s="123" t="str">
        <x:f>IF(D10&gt;=1,"OK","TARKISTA")</x:f>
        <x:v>OK</x:v>
      </x:c>
      <x:c r="F10" t="str">
        <x:v>Tarjouskilpailu</x:v>
      </x:c>
    </x:row>
    <x:row r="11">
      <x:c r="A11" t="str">
        <x:v>Capacity</x:v>
      </x:c>
      <x:c r="B11" t="str">
        <x:v>Vajaus tunnistetaan</x:v>
      </x:c>
      <x:c r="C11" t="str">
        <x:v>Vajaus</x:v>
      </x:c>
      <x:c r="D11" s="123" t="str">
        <x:f>'TMS Capacity'!K6</x:f>
        <x:v>Vajaus</x:v>
      </x:c>
      <x:c r="E11" s="123" t="str">
        <x:f>IF(D11="Vajaus","OK","TARKISTA")</x:f>
        <x:v>OK</x:v>
      </x:c>
      <x:c r="F11" t="str">
        <x:v>Resurssivajaus</x:v>
      </x:c>
    </x:row>
    <x:row r="12">
      <x:c r="A12" t="str">
        <x:v>Network</x:v>
      </x:c>
      <x:c r="B12" t="str">
        <x:v>Paras verkostovaihtoehto</x:v>
      </x:c>
      <x:c r="C12" t="str">
        <x:v>N1</x:v>
      </x:c>
      <x:c r="D12" s="123" t="str">
        <x:f>'TMS Dashboard'!B24</x:f>
        <x:v>N1</x:v>
      </x:c>
      <x:c r="E12" s="123" t="str">
        <x:f>IF(D12="N1","OK","TARKISTA")</x:f>
        <x:v>OK</x:v>
      </x:c>
      <x:c r="F12" t="str">
        <x:v>Network score</x:v>
      </x:c>
    </x:row>
  </x:sheetData>
  <x:mergeCells>
    <x:mergeCell ref="A1:H1"/>
    <x:mergeCell ref="A2:H2"/>
  </x:mergeCells>
  <x:conditionalFormatting sqref="E5:E12">
    <x:cfRule type="expression" dxfId="4" priority="1">
      <x:formula>E5="OK"</x:formula>
    </x:cfRule>
    <x:cfRule type="expression" dxfId="5" priority="2">
      <x:formula>E5="TARKISTA"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  <x:col min="13" max="13" width="18" hidden="0" customWidth="1"/>
    <x:col min="14" max="14" width="24" hidden="0" customWidth="1"/>
  </x:cols>
  <x:sheetData>
    <x:row r="1">
      <x:c r="A1" s="142" t="str">
        <x:v>1. ETA-laskenta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Arvioitu saapumisaika: lähtö + ajoaika + tauot + lastaus/purku + viiveet.</x:v>
      </x:c>
    </x:row>
    <x:row r="4">
      <x:c r="A4" s="148" t="str">
        <x:v>Keikka</x:v>
      </x:c>
      <x:c r="B4" s="148" t="str">
        <x:v>Reitti</x:v>
      </x:c>
      <x:c r="C4" s="148" t="str">
        <x:v>Lähtöaika</x:v>
      </x:c>
      <x:c r="D4" s="148" t="str">
        <x:v>Ajoaika h</x:v>
      </x:c>
      <x:c r="E4" s="148" t="str">
        <x:v>Tauko min</x:v>
      </x:c>
      <x:c r="F4" s="148" t="str">
        <x:v>Lastaus min</x:v>
      </x:c>
      <x:c r="G4" s="148" t="str">
        <x:v>Purku min</x:v>
      </x:c>
      <x:c r="H4" s="148" t="str">
        <x:v>Viive min</x:v>
      </x:c>
      <x:c r="I4" s="148" t="str">
        <x:v>ETA suunniteltu</x:v>
      </x:c>
      <x:c r="J4" s="148" t="str">
        <x:v>Deadline</x:v>
      </x:c>
      <x:c r="K4" s="148" t="str">
        <x:v>ETA status</x:v>
      </x:c>
      <x:c r="L4" s="148" t="str">
        <x:v>Myöhässä min</x:v>
      </x:c>
      <x:c r="M4" s="148" t="str">
        <x:v>Riskitaso</x:v>
      </x:c>
      <x:c r="N4" s="148" t="str">
        <x:v>Huomio</x:v>
      </x:c>
    </x:row>
    <x:row r="5">
      <x:c r="A5" s="151" t="str">
        <x:v>K-001</x:v>
      </x:c>
      <x:c r="B5" s="151" t="str">
        <x:v>Vantaa → Tampere → Pori</x:v>
      </x:c>
      <x:c r="C5" s="155" t="n">
        <x:v>46147.25</x:v>
      </x:c>
      <x:c r="D5" s="151" t="n">
        <x:v>3.9</x:v>
      </x:c>
      <x:c r="E5" s="151" t="n">
        <x:v>0</x:v>
      </x:c>
      <x:c r="F5" s="151" t="n">
        <x:v>45</x:v>
      </x:c>
      <x:c r="G5" s="151" t="n">
        <x:v>45</x:v>
      </x:c>
      <x:c r="H5" s="151" t="n">
        <x:v>15</x:v>
      </x:c>
      <x:c r="I5" s="156" t="n">
        <x:f>IF(A5="","",C5+D5/24+SUM(E5:H5)/1440)</x:f>
        <x:v>46147.48541666666</x:v>
      </x:c>
      <x:c r="J5" s="157" t="n">
        <x:v>46147.5</x:v>
      </x:c>
      <x:c r="K5" s="154" t="str">
        <x:f>IF(A5="","",IF(I5&lt;=J5,"Ajoissa","Myöhässä"))</x:f>
        <x:v>Ajoissa</x:v>
      </x:c>
      <x:c r="L5" s="154" t="n">
        <x:f>IF(A5="","",MAX(0,(I5-J5)*1440))</x:f>
        <x:v>0</x:v>
      </x:c>
      <x:c r="M5" s="154" t="str">
        <x:f>IF(A5="","",IF(L5&gt;60,"Korkea",IF(L5&gt;15,"Keskitaso","Matala")))</x:f>
        <x:v>Matala</x:v>
      </x:c>
      <x:c r="N5" s="151" t="str"/>
    </x:row>
    <x:row r="6">
      <x:c r="A6" s="151" t="str">
        <x:v>K-002</x:v>
      </x:c>
      <x:c r="B6" s="151" t="str">
        <x:v>Vantaa → Oulu</x:v>
      </x:c>
      <x:c r="C6" s="155" t="n">
        <x:v>46147.25</x:v>
      </x:c>
      <x:c r="D6" s="151" t="n">
        <x:v>8</x:v>
      </x:c>
      <x:c r="E6" s="151" t="n">
        <x:v>45</x:v>
      </x:c>
      <x:c r="F6" s="151" t="n">
        <x:v>45</x:v>
      </x:c>
      <x:c r="G6" s="151" t="n">
        <x:v>45</x:v>
      </x:c>
      <x:c r="H6" s="151" t="n">
        <x:v>30</x:v>
      </x:c>
      <x:c r="I6" s="156" t="n">
        <x:f>IF(A6="","",C6+D6/24+SUM(E6:H6)/1440)</x:f>
        <x:v>46147.69791666667</x:v>
      </x:c>
      <x:c r="J6" s="157" t="n">
        <x:v>46147.708333333336</x:v>
      </x:c>
      <x:c r="K6" s="154" t="str">
        <x:f>IF(A6="","",IF(I6&lt;=J6,"Ajoissa","Myöhässä"))</x:f>
        <x:v>Ajoissa</x:v>
      </x:c>
      <x:c r="L6" s="154" t="n">
        <x:f>IF(A6="","",MAX(0,(I6-J6)*1440))</x:f>
        <x:v>0</x:v>
      </x:c>
      <x:c r="M6" s="154" t="str">
        <x:f>IF(A6="","",IF(L6&gt;60,"Korkea",IF(L6&gt;15,"Keskitaso","Matala")))</x:f>
        <x:v>Matala</x:v>
      </x:c>
      <x:c r="N6" s="151" t="str"/>
    </x:row>
    <x:row r="7">
      <x:c r="A7" s="151" t="str">
        <x:v>K-003</x:v>
      </x:c>
      <x:c r="B7" s="151" t="str">
        <x:v>Vantaa → Hollanti</x:v>
      </x:c>
      <x:c r="C7" s="155" t="n">
        <x:v>46147.25</x:v>
      </x:c>
      <x:c r="D7" s="151" t="n">
        <x:v>7.1</x:v>
      </x:c>
      <x:c r="E7" s="151" t="n">
        <x:v>45</x:v>
      </x:c>
      <x:c r="F7" s="151" t="n">
        <x:v>60</x:v>
      </x:c>
      <x:c r="G7" s="151" t="n">
        <x:v>60</x:v>
      </x:c>
      <x:c r="H7" s="151" t="n">
        <x:v>90</x:v>
      </x:c>
      <x:c r="I7" s="156" t="n">
        <x:f>IF(A7="","",C7+D7/24+SUM(E7:H7)/1440)</x:f>
        <x:v>46147.722916666666</x:v>
      </x:c>
      <x:c r="J7" s="157" t="n">
        <x:v>46147.770833333336</x:v>
      </x:c>
      <x:c r="K7" s="154" t="str">
        <x:f>IF(A7="","",IF(I7&lt;=J7,"Ajoissa","Myöhässä"))</x:f>
        <x:v>Ajoissa</x:v>
      </x:c>
      <x:c r="L7" s="154" t="n">
        <x:f>IF(A7="","",MAX(0,(I7-J7)*1440))</x:f>
        <x:v>0</x:v>
      </x:c>
      <x:c r="M7" s="154" t="str">
        <x:f>IF(A7="","",IF(L7&gt;60,"Korkea",IF(L7&gt;15,"Keskitaso","Matala")))</x:f>
        <x:v>Matala</x:v>
      </x:c>
      <x:c r="N7" s="151" t="str"/>
    </x:row>
    <x:row r="8">
      <x:c r="A8" s="151"/>
      <x:c r="B8" s="151"/>
      <x:c r="C8" s="155"/>
      <x:c r="D8" s="151"/>
      <x:c r="E8" s="151"/>
      <x:c r="F8" s="151"/>
      <x:c r="G8" s="151"/>
      <x:c r="H8" s="151"/>
      <x:c r="I8" s="156" t="str">
        <x:f>IF(A8="","",C8+D8/24+SUM(E8:H8)/1440)</x:f>
      </x:c>
      <x:c r="J8" s="157">
        <x:f>IF(A8="","",J8)</x:f>
      </x:c>
      <x:c r="K8" s="154" t="str">
        <x:f>IF(A8="","",IF(I8&lt;=J8,"Ajoissa","Myöhässä"))</x:f>
      </x:c>
      <x:c r="L8" s="154" t="str">
        <x:f>IF(A8="","",MAX(0,(I8-J8)*1440))</x:f>
      </x:c>
      <x:c r="M8" s="154" t="str">
        <x:f>IF(A8="","",IF(L8&gt;60,"Korkea",IF(L8&gt;15,"Keskitaso","Matala")))</x:f>
      </x:c>
      <x:c r="N8" s="151"/>
    </x:row>
    <x:row r="9">
      <x:c r="A9" s="151"/>
      <x:c r="B9" s="151"/>
      <x:c r="C9" s="155"/>
      <x:c r="D9" s="151"/>
      <x:c r="E9" s="151"/>
      <x:c r="F9" s="151"/>
      <x:c r="G9" s="151"/>
      <x:c r="H9" s="151"/>
      <x:c r="I9" s="156" t="str">
        <x:f>IF(A9="","",C9+D9/24+SUM(E9:H9)/1440)</x:f>
      </x:c>
      <x:c r="J9" s="157">
        <x:f>IF(A9="","",J9)</x:f>
      </x:c>
      <x:c r="K9" s="154" t="str">
        <x:f>IF(A9="","",IF(I9&lt;=J9,"Ajoissa","Myöhässä"))</x:f>
      </x:c>
      <x:c r="L9" s="154" t="str">
        <x:f>IF(A9="","",MAX(0,(I9-J9)*1440))</x:f>
      </x:c>
      <x:c r="M9" s="154" t="str">
        <x:f>IF(A9="","",IF(L9&gt;60,"Korkea",IF(L9&gt;15,"Keskitaso","Matala")))</x:f>
      </x:c>
      <x:c r="N9" s="151"/>
    </x:row>
    <x:row r="10">
      <x:c r="A10" s="151"/>
      <x:c r="B10" s="151"/>
      <x:c r="C10" s="155"/>
      <x:c r="D10" s="151"/>
      <x:c r="E10" s="151"/>
      <x:c r="F10" s="151"/>
      <x:c r="G10" s="151"/>
      <x:c r="H10" s="151"/>
      <x:c r="I10" s="156" t="str">
        <x:f>IF(A10="","",C10+D10/24+SUM(E10:H10)/1440)</x:f>
      </x:c>
      <x:c r="J10" s="157">
        <x:f>IF(A10="","",J10)</x:f>
      </x:c>
      <x:c r="K10" s="154" t="str">
        <x:f>IF(A10="","",IF(I10&lt;=J10,"Ajoissa","Myöhässä"))</x:f>
      </x:c>
      <x:c r="L10" s="154" t="str">
        <x:f>IF(A10="","",MAX(0,(I10-J10)*1440))</x:f>
      </x:c>
      <x:c r="M10" s="154" t="str">
        <x:f>IF(A10="","",IF(L10&gt;60,"Korkea",IF(L10&gt;15,"Keskitaso","Matala")))</x:f>
      </x:c>
      <x:c r="N10" s="151"/>
    </x:row>
    <x:row r="11">
      <x:c r="A11" s="151"/>
      <x:c r="B11" s="151"/>
      <x:c r="C11" s="155"/>
      <x:c r="D11" s="151"/>
      <x:c r="E11" s="151"/>
      <x:c r="F11" s="151"/>
      <x:c r="G11" s="151"/>
      <x:c r="H11" s="151"/>
      <x:c r="I11" s="156" t="str">
        <x:f>IF(A11="","",C11+D11/24+SUM(E11:H11)/1440)</x:f>
      </x:c>
      <x:c r="J11" s="157">
        <x:f>IF(A11="","",J11)</x:f>
      </x:c>
      <x:c r="K11" s="154" t="str">
        <x:f>IF(A11="","",IF(I11&lt;=J11,"Ajoissa","Myöhässä"))</x:f>
      </x:c>
      <x:c r="L11" s="154" t="str">
        <x:f>IF(A11="","",MAX(0,(I11-J11)*1440))</x:f>
      </x:c>
      <x:c r="M11" s="154" t="str">
        <x:f>IF(A11="","",IF(L11&gt;60,"Korkea",IF(L11&gt;15,"Keskitaso","Matala")))</x:f>
      </x:c>
      <x:c r="N11" s="151"/>
    </x:row>
    <x:row r="12">
      <x:c r="A12" s="151"/>
      <x:c r="B12" s="151"/>
      <x:c r="C12" s="155"/>
      <x:c r="D12" s="151"/>
      <x:c r="E12" s="151"/>
      <x:c r="F12" s="151"/>
      <x:c r="G12" s="151"/>
      <x:c r="H12" s="151"/>
      <x:c r="I12" s="156" t="str">
        <x:f>IF(A12="","",C12+D12/24+SUM(E12:H12)/1440)</x:f>
      </x:c>
      <x:c r="J12" s="157">
        <x:f>IF(A12="","",J12)</x:f>
      </x:c>
      <x:c r="K12" s="154" t="str">
        <x:f>IF(A12="","",IF(I12&lt;=J12,"Ajoissa","Myöhässä"))</x:f>
      </x:c>
      <x:c r="L12" s="154" t="str">
        <x:f>IF(A12="","",MAX(0,(I12-J12)*1440))</x:f>
      </x:c>
      <x:c r="M12" s="154" t="str">
        <x:f>IF(A12="","",IF(L12&gt;60,"Korkea",IF(L12&gt;15,"Keskitaso","Matala")))</x:f>
      </x:c>
      <x:c r="N12" s="151"/>
    </x:row>
    <x:row r="13">
      <x:c r="A13" s="151"/>
      <x:c r="B13" s="151"/>
      <x:c r="C13" s="155"/>
      <x:c r="D13" s="151"/>
      <x:c r="E13" s="151"/>
      <x:c r="F13" s="151"/>
      <x:c r="G13" s="151"/>
      <x:c r="H13" s="151"/>
      <x:c r="I13" s="156" t="str">
        <x:f>IF(A13="","",C13+D13/24+SUM(E13:H13)/1440)</x:f>
      </x:c>
      <x:c r="J13" s="157">
        <x:f>IF(A13="","",J13)</x:f>
      </x:c>
      <x:c r="K13" s="154" t="str">
        <x:f>IF(A13="","",IF(I13&lt;=J13,"Ajoissa","Myöhässä"))</x:f>
      </x:c>
      <x:c r="L13" s="154" t="str">
        <x:f>IF(A13="","",MAX(0,(I13-J13)*1440))</x:f>
      </x:c>
      <x:c r="M13" s="154" t="str">
        <x:f>IF(A13="","",IF(L13&gt;60,"Korkea",IF(L13&gt;15,"Keskitaso","Matala")))</x:f>
      </x:c>
      <x:c r="N13" s="151"/>
    </x:row>
    <x:row r="14">
      <x:c r="A14" s="151"/>
      <x:c r="B14" s="151"/>
      <x:c r="C14" s="155"/>
      <x:c r="D14" s="151"/>
      <x:c r="E14" s="151"/>
      <x:c r="F14" s="151"/>
      <x:c r="G14" s="151"/>
      <x:c r="H14" s="151"/>
      <x:c r="I14" s="156" t="str">
        <x:f>IF(A14="","",C14+D14/24+SUM(E14:H14)/1440)</x:f>
      </x:c>
      <x:c r="J14" s="157">
        <x:f>IF(A14="","",J14)</x:f>
      </x:c>
      <x:c r="K14" s="154" t="str">
        <x:f>IF(A14="","",IF(I14&lt;=J14,"Ajoissa","Myöhässä"))</x:f>
      </x:c>
      <x:c r="L14" s="154" t="str">
        <x:f>IF(A14="","",MAX(0,(I14-J14)*1440))</x:f>
      </x:c>
      <x:c r="M14" s="154" t="str">
        <x:f>IF(A14="","",IF(L14&gt;60,"Korkea",IF(L14&gt;15,"Keskitaso","Matala")))</x:f>
      </x:c>
      <x:c r="N14" s="151"/>
    </x:row>
    <x:row r="15">
      <x:c r="A15" s="151"/>
      <x:c r="B15" s="151"/>
      <x:c r="C15" s="155"/>
      <x:c r="D15" s="151"/>
      <x:c r="E15" s="151"/>
      <x:c r="F15" s="151"/>
      <x:c r="G15" s="151"/>
      <x:c r="H15" s="151"/>
      <x:c r="I15" s="156" t="str">
        <x:f>IF(A15="","",C15+D15/24+SUM(E15:H15)/1440)</x:f>
      </x:c>
      <x:c r="J15" s="157">
        <x:f>IF(A15="","",J15)</x:f>
      </x:c>
      <x:c r="K15" s="154" t="str">
        <x:f>IF(A15="","",IF(I15&lt;=J15,"Ajoissa","Myöhässä"))</x:f>
      </x:c>
      <x:c r="L15" s="154" t="str">
        <x:f>IF(A15="","",MAX(0,(I15-J15)*1440))</x:f>
      </x:c>
      <x:c r="M15" s="154" t="str">
        <x:f>IF(A15="","",IF(L15&gt;60,"Korkea",IF(L15&gt;15,"Keskitaso","Matala")))</x:f>
      </x:c>
      <x:c r="N15" s="151"/>
    </x:row>
    <x:row r="16">
      <x:c r="A16" s="151"/>
      <x:c r="B16" s="151"/>
      <x:c r="C16" s="155"/>
      <x:c r="D16" s="151"/>
      <x:c r="E16" s="151"/>
      <x:c r="F16" s="151"/>
      <x:c r="G16" s="151"/>
      <x:c r="H16" s="151"/>
      <x:c r="I16" s="156" t="str">
        <x:f>IF(A16="","",C16+D16/24+SUM(E16:H16)/1440)</x:f>
      </x:c>
      <x:c r="J16" s="157">
        <x:f>IF(A16="","",J16)</x:f>
      </x:c>
      <x:c r="K16" s="154" t="str">
        <x:f>IF(A16="","",IF(I16&lt;=J16,"Ajoissa","Myöhässä"))</x:f>
      </x:c>
      <x:c r="L16" s="154" t="str">
        <x:f>IF(A16="","",MAX(0,(I16-J16)*1440))</x:f>
      </x:c>
      <x:c r="M16" s="154" t="str">
        <x:f>IF(A16="","",IF(L16&gt;60,"Korkea",IF(L16&gt;15,"Keskitaso","Matala")))</x:f>
      </x:c>
      <x:c r="N16" s="151"/>
    </x:row>
    <x:row r="17">
      <x:c r="A17" s="151"/>
      <x:c r="B17" s="151"/>
      <x:c r="C17" s="155"/>
      <x:c r="D17" s="151"/>
      <x:c r="E17" s="151"/>
      <x:c r="F17" s="151"/>
      <x:c r="G17" s="151"/>
      <x:c r="H17" s="151"/>
      <x:c r="I17" s="156" t="str">
        <x:f>IF(A17="","",C17+D17/24+SUM(E17:H17)/1440)</x:f>
      </x:c>
      <x:c r="J17" s="157">
        <x:f>IF(A17="","",J17)</x:f>
      </x:c>
      <x:c r="K17" s="154" t="str">
        <x:f>IF(A17="","",IF(I17&lt;=J17,"Ajoissa","Myöhässä"))</x:f>
      </x:c>
      <x:c r="L17" s="154" t="str">
        <x:f>IF(A17="","",MAX(0,(I17-J17)*1440))</x:f>
      </x:c>
      <x:c r="M17" s="154" t="str">
        <x:f>IF(A17="","",IF(L17&gt;60,"Korkea",IF(L17&gt;15,"Keskitaso","Matala")))</x:f>
      </x:c>
      <x:c r="N17" s="151"/>
    </x:row>
    <x:row r="18">
      <x:c r="A18" s="151"/>
      <x:c r="B18" s="151"/>
      <x:c r="C18" s="155"/>
      <x:c r="D18" s="151"/>
      <x:c r="E18" s="151"/>
      <x:c r="F18" s="151"/>
      <x:c r="G18" s="151"/>
      <x:c r="H18" s="151"/>
      <x:c r="I18" s="156" t="str">
        <x:f>IF(A18="","",C18+D18/24+SUM(E18:H18)/1440)</x:f>
      </x:c>
      <x:c r="J18" s="157">
        <x:f>IF(A18="","",J18)</x:f>
      </x:c>
      <x:c r="K18" s="154" t="str">
        <x:f>IF(A18="","",IF(I18&lt;=J18,"Ajoissa","Myöhässä"))</x:f>
      </x:c>
      <x:c r="L18" s="154" t="str">
        <x:f>IF(A18="","",MAX(0,(I18-J18)*1440))</x:f>
      </x:c>
      <x:c r="M18" s="154" t="str">
        <x:f>IF(A18="","",IF(L18&gt;60,"Korkea",IF(L18&gt;15,"Keskitaso","Matala")))</x:f>
      </x:c>
      <x:c r="N18" s="151"/>
    </x:row>
    <x:row r="19">
      <x:c r="A19" s="151"/>
      <x:c r="B19" s="151"/>
      <x:c r="C19" s="155"/>
      <x:c r="D19" s="151"/>
      <x:c r="E19" s="151"/>
      <x:c r="F19" s="151"/>
      <x:c r="G19" s="151"/>
      <x:c r="H19" s="151"/>
      <x:c r="I19" s="156" t="str">
        <x:f>IF(A19="","",C19+D19/24+SUM(E19:H19)/1440)</x:f>
      </x:c>
      <x:c r="J19" s="157">
        <x:f>IF(A19="","",J19)</x:f>
      </x:c>
      <x:c r="K19" s="154" t="str">
        <x:f>IF(A19="","",IF(I19&lt;=J19,"Ajoissa","Myöhässä"))</x:f>
      </x:c>
      <x:c r="L19" s="154" t="str">
        <x:f>IF(A19="","",MAX(0,(I19-J19)*1440))</x:f>
      </x:c>
      <x:c r="M19" s="154" t="str">
        <x:f>IF(A19="","",IF(L19&gt;60,"Korkea",IF(L19&gt;15,"Keskitaso","Matala")))</x:f>
      </x:c>
      <x:c r="N19" s="151"/>
    </x:row>
    <x:row r="20">
      <x:c r="A20" s="151"/>
      <x:c r="B20" s="151"/>
      <x:c r="C20" s="155"/>
      <x:c r="D20" s="151"/>
      <x:c r="E20" s="151"/>
      <x:c r="F20" s="151"/>
      <x:c r="G20" s="151"/>
      <x:c r="H20" s="151"/>
      <x:c r="I20" s="156" t="str">
        <x:f>IF(A20="","",C20+D20/24+SUM(E20:H20)/1440)</x:f>
      </x:c>
      <x:c r="J20" s="157">
        <x:f>IF(A20="","",J20)</x:f>
      </x:c>
      <x:c r="K20" s="154" t="str">
        <x:f>IF(A20="","",IF(I20&lt;=J20,"Ajoissa","Myöhässä"))</x:f>
      </x:c>
      <x:c r="L20" s="154" t="str">
        <x:f>IF(A20="","",MAX(0,(I20-J20)*1440))</x:f>
      </x:c>
      <x:c r="M20" s="154" t="str">
        <x:f>IF(A20="","",IF(L20&gt;60,"Korkea",IF(L20&gt;15,"Keskitaso","Matala")))</x:f>
      </x:c>
      <x:c r="N20" s="151"/>
    </x:row>
    <x:row r="21">
      <x:c r="A21" s="151"/>
      <x:c r="B21" s="151"/>
      <x:c r="C21" s="155"/>
      <x:c r="D21" s="151"/>
      <x:c r="E21" s="151"/>
      <x:c r="F21" s="151"/>
      <x:c r="G21" s="151"/>
      <x:c r="H21" s="151"/>
      <x:c r="I21" s="156" t="str">
        <x:f>IF(A21="","",C21+D21/24+SUM(E21:H21)/1440)</x:f>
      </x:c>
      <x:c r="J21" s="157">
        <x:f>IF(A21="","",J21)</x:f>
      </x:c>
      <x:c r="K21" s="154" t="str">
        <x:f>IF(A21="","",IF(I21&lt;=J21,"Ajoissa","Myöhässä"))</x:f>
      </x:c>
      <x:c r="L21" s="154" t="str">
        <x:f>IF(A21="","",MAX(0,(I21-J21)*1440))</x:f>
      </x:c>
      <x:c r="M21" s="154" t="str">
        <x:f>IF(A21="","",IF(L21&gt;60,"Korkea",IF(L21&gt;15,"Keskitaso","Matala")))</x:f>
      </x:c>
      <x:c r="N21" s="151"/>
    </x:row>
    <x:row r="22">
      <x:c r="A22" s="151"/>
      <x:c r="B22" s="151"/>
      <x:c r="C22" s="155"/>
      <x:c r="D22" s="151"/>
      <x:c r="E22" s="151"/>
      <x:c r="F22" s="151"/>
      <x:c r="G22" s="151"/>
      <x:c r="H22" s="151"/>
      <x:c r="I22" s="156" t="str">
        <x:f>IF(A22="","",C22+D22/24+SUM(E22:H22)/1440)</x:f>
      </x:c>
      <x:c r="J22" s="157">
        <x:f>IF(A22="","",J22)</x:f>
      </x:c>
      <x:c r="K22" s="154" t="str">
        <x:f>IF(A22="","",IF(I22&lt;=J22,"Ajoissa","Myöhässä"))</x:f>
      </x:c>
      <x:c r="L22" s="154" t="str">
        <x:f>IF(A22="","",MAX(0,(I22-J22)*1440))</x:f>
      </x:c>
      <x:c r="M22" s="154" t="str">
        <x:f>IF(A22="","",IF(L22&gt;60,"Korkea",IF(L22&gt;15,"Keskitaso","Matala")))</x:f>
      </x:c>
      <x:c r="N22" s="151"/>
    </x:row>
    <x:row r="23">
      <x:c r="A23" s="151"/>
      <x:c r="B23" s="151"/>
      <x:c r="C23" s="155"/>
      <x:c r="D23" s="151"/>
      <x:c r="E23" s="151"/>
      <x:c r="F23" s="151"/>
      <x:c r="G23" s="151"/>
      <x:c r="H23" s="151"/>
      <x:c r="I23" s="156" t="str">
        <x:f>IF(A23="","",C23+D23/24+SUM(E23:H23)/1440)</x:f>
      </x:c>
      <x:c r="J23" s="157">
        <x:f>IF(A23="","",J23)</x:f>
      </x:c>
      <x:c r="K23" s="154" t="str">
        <x:f>IF(A23="","",IF(I23&lt;=J23,"Ajoissa","Myöhässä"))</x:f>
      </x:c>
      <x:c r="L23" s="154" t="str">
        <x:f>IF(A23="","",MAX(0,(I23-J23)*1440))</x:f>
      </x:c>
      <x:c r="M23" s="154" t="str">
        <x:f>IF(A23="","",IF(L23&gt;60,"Korkea",IF(L23&gt;15,"Keskitaso","Matala")))</x:f>
      </x:c>
      <x:c r="N23" s="151"/>
    </x:row>
    <x:row r="24">
      <x:c r="A24" s="151"/>
      <x:c r="B24" s="151"/>
      <x:c r="C24" s="155"/>
      <x:c r="D24" s="151"/>
      <x:c r="E24" s="151"/>
      <x:c r="F24" s="151"/>
      <x:c r="G24" s="151"/>
      <x:c r="H24" s="151"/>
      <x:c r="I24" s="156" t="str">
        <x:f>IF(A24="","",C24+D24/24+SUM(E24:H24)/1440)</x:f>
      </x:c>
      <x:c r="J24" s="157">
        <x:f>IF(A24="","",J24)</x:f>
      </x:c>
      <x:c r="K24" s="154" t="str">
        <x:f>IF(A24="","",IF(I24&lt;=J24,"Ajoissa","Myöhässä"))</x:f>
      </x:c>
      <x:c r="L24" s="154" t="str">
        <x:f>IF(A24="","",MAX(0,(I24-J24)*1440))</x:f>
      </x:c>
      <x:c r="M24" s="154" t="str">
        <x:f>IF(A24="","",IF(L24&gt;60,"Korkea",IF(L24&gt;15,"Keskitaso","Matala")))</x:f>
      </x:c>
      <x:c r="N24" s="151"/>
    </x:row>
    <x:row r="25">
      <x:c r="A25" s="151"/>
      <x:c r="B25" s="151"/>
      <x:c r="C25" s="155"/>
      <x:c r="D25" s="151"/>
      <x:c r="E25" s="151"/>
      <x:c r="F25" s="151"/>
      <x:c r="G25" s="151"/>
      <x:c r="H25" s="151"/>
      <x:c r="I25" s="156" t="str">
        <x:f>IF(A25="","",C25+D25/24+SUM(E25:H25)/1440)</x:f>
      </x:c>
      <x:c r="J25" s="157">
        <x:f>IF(A25="","",J25)</x:f>
      </x:c>
      <x:c r="K25" s="154" t="str">
        <x:f>IF(A25="","",IF(I25&lt;=J25,"Ajoissa","Myöhässä"))</x:f>
      </x:c>
      <x:c r="L25" s="154" t="str">
        <x:f>IF(A25="","",MAX(0,(I25-J25)*1440))</x:f>
      </x:c>
      <x:c r="M25" s="154" t="str">
        <x:f>IF(A25="","",IF(L25&gt;60,"Korkea",IF(L25&gt;15,"Keskitaso","Matala")))</x:f>
      </x:c>
      <x:c r="N25" s="151"/>
    </x:row>
    <x:row r="26">
      <x:c r="A26" s="151"/>
      <x:c r="B26" s="151"/>
      <x:c r="C26" s="155"/>
      <x:c r="D26" s="151"/>
      <x:c r="E26" s="151"/>
      <x:c r="F26" s="151"/>
      <x:c r="G26" s="151"/>
      <x:c r="H26" s="151"/>
      <x:c r="I26" s="156" t="str">
        <x:f>IF(A26="","",C26+D26/24+SUM(E26:H26)/1440)</x:f>
      </x:c>
      <x:c r="J26" s="157">
        <x:f>IF(A26="","",J26)</x:f>
      </x:c>
      <x:c r="K26" s="154" t="str">
        <x:f>IF(A26="","",IF(I26&lt;=J26,"Ajoissa","Myöhässä"))</x:f>
      </x:c>
      <x:c r="L26" s="154" t="str">
        <x:f>IF(A26="","",MAX(0,(I26-J26)*1440))</x:f>
      </x:c>
      <x:c r="M26" s="154" t="str">
        <x:f>IF(A26="","",IF(L26&gt;60,"Korkea",IF(L26&gt;15,"Keskitaso","Matala")))</x:f>
      </x:c>
      <x:c r="N26" s="151"/>
    </x:row>
    <x:row r="27">
      <x:c r="A27" s="151"/>
      <x:c r="B27" s="151"/>
      <x:c r="C27" s="155"/>
      <x:c r="D27" s="151"/>
      <x:c r="E27" s="151"/>
      <x:c r="F27" s="151"/>
      <x:c r="G27" s="151"/>
      <x:c r="H27" s="151"/>
      <x:c r="I27" s="156" t="str">
        <x:f>IF(A27="","",C27+D27/24+SUM(E27:H27)/1440)</x:f>
      </x:c>
      <x:c r="J27" s="157">
        <x:f>IF(A27="","",J27)</x:f>
      </x:c>
      <x:c r="K27" s="154" t="str">
        <x:f>IF(A27="","",IF(I27&lt;=J27,"Ajoissa","Myöhässä"))</x:f>
      </x:c>
      <x:c r="L27" s="154" t="str">
        <x:f>IF(A27="","",MAX(0,(I27-J27)*1440))</x:f>
      </x:c>
      <x:c r="M27" s="154" t="str">
        <x:f>IF(A27="","",IF(L27&gt;60,"Korkea",IF(L27&gt;15,"Keskitaso","Matala")))</x:f>
      </x:c>
      <x:c r="N27" s="151"/>
    </x:row>
    <x:row r="28">
      <x:c r="A28" s="151"/>
      <x:c r="B28" s="151"/>
      <x:c r="C28" s="155"/>
      <x:c r="D28" s="151"/>
      <x:c r="E28" s="151"/>
      <x:c r="F28" s="151"/>
      <x:c r="G28" s="151"/>
      <x:c r="H28" s="151"/>
      <x:c r="I28" s="156" t="str">
        <x:f>IF(A28="","",C28+D28/24+SUM(E28:H28)/1440)</x:f>
      </x:c>
      <x:c r="J28" s="157">
        <x:f>IF(A28="","",J28)</x:f>
      </x:c>
      <x:c r="K28" s="154" t="str">
        <x:f>IF(A28="","",IF(I28&lt;=J28,"Ajoissa","Myöhässä"))</x:f>
      </x:c>
      <x:c r="L28" s="154" t="str">
        <x:f>IF(A28="","",MAX(0,(I28-J28)*1440))</x:f>
      </x:c>
      <x:c r="M28" s="154" t="str">
        <x:f>IF(A28="","",IF(L28&gt;60,"Korkea",IF(L28&gt;15,"Keskitaso","Matala")))</x:f>
      </x:c>
      <x:c r="N28" s="151"/>
    </x:row>
    <x:row r="29">
      <x:c r="A29" s="151"/>
      <x:c r="B29" s="151"/>
      <x:c r="C29" s="155"/>
      <x:c r="D29" s="151"/>
      <x:c r="E29" s="151"/>
      <x:c r="F29" s="151"/>
      <x:c r="G29" s="151"/>
      <x:c r="H29" s="151"/>
      <x:c r="I29" s="156" t="str">
        <x:f>IF(A29="","",C29+D29/24+SUM(E29:H29)/1440)</x:f>
      </x:c>
      <x:c r="J29" s="157">
        <x:f>IF(A29="","",J29)</x:f>
      </x:c>
      <x:c r="K29" s="154" t="str">
        <x:f>IF(A29="","",IF(I29&lt;=J29,"Ajoissa","Myöhässä"))</x:f>
      </x:c>
      <x:c r="L29" s="154" t="str">
        <x:f>IF(A29="","",MAX(0,(I29-J29)*1440))</x:f>
      </x:c>
      <x:c r="M29" s="154" t="str">
        <x:f>IF(A29="","",IF(L29&gt;60,"Korkea",IF(L29&gt;15,"Keskitaso","Matala")))</x:f>
      </x:c>
      <x:c r="N29" s="151"/>
    </x:row>
    <x:row r="30">
      <x:c r="A30" s="151"/>
      <x:c r="B30" s="151"/>
      <x:c r="C30" s="155"/>
      <x:c r="D30" s="151"/>
      <x:c r="E30" s="151"/>
      <x:c r="F30" s="151"/>
      <x:c r="G30" s="151"/>
      <x:c r="H30" s="151"/>
      <x:c r="I30" s="156" t="str">
        <x:f>IF(A30="","",C30+D30/24+SUM(E30:H30)/1440)</x:f>
      </x:c>
      <x:c r="J30" s="157">
        <x:f>IF(A30="","",J30)</x:f>
      </x:c>
      <x:c r="K30" s="154" t="str">
        <x:f>IF(A30="","",IF(I30&lt;=J30,"Ajoissa","Myöhässä"))</x:f>
      </x:c>
      <x:c r="L30" s="154" t="str">
        <x:f>IF(A30="","",MAX(0,(I30-J30)*1440))</x:f>
      </x:c>
      <x:c r="M30" s="154" t="str">
        <x:f>IF(A30="","",IF(L30&gt;60,"Korkea",IF(L30&gt;15,"Keskitaso","Matala")))</x:f>
      </x:c>
      <x:c r="N30" s="151"/>
    </x:row>
    <x:row r="31">
      <x:c r="A31" s="151"/>
      <x:c r="B31" s="151"/>
      <x:c r="C31" s="155"/>
      <x:c r="D31" s="151"/>
      <x:c r="E31" s="151"/>
      <x:c r="F31" s="151"/>
      <x:c r="G31" s="151"/>
      <x:c r="H31" s="151"/>
      <x:c r="I31" s="156" t="str">
        <x:f>IF(A31="","",C31+D31/24+SUM(E31:H31)/1440)</x:f>
      </x:c>
      <x:c r="J31" s="157">
        <x:f>IF(A31="","",J31)</x:f>
      </x:c>
      <x:c r="K31" s="154" t="str">
        <x:f>IF(A31="","",IF(I31&lt;=J31,"Ajoissa","Myöhässä"))</x:f>
      </x:c>
      <x:c r="L31" s="154" t="str">
        <x:f>IF(A31="","",MAX(0,(I31-J31)*1440))</x:f>
      </x:c>
      <x:c r="M31" s="154" t="str">
        <x:f>IF(A31="","",IF(L31&gt;60,"Korkea",IF(L31&gt;15,"Keskitaso","Matala")))</x:f>
      </x:c>
      <x:c r="N31" s="151"/>
    </x:row>
    <x:row r="32">
      <x:c r="A32" s="151"/>
      <x:c r="B32" s="151"/>
      <x:c r="C32" s="155"/>
      <x:c r="D32" s="151"/>
      <x:c r="E32" s="151"/>
      <x:c r="F32" s="151"/>
      <x:c r="G32" s="151"/>
      <x:c r="H32" s="151"/>
      <x:c r="I32" s="156" t="str">
        <x:f>IF(A32="","",C32+D32/24+SUM(E32:H32)/1440)</x:f>
      </x:c>
      <x:c r="J32" s="157">
        <x:f>IF(A32="","",J32)</x:f>
      </x:c>
      <x:c r="K32" s="154" t="str">
        <x:f>IF(A32="","",IF(I32&lt;=J32,"Ajoissa","Myöhässä"))</x:f>
      </x:c>
      <x:c r="L32" s="154" t="str">
        <x:f>IF(A32="","",MAX(0,(I32-J32)*1440))</x:f>
      </x:c>
      <x:c r="M32" s="154" t="str">
        <x:f>IF(A32="","",IF(L32&gt;60,"Korkea",IF(L32&gt;15,"Keskitaso","Matala")))</x:f>
      </x:c>
      <x:c r="N32" s="151"/>
    </x:row>
    <x:row r="33">
      <x:c r="A33" s="151"/>
      <x:c r="B33" s="151"/>
      <x:c r="C33" s="155"/>
      <x:c r="D33" s="151"/>
      <x:c r="E33" s="151"/>
      <x:c r="F33" s="151"/>
      <x:c r="G33" s="151"/>
      <x:c r="H33" s="151"/>
      <x:c r="I33" s="156" t="str">
        <x:f>IF(A33="","",C33+D33/24+SUM(E33:H33)/1440)</x:f>
      </x:c>
      <x:c r="J33" s="157">
        <x:f>IF(A33="","",J33)</x:f>
      </x:c>
      <x:c r="K33" s="154" t="str">
        <x:f>IF(A33="","",IF(I33&lt;=J33,"Ajoissa","Myöhässä"))</x:f>
      </x:c>
      <x:c r="L33" s="154" t="str">
        <x:f>IF(A33="","",MAX(0,(I33-J33)*1440))</x:f>
      </x:c>
      <x:c r="M33" s="154" t="str">
        <x:f>IF(A33="","",IF(L33&gt;60,"Korkea",IF(L33&gt;15,"Keskitaso","Matala")))</x:f>
      </x:c>
      <x:c r="N33" s="151"/>
    </x:row>
    <x:row r="34">
      <x:c r="A34" s="151"/>
      <x:c r="B34" s="151"/>
      <x:c r="C34" s="155"/>
      <x:c r="D34" s="151"/>
      <x:c r="E34" s="151"/>
      <x:c r="F34" s="151"/>
      <x:c r="G34" s="151"/>
      <x:c r="H34" s="151"/>
      <x:c r="I34" s="156" t="str">
        <x:f>IF(A34="","",C34+D34/24+SUM(E34:H34)/1440)</x:f>
      </x:c>
      <x:c r="J34" s="157">
        <x:f>IF(A34="","",J34)</x:f>
      </x:c>
      <x:c r="K34" s="154" t="str">
        <x:f>IF(A34="","",IF(I34&lt;=J34,"Ajoissa","Myöhässä"))</x:f>
      </x:c>
      <x:c r="L34" s="154" t="str">
        <x:f>IF(A34="","",MAX(0,(I34-J34)*1440))</x:f>
      </x:c>
      <x:c r="M34" s="154" t="str">
        <x:f>IF(A34="","",IF(L34&gt;60,"Korkea",IF(L34&gt;15,"Keskitaso","Matala")))</x:f>
      </x:c>
      <x:c r="N34" s="151"/>
    </x:row>
    <x:row r="35">
      <x:c r="A35" s="151"/>
      <x:c r="B35" s="151"/>
      <x:c r="C35" s="155"/>
      <x:c r="D35" s="151"/>
      <x:c r="E35" s="151"/>
      <x:c r="F35" s="151"/>
      <x:c r="G35" s="151"/>
      <x:c r="H35" s="151"/>
      <x:c r="I35" s="156" t="str">
        <x:f>IF(A35="","",C35+D35/24+SUM(E35:H35)/1440)</x:f>
      </x:c>
      <x:c r="J35" s="157">
        <x:f>IF(A35="","",J35)</x:f>
      </x:c>
      <x:c r="K35" s="154" t="str">
        <x:f>IF(A35="","",IF(I35&lt;=J35,"Ajoissa","Myöhässä"))</x:f>
      </x:c>
      <x:c r="L35" s="154" t="str">
        <x:f>IF(A35="","",MAX(0,(I35-J35)*1440))</x:f>
      </x:c>
      <x:c r="M35" s="154" t="str">
        <x:f>IF(A35="","",IF(L35&gt;60,"Korkea",IF(L35&gt;15,"Keskitaso","Matala")))</x:f>
      </x:c>
      <x:c r="N35" s="151"/>
    </x:row>
    <x:row r="36">
      <x:c r="A36" s="151"/>
      <x:c r="B36" s="151"/>
      <x:c r="C36" s="155"/>
      <x:c r="D36" s="151"/>
      <x:c r="E36" s="151"/>
      <x:c r="F36" s="151"/>
      <x:c r="G36" s="151"/>
      <x:c r="H36" s="151"/>
      <x:c r="I36" s="156" t="str">
        <x:f>IF(A36="","",C36+D36/24+SUM(E36:H36)/1440)</x:f>
      </x:c>
      <x:c r="J36" s="157">
        <x:f>IF(A36="","",J36)</x:f>
      </x:c>
      <x:c r="K36" s="154" t="str">
        <x:f>IF(A36="","",IF(I36&lt;=J36,"Ajoissa","Myöhässä"))</x:f>
      </x:c>
      <x:c r="L36" s="154" t="str">
        <x:f>IF(A36="","",MAX(0,(I36-J36)*1440))</x:f>
      </x:c>
      <x:c r="M36" s="154" t="str">
        <x:f>IF(A36="","",IF(L36&gt;60,"Korkea",IF(L36&gt;15,"Keskitaso","Matala")))</x:f>
      </x:c>
      <x:c r="N36" s="151"/>
    </x:row>
    <x:row r="37">
      <x:c r="A37" s="151"/>
      <x:c r="B37" s="151"/>
      <x:c r="C37" s="155"/>
      <x:c r="D37" s="151"/>
      <x:c r="E37" s="151"/>
      <x:c r="F37" s="151"/>
      <x:c r="G37" s="151"/>
      <x:c r="H37" s="151"/>
      <x:c r="I37" s="156" t="str">
        <x:f>IF(A37="","",C37+D37/24+SUM(E37:H37)/1440)</x:f>
      </x:c>
      <x:c r="J37" s="157">
        <x:f>IF(A37="","",J37)</x:f>
      </x:c>
      <x:c r="K37" s="154" t="str">
        <x:f>IF(A37="","",IF(I37&lt;=J37,"Ajoissa","Myöhässä"))</x:f>
      </x:c>
      <x:c r="L37" s="154" t="str">
        <x:f>IF(A37="","",MAX(0,(I37-J37)*1440))</x:f>
      </x:c>
      <x:c r="M37" s="154" t="str">
        <x:f>IF(A37="","",IF(L37&gt;60,"Korkea",IF(L37&gt;15,"Keskitaso","Matala")))</x:f>
      </x:c>
      <x:c r="N37" s="151"/>
    </x:row>
    <x:row r="38">
      <x:c r="A38" s="151"/>
      <x:c r="B38" s="151"/>
      <x:c r="C38" s="155"/>
      <x:c r="D38" s="151"/>
      <x:c r="E38" s="151"/>
      <x:c r="F38" s="151"/>
      <x:c r="G38" s="151"/>
      <x:c r="H38" s="151"/>
      <x:c r="I38" s="156" t="str">
        <x:f>IF(A38="","",C38+D38/24+SUM(E38:H38)/1440)</x:f>
      </x:c>
      <x:c r="J38" s="157">
        <x:f>IF(A38="","",J38)</x:f>
      </x:c>
      <x:c r="K38" s="154" t="str">
        <x:f>IF(A38="","",IF(I38&lt;=J38,"Ajoissa","Myöhässä"))</x:f>
      </x:c>
      <x:c r="L38" s="154" t="str">
        <x:f>IF(A38="","",MAX(0,(I38-J38)*1440))</x:f>
      </x:c>
      <x:c r="M38" s="154" t="str">
        <x:f>IF(A38="","",IF(L38&gt;60,"Korkea",IF(L38&gt;15,"Keskitaso","Matala")))</x:f>
      </x:c>
      <x:c r="N38" s="151"/>
    </x:row>
    <x:row r="39">
      <x:c r="A39" s="151"/>
      <x:c r="B39" s="151"/>
      <x:c r="C39" s="155"/>
      <x:c r="D39" s="151"/>
      <x:c r="E39" s="151"/>
      <x:c r="F39" s="151"/>
      <x:c r="G39" s="151"/>
      <x:c r="H39" s="151"/>
      <x:c r="I39" s="156" t="str">
        <x:f>IF(A39="","",C39+D39/24+SUM(E39:H39)/1440)</x:f>
      </x:c>
      <x:c r="J39" s="157">
        <x:f>IF(A39="","",J39)</x:f>
      </x:c>
      <x:c r="K39" s="154" t="str">
        <x:f>IF(A39="","",IF(I39&lt;=J39,"Ajoissa","Myöhässä"))</x:f>
      </x:c>
      <x:c r="L39" s="154" t="str">
        <x:f>IF(A39="","",MAX(0,(I39-J39)*1440))</x:f>
      </x:c>
      <x:c r="M39" s="154" t="str">
        <x:f>IF(A39="","",IF(L39&gt;60,"Korkea",IF(L39&gt;15,"Keskitaso","Matala")))</x:f>
      </x:c>
      <x:c r="N39" s="151"/>
    </x:row>
    <x:row r="40">
      <x:c r="A40" s="151"/>
      <x:c r="B40" s="151"/>
      <x:c r="C40" s="155"/>
      <x:c r="D40" s="151"/>
      <x:c r="E40" s="151"/>
      <x:c r="F40" s="151"/>
      <x:c r="G40" s="151"/>
      <x:c r="H40" s="151"/>
      <x:c r="I40" s="156" t="str">
        <x:f>IF(A40="","",C40+D40/24+SUM(E40:H40)/1440)</x:f>
      </x:c>
      <x:c r="J40" s="157">
        <x:f>IF(A40="","",J40)</x:f>
      </x:c>
      <x:c r="K40" s="154" t="str">
        <x:f>IF(A40="","",IF(I40&lt;=J40,"Ajoissa","Myöhässä"))</x:f>
      </x:c>
      <x:c r="L40" s="154" t="str">
        <x:f>IF(A40="","",MAX(0,(I40-J40)*1440))</x:f>
      </x:c>
      <x:c r="M40" s="154" t="str">
        <x:f>IF(A40="","",IF(L40&gt;60,"Korkea",IF(L40&gt;15,"Keskitaso","Matala")))</x:f>
      </x:c>
      <x:c r="N40" s="151"/>
    </x:row>
    <x:row r="41">
      <x:c r="A41" s="151"/>
      <x:c r="B41" s="151"/>
      <x:c r="C41" s="155"/>
      <x:c r="D41" s="151"/>
      <x:c r="E41" s="151"/>
      <x:c r="F41" s="151"/>
      <x:c r="G41" s="151"/>
      <x:c r="H41" s="151"/>
      <x:c r="I41" s="156"/>
      <x:c r="J41" s="157"/>
      <x:c r="K41" s="154"/>
      <x:c r="L41" s="154"/>
      <x:c r="M41" s="154"/>
      <x:c r="N41" s="151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f8094bce67684933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2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</x:cols>
  <x:sheetData>
    <x:row r="1">
      <x:c r="A1" s="142" t="str">
        <x:v>2. Ajopäivän simulointi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Kuljettajan päivän aikajana: ajo, tauko, lastaus, purku ja työaika.</x:v>
      </x:c>
    </x:row>
    <x:row r="4">
      <x:c r="A4" s="148" t="str">
        <x:v>Tapahtuma</x:v>
      </x:c>
      <x:c r="B4" s="148" t="str">
        <x:v>Tyyppi</x:v>
      </x:c>
      <x:c r="C4" s="148" t="str">
        <x:v>Kesto min</x:v>
      </x:c>
      <x:c r="D4" s="148" t="str">
        <x:v>Alku</x:v>
      </x:c>
      <x:c r="E4" s="148" t="str">
        <x:v>Loppu</x:v>
      </x:c>
      <x:c r="F4" s="148" t="str">
        <x:v>Ajoaika h</x:v>
      </x:c>
      <x:c r="G4" s="148" t="str">
        <x:v>Työaika h</x:v>
      </x:c>
      <x:c r="H4" s="148" t="str">
        <x:v>Tauko h</x:v>
      </x:c>
      <x:c r="I4" s="148" t="str">
        <x:v>Kumul. ajo h</x:v>
      </x:c>
      <x:c r="J4" s="148" t="str">
        <x:v>Kumul. työ h</x:v>
      </x:c>
      <x:c r="K4" s="148" t="str">
        <x:v>Tauko tarvitaan?</x:v>
      </x:c>
      <x:c r="L4" s="148" t="str">
        <x:v>Ajo-/työstatus</x:v>
      </x:c>
      <x:c r="M4" s="148" t="str">
        <x:v>Paikka</x:v>
      </x:c>
      <x:c r="N4" s="148" t="str">
        <x:v>Huomio</x:v>
      </x:c>
    </x:row>
    <x:row r="5">
      <x:c r="A5" s="151" t="str">
        <x:v>Lähtö / ajo 1</x:v>
      </x:c>
      <x:c r="B5" s="151" t="str">
        <x:v>Ajo</x:v>
      </x:c>
      <x:c r="C5" s="151" t="n">
        <x:v>150</x:v>
      </x:c>
      <x:c r="D5" s="155" t="n">
        <x:v>46147.25</x:v>
      </x:c>
      <x:c r="E5" s="156" t="n">
        <x:f>IF(A5="","",D5+C5/1440)</x:f>
        <x:v>46147.354166666664</x:v>
      </x:c>
      <x:c r="F5" s="154" t="n">
        <x:f>IF(B5="Ajo",C5/60,0)</x:f>
        <x:v>2.5</x:v>
      </x:c>
      <x:c r="G5" s="154" t="n">
        <x:f>IF(OR(B5="Ajo",B5="Lastaus",B5="Purku",B5="Odotus"),C5/60,0)</x:f>
        <x:v>2.5</x:v>
      </x:c>
      <x:c r="H5" s="154" t="n">
        <x:f>IF(B5="Tauko",C5/60,0)</x:f>
        <x:v>0</x:v>
      </x:c>
      <x:c r="I5" s="154" t="n">
        <x:f>SUM($F$5:F5)</x:f>
        <x:v>2.5</x:v>
      </x:c>
      <x:c r="J5" s="154" t="n">
        <x:f>SUM($G$5:G5)</x:f>
        <x:v>2.5</x:v>
      </x:c>
      <x:c r="K5" s="154" t="str">
        <x:f>IF(I5&gt;4.5,"Tarkista 45 min tauko","OK")</x:f>
        <x:v>OK</x:v>
      </x:c>
      <x:c r="L5" s="154" t="str">
        <x:f>IF(I5&gt;10,"Ajoraja yli",IF(J5&gt;13,"Työpäivä pitkä","OK"))</x:f>
        <x:v>OK</x:v>
      </x:c>
      <x:c r="M5" s="151" t="str">
        <x:v>Vantaa</x:v>
      </x:c>
      <x:c r="N5" s="151" t="str"/>
    </x:row>
    <x:row r="6">
      <x:c r="A6" s="151" t="str">
        <x:v>Tauko</x:v>
      </x:c>
      <x:c r="B6" s="151" t="str">
        <x:v>Tauko</x:v>
      </x:c>
      <x:c r="C6" s="151" t="n">
        <x:v>45</x:v>
      </x:c>
      <x:c r="D6" s="155" t="n">
        <x:f>IF(A6="","",E5)</x:f>
        <x:v>46147.354166666664</x:v>
      </x:c>
      <x:c r="E6" s="156" t="n">
        <x:f>IF(A6="","",D6+C6/1440)</x:f>
        <x:v>46147.385416666664</x:v>
      </x:c>
      <x:c r="F6" s="154" t="n">
        <x:f>IF(B6="Ajo",C6/60,0)</x:f>
        <x:v>0</x:v>
      </x:c>
      <x:c r="G6" s="154" t="n">
        <x:f>IF(OR(B6="Ajo",B6="Lastaus",B6="Purku",B6="Odotus"),C6/60,0)</x:f>
        <x:v>0</x:v>
      </x:c>
      <x:c r="H6" s="154" t="n">
        <x:f>IF(B6="Tauko",C6/60,0)</x:f>
        <x:v>0.75</x:v>
      </x:c>
      <x:c r="I6" s="154" t="n">
        <x:f>SUM($F$5:F6)</x:f>
        <x:v>2.5</x:v>
      </x:c>
      <x:c r="J6" s="154" t="n">
        <x:f>SUM($G$5:G6)</x:f>
        <x:v>2.5</x:v>
      </x:c>
      <x:c r="K6" s="154" t="str">
        <x:f>IF(I6&gt;4.5,"Tarkista 45 min tauko","OK")</x:f>
        <x:v>OK</x:v>
      </x:c>
      <x:c r="L6" s="154" t="str">
        <x:f>IF(I6&gt;10,"Ajoraja yli",IF(J6&gt;13,"Työpäivä pitkä","OK"))</x:f>
        <x:v>OK</x:v>
      </x:c>
      <x:c r="M6" s="151" t="str"/>
      <x:c r="N6" s="151" t="str"/>
    </x:row>
    <x:row r="7">
      <x:c r="A7" s="151" t="str">
        <x:v>Ajo 2</x:v>
      </x:c>
      <x:c r="B7" s="151" t="str">
        <x:v>Ajo</x:v>
      </x:c>
      <x:c r="C7" s="151" t="n">
        <x:v>90</x:v>
      </x:c>
      <x:c r="D7" s="155" t="n">
        <x:f>IF(A7="","",E6)</x:f>
        <x:v>46147.385416666664</x:v>
      </x:c>
      <x:c r="E7" s="156" t="n">
        <x:f>IF(A7="","",D7+C7/1440)</x:f>
        <x:v>46147.447916666664</x:v>
      </x:c>
      <x:c r="F7" s="154" t="n">
        <x:f>IF(B7="Ajo",C7/60,0)</x:f>
        <x:v>1.5</x:v>
      </x:c>
      <x:c r="G7" s="154" t="n">
        <x:f>IF(OR(B7="Ajo",B7="Lastaus",B7="Purku",B7="Odotus"),C7/60,0)</x:f>
        <x:v>1.5</x:v>
      </x:c>
      <x:c r="H7" s="154" t="n">
        <x:f>IF(B7="Tauko",C7/60,0)</x:f>
        <x:v>0</x:v>
      </x:c>
      <x:c r="I7" s="154" t="n">
        <x:f>SUM($F$5:F7)</x:f>
        <x:v>4</x:v>
      </x:c>
      <x:c r="J7" s="154" t="n">
        <x:f>SUM($G$5:G7)</x:f>
        <x:v>4</x:v>
      </x:c>
      <x:c r="K7" s="154" t="str">
        <x:f>IF(I7&gt;4.5,"Tarkista 45 min tauko","OK")</x:f>
        <x:v>OK</x:v>
      </x:c>
      <x:c r="L7" s="154" t="str">
        <x:f>IF(I7&gt;10,"Ajoraja yli",IF(J7&gt;13,"Työpäivä pitkä","OK"))</x:f>
        <x:v>OK</x:v>
      </x:c>
      <x:c r="M7" s="151" t="str">
        <x:v>Tampere</x:v>
      </x:c>
      <x:c r="N7" s="151" t="str"/>
    </x:row>
    <x:row r="8">
      <x:c r="A8" s="151" t="str">
        <x:v>Purku 1</x:v>
      </x:c>
      <x:c r="B8" s="151" t="str">
        <x:v>Purku</x:v>
      </x:c>
      <x:c r="C8" s="151" t="n">
        <x:v>45</x:v>
      </x:c>
      <x:c r="D8" s="155" t="n">
        <x:f>IF(A8="","",E7)</x:f>
        <x:v>46147.447916666664</x:v>
      </x:c>
      <x:c r="E8" s="156" t="n">
        <x:f>IF(A8="","",D8+C8/1440)</x:f>
        <x:v>46147.479166666664</x:v>
      </x:c>
      <x:c r="F8" s="154" t="n">
        <x:f>IF(B8="Ajo",C8/60,0)</x:f>
        <x:v>0</x:v>
      </x:c>
      <x:c r="G8" s="154" t="n">
        <x:f>IF(OR(B8="Ajo",B8="Lastaus",B8="Purku",B8="Odotus"),C8/60,0)</x:f>
        <x:v>0.75</x:v>
      </x:c>
      <x:c r="H8" s="154" t="n">
        <x:f>IF(B8="Tauko",C8/60,0)</x:f>
        <x:v>0</x:v>
      </x:c>
      <x:c r="I8" s="154" t="n">
        <x:f>SUM($F$5:F8)</x:f>
        <x:v>4</x:v>
      </x:c>
      <x:c r="J8" s="154" t="n">
        <x:f>SUM($G$5:G8)</x:f>
        <x:v>4.75</x:v>
      </x:c>
      <x:c r="K8" s="154" t="str">
        <x:f>IF(I8&gt;4.5,"Tarkista 45 min tauko","OK")</x:f>
        <x:v>OK</x:v>
      </x:c>
      <x:c r="L8" s="154" t="str">
        <x:f>IF(I8&gt;10,"Ajoraja yli",IF(J8&gt;13,"Työpäivä pitkä","OK"))</x:f>
        <x:v>OK</x:v>
      </x:c>
      <x:c r="M8" s="151" t="str">
        <x:v>Tampere</x:v>
      </x:c>
      <x:c r="N8" s="151" t="str"/>
    </x:row>
    <x:row r="9">
      <x:c r="A9" s="151" t="str">
        <x:v>Ajo 3</x:v>
      </x:c>
      <x:c r="B9" s="151" t="str">
        <x:v>Ajo</x:v>
      </x:c>
      <x:c r="C9" s="151" t="n">
        <x:v>85</x:v>
      </x:c>
      <x:c r="D9" s="155" t="n">
        <x:f>IF(A9="","",E8)</x:f>
        <x:v>46147.479166666664</x:v>
      </x:c>
      <x:c r="E9" s="156" t="n">
        <x:f>IF(A9="","",D9+C9/1440)</x:f>
        <x:v>46147.538194444445</x:v>
      </x:c>
      <x:c r="F9" s="154" t="n">
        <x:f>IF(B9="Ajo",C9/60,0)</x:f>
        <x:v>1.4166666666666667</x:v>
      </x:c>
      <x:c r="G9" s="154" t="n">
        <x:f>IF(OR(B9="Ajo",B9="Lastaus",B9="Purku",B9="Odotus"),C9/60,0)</x:f>
        <x:v>1.4166666666666667</x:v>
      </x:c>
      <x:c r="H9" s="154" t="n">
        <x:f>IF(B9="Tauko",C9/60,0)</x:f>
        <x:v>0</x:v>
      </x:c>
      <x:c r="I9" s="154" t="n">
        <x:f>SUM($F$5:F9)</x:f>
        <x:v>5.416666666666667</x:v>
      </x:c>
      <x:c r="J9" s="154" t="n">
        <x:f>SUM($G$5:G9)</x:f>
        <x:v>6.166666666666667</x:v>
      </x:c>
      <x:c r="K9" s="154" t="str">
        <x:f>IF(I9&gt;4.5,"Tarkista 45 min tauko","OK")</x:f>
        <x:v>Tarkista 45 min tauko</x:v>
      </x:c>
      <x:c r="L9" s="154" t="str">
        <x:f>IF(I9&gt;10,"Ajoraja yli",IF(J9&gt;13,"Työpäivä pitkä","OK"))</x:f>
        <x:v>OK</x:v>
      </x:c>
      <x:c r="M9" s="151" t="str">
        <x:v>Pori</x:v>
      </x:c>
      <x:c r="N9" s="151" t="str"/>
    </x:row>
    <x:row r="10">
      <x:c r="A10" s="151" t="str">
        <x:v>Purku 2</x:v>
      </x:c>
      <x:c r="B10" s="151" t="str">
        <x:v>Purku</x:v>
      </x:c>
      <x:c r="C10" s="151" t="n">
        <x:v>45</x:v>
      </x:c>
      <x:c r="D10" s="155" t="n">
        <x:f>IF(A10="","",E9)</x:f>
        <x:v>46147.538194444445</x:v>
      </x:c>
      <x:c r="E10" s="156" t="n">
        <x:f>IF(A10="","",D10+C10/1440)</x:f>
        <x:v>46147.569444444445</x:v>
      </x:c>
      <x:c r="F10" s="154" t="n">
        <x:f>IF(B10="Ajo",C10/60,0)</x:f>
        <x:v>0</x:v>
      </x:c>
      <x:c r="G10" s="154" t="n">
        <x:f>IF(OR(B10="Ajo",B10="Lastaus",B10="Purku",B10="Odotus"),C10/60,0)</x:f>
        <x:v>0.75</x:v>
      </x:c>
      <x:c r="H10" s="154" t="n">
        <x:f>IF(B10="Tauko",C10/60,0)</x:f>
        <x:v>0</x:v>
      </x:c>
      <x:c r="I10" s="154" t="n">
        <x:f>SUM($F$5:F10)</x:f>
        <x:v>5.416666666666667</x:v>
      </x:c>
      <x:c r="J10" s="154" t="n">
        <x:f>SUM($G$5:G10)</x:f>
        <x:v>6.916666666666667</x:v>
      </x:c>
      <x:c r="K10" s="154" t="str">
        <x:f>IF(I10&gt;4.5,"Tarkista 45 min tauko","OK")</x:f>
        <x:v>Tarkista 45 min tauko</x:v>
      </x:c>
      <x:c r="L10" s="154" t="str">
        <x:f>IF(I10&gt;10,"Ajoraja yli",IF(J10&gt;13,"Työpäivä pitkä","OK"))</x:f>
        <x:v>OK</x:v>
      </x:c>
      <x:c r="M10" s="151" t="str">
        <x:v>Pori</x:v>
      </x:c>
      <x:c r="N10" s="151" t="str"/>
    </x:row>
    <x:row r="11">
      <x:c r="A11" s="151"/>
      <x:c r="B11" s="151"/>
      <x:c r="C11" s="151"/>
      <x:c r="D11" s="155" t="str">
        <x:f>IF(A11="","",E10)</x:f>
      </x:c>
      <x:c r="E11" s="156" t="str">
        <x:f>IF(A11="","",D11+C11/1440)</x:f>
      </x:c>
      <x:c r="F11" s="154" t="n">
        <x:f>IF(B11="Ajo",C11/60,0)</x:f>
        <x:v>0</x:v>
      </x:c>
      <x:c r="G11" s="154" t="n">
        <x:f>IF(OR(B11="Ajo",B11="Lastaus",B11="Purku",B11="Odotus"),C11/60,0)</x:f>
        <x:v>0</x:v>
      </x:c>
      <x:c r="H11" s="154" t="n">
        <x:f>IF(B11="Tauko",C11/60,0)</x:f>
        <x:v>0</x:v>
      </x:c>
      <x:c r="I11" s="154" t="n">
        <x:f>SUM($F$5:F11)</x:f>
        <x:v>5.416666666666667</x:v>
      </x:c>
      <x:c r="J11" s="154" t="n">
        <x:f>SUM($G$5:G11)</x:f>
        <x:v>6.916666666666667</x:v>
      </x:c>
      <x:c r="K11" s="154" t="str">
        <x:f>IF(I11&gt;4.5,"Tarkista 45 min tauko","OK")</x:f>
        <x:v>Tarkista 45 min tauko</x:v>
      </x:c>
      <x:c r="L11" s="154" t="str">
        <x:f>IF(I11&gt;10,"Ajoraja yli",IF(J11&gt;13,"Työpäivä pitkä","OK"))</x:f>
        <x:v>OK</x:v>
      </x:c>
      <x:c r="M11" s="151"/>
      <x:c r="N11" s="151"/>
    </x:row>
    <x:row r="12">
      <x:c r="A12" s="151"/>
      <x:c r="B12" s="151"/>
      <x:c r="C12" s="151"/>
      <x:c r="D12" s="155" t="str">
        <x:f>IF(A12="","",E11)</x:f>
      </x:c>
      <x:c r="E12" s="156" t="str">
        <x:f>IF(A12="","",D12+C12/1440)</x:f>
      </x:c>
      <x:c r="F12" s="154" t="n">
        <x:f>IF(B12="Ajo",C12/60,0)</x:f>
        <x:v>0</x:v>
      </x:c>
      <x:c r="G12" s="154" t="n">
        <x:f>IF(OR(B12="Ajo",B12="Lastaus",B12="Purku",B12="Odotus"),C12/60,0)</x:f>
        <x:v>0</x:v>
      </x:c>
      <x:c r="H12" s="154" t="n">
        <x:f>IF(B12="Tauko",C12/60,0)</x:f>
        <x:v>0</x:v>
      </x:c>
      <x:c r="I12" s="154" t="n">
        <x:f>SUM($F$5:F12)</x:f>
        <x:v>5.416666666666667</x:v>
      </x:c>
      <x:c r="J12" s="154" t="n">
        <x:f>SUM($G$5:G12)</x:f>
        <x:v>6.916666666666667</x:v>
      </x:c>
      <x:c r="K12" s="154" t="str">
        <x:f>IF(I12&gt;4.5,"Tarkista 45 min tauko","OK")</x:f>
        <x:v>Tarkista 45 min tauko</x:v>
      </x:c>
      <x:c r="L12" s="154" t="str">
        <x:f>IF(I12&gt;10,"Ajoraja yli",IF(J12&gt;13,"Työpäivä pitkä","OK"))</x:f>
        <x:v>OK</x:v>
      </x:c>
      <x:c r="M12" s="151"/>
      <x:c r="N12" s="151"/>
    </x:row>
    <x:row r="13">
      <x:c r="A13" s="151"/>
      <x:c r="B13" s="151"/>
      <x:c r="C13" s="151"/>
      <x:c r="D13" s="155" t="str">
        <x:f>IF(A13="","",E12)</x:f>
      </x:c>
      <x:c r="E13" s="156" t="str">
        <x:f>IF(A13="","",D13+C13/1440)</x:f>
      </x:c>
      <x:c r="F13" s="154" t="n">
        <x:f>IF(B13="Ajo",C13/60,0)</x:f>
        <x:v>0</x:v>
      </x:c>
      <x:c r="G13" s="154" t="n">
        <x:f>IF(OR(B13="Ajo",B13="Lastaus",B13="Purku",B13="Odotus"),C13/60,0)</x:f>
        <x:v>0</x:v>
      </x:c>
      <x:c r="H13" s="154" t="n">
        <x:f>IF(B13="Tauko",C13/60,0)</x:f>
        <x:v>0</x:v>
      </x:c>
      <x:c r="I13" s="154" t="n">
        <x:f>SUM($F$5:F13)</x:f>
        <x:v>5.416666666666667</x:v>
      </x:c>
      <x:c r="J13" s="154" t="n">
        <x:f>SUM($G$5:G13)</x:f>
        <x:v>6.916666666666667</x:v>
      </x:c>
      <x:c r="K13" s="154" t="str">
        <x:f>IF(I13&gt;4.5,"Tarkista 45 min tauko","OK")</x:f>
        <x:v>Tarkista 45 min tauko</x:v>
      </x:c>
      <x:c r="L13" s="154" t="str">
        <x:f>IF(I13&gt;10,"Ajoraja yli",IF(J13&gt;13,"Työpäivä pitkä","OK"))</x:f>
        <x:v>OK</x:v>
      </x:c>
      <x:c r="M13" s="151"/>
      <x:c r="N13" s="151"/>
    </x:row>
    <x:row r="14">
      <x:c r="A14" s="151"/>
      <x:c r="B14" s="151"/>
      <x:c r="C14" s="151"/>
      <x:c r="D14" s="155" t="str">
        <x:f>IF(A14="","",E13)</x:f>
      </x:c>
      <x:c r="E14" s="156" t="str">
        <x:f>IF(A14="","",D14+C14/1440)</x:f>
      </x:c>
      <x:c r="F14" s="154" t="n">
        <x:f>IF(B14="Ajo",C14/60,0)</x:f>
        <x:v>0</x:v>
      </x:c>
      <x:c r="G14" s="154" t="n">
        <x:f>IF(OR(B14="Ajo",B14="Lastaus",B14="Purku",B14="Odotus"),C14/60,0)</x:f>
        <x:v>0</x:v>
      </x:c>
      <x:c r="H14" s="154" t="n">
        <x:f>IF(B14="Tauko",C14/60,0)</x:f>
        <x:v>0</x:v>
      </x:c>
      <x:c r="I14" s="154" t="n">
        <x:f>SUM($F$5:F14)</x:f>
        <x:v>5.416666666666667</x:v>
      </x:c>
      <x:c r="J14" s="154" t="n">
        <x:f>SUM($G$5:G14)</x:f>
        <x:v>6.916666666666667</x:v>
      </x:c>
      <x:c r="K14" s="154" t="str">
        <x:f>IF(I14&gt;4.5,"Tarkista 45 min tauko","OK")</x:f>
        <x:v>Tarkista 45 min tauko</x:v>
      </x:c>
      <x:c r="L14" s="154" t="str">
        <x:f>IF(I14&gt;10,"Ajoraja yli",IF(J14&gt;13,"Työpäivä pitkä","OK"))</x:f>
        <x:v>OK</x:v>
      </x:c>
      <x:c r="M14" s="151"/>
      <x:c r="N14" s="151"/>
    </x:row>
    <x:row r="15">
      <x:c r="A15" s="151"/>
      <x:c r="B15" s="151"/>
      <x:c r="C15" s="151"/>
      <x:c r="D15" s="155" t="str">
        <x:f>IF(A15="","",E14)</x:f>
      </x:c>
      <x:c r="E15" s="156" t="str">
        <x:f>IF(A15="","",D15+C15/1440)</x:f>
      </x:c>
      <x:c r="F15" s="154" t="n">
        <x:f>IF(B15="Ajo",C15/60,0)</x:f>
        <x:v>0</x:v>
      </x:c>
      <x:c r="G15" s="154" t="n">
        <x:f>IF(OR(B15="Ajo",B15="Lastaus",B15="Purku",B15="Odotus"),C15/60,0)</x:f>
        <x:v>0</x:v>
      </x:c>
      <x:c r="H15" s="154" t="n">
        <x:f>IF(B15="Tauko",C15/60,0)</x:f>
        <x:v>0</x:v>
      </x:c>
      <x:c r="I15" s="154" t="n">
        <x:f>SUM($F$5:F15)</x:f>
        <x:v>5.416666666666667</x:v>
      </x:c>
      <x:c r="J15" s="154" t="n">
        <x:f>SUM($G$5:G15)</x:f>
        <x:v>6.916666666666667</x:v>
      </x:c>
      <x:c r="K15" s="154" t="str">
        <x:f>IF(I15&gt;4.5,"Tarkista 45 min tauko","OK")</x:f>
        <x:v>Tarkista 45 min tauko</x:v>
      </x:c>
      <x:c r="L15" s="154" t="str">
        <x:f>IF(I15&gt;10,"Ajoraja yli",IF(J15&gt;13,"Työpäivä pitkä","OK"))</x:f>
        <x:v>OK</x:v>
      </x:c>
      <x:c r="M15" s="151"/>
      <x:c r="N15" s="151"/>
    </x:row>
    <x:row r="16">
      <x:c r="A16" s="151"/>
      <x:c r="B16" s="151"/>
      <x:c r="C16" s="151"/>
      <x:c r="D16" s="155" t="str">
        <x:f>IF(A16="","",E15)</x:f>
      </x:c>
      <x:c r="E16" s="156" t="str">
        <x:f>IF(A16="","",D16+C16/1440)</x:f>
      </x:c>
      <x:c r="F16" s="154" t="n">
        <x:f>IF(B16="Ajo",C16/60,0)</x:f>
        <x:v>0</x:v>
      </x:c>
      <x:c r="G16" s="154" t="n">
        <x:f>IF(OR(B16="Ajo",B16="Lastaus",B16="Purku",B16="Odotus"),C16/60,0)</x:f>
        <x:v>0</x:v>
      </x:c>
      <x:c r="H16" s="154" t="n">
        <x:f>IF(B16="Tauko",C16/60,0)</x:f>
        <x:v>0</x:v>
      </x:c>
      <x:c r="I16" s="154" t="n">
        <x:f>SUM($F$5:F16)</x:f>
        <x:v>5.416666666666667</x:v>
      </x:c>
      <x:c r="J16" s="154" t="n">
        <x:f>SUM($G$5:G16)</x:f>
        <x:v>6.916666666666667</x:v>
      </x:c>
      <x:c r="K16" s="154" t="str">
        <x:f>IF(I16&gt;4.5,"Tarkista 45 min tauko","OK")</x:f>
        <x:v>Tarkista 45 min tauko</x:v>
      </x:c>
      <x:c r="L16" s="154" t="str">
        <x:f>IF(I16&gt;10,"Ajoraja yli",IF(J16&gt;13,"Työpäivä pitkä","OK"))</x:f>
        <x:v>OK</x:v>
      </x:c>
      <x:c r="M16" s="151"/>
      <x:c r="N16" s="151"/>
    </x:row>
    <x:row r="17">
      <x:c r="A17" s="151"/>
      <x:c r="B17" s="151"/>
      <x:c r="C17" s="151"/>
      <x:c r="D17" s="155" t="str">
        <x:f>IF(A17="","",E16)</x:f>
      </x:c>
      <x:c r="E17" s="156" t="str">
        <x:f>IF(A17="","",D17+C17/1440)</x:f>
      </x:c>
      <x:c r="F17" s="154" t="n">
        <x:f>IF(B17="Ajo",C17/60,0)</x:f>
        <x:v>0</x:v>
      </x:c>
      <x:c r="G17" s="154" t="n">
        <x:f>IF(OR(B17="Ajo",B17="Lastaus",B17="Purku",B17="Odotus"),C17/60,0)</x:f>
        <x:v>0</x:v>
      </x:c>
      <x:c r="H17" s="154" t="n">
        <x:f>IF(B17="Tauko",C17/60,0)</x:f>
        <x:v>0</x:v>
      </x:c>
      <x:c r="I17" s="154" t="n">
        <x:f>SUM($F$5:F17)</x:f>
        <x:v>5.416666666666667</x:v>
      </x:c>
      <x:c r="J17" s="154" t="n">
        <x:f>SUM($G$5:G17)</x:f>
        <x:v>6.916666666666667</x:v>
      </x:c>
      <x:c r="K17" s="154" t="str">
        <x:f>IF(I17&gt;4.5,"Tarkista 45 min tauko","OK")</x:f>
        <x:v>Tarkista 45 min tauko</x:v>
      </x:c>
      <x:c r="L17" s="154" t="str">
        <x:f>IF(I17&gt;10,"Ajoraja yli",IF(J17&gt;13,"Työpäivä pitkä","OK"))</x:f>
        <x:v>OK</x:v>
      </x:c>
      <x:c r="M17" s="151"/>
      <x:c r="N17" s="151"/>
    </x:row>
    <x:row r="18">
      <x:c r="A18" s="151"/>
      <x:c r="B18" s="151"/>
      <x:c r="C18" s="151"/>
      <x:c r="D18" s="155" t="str">
        <x:f>IF(A18="","",E17)</x:f>
      </x:c>
      <x:c r="E18" s="156" t="str">
        <x:f>IF(A18="","",D18+C18/1440)</x:f>
      </x:c>
      <x:c r="F18" s="154" t="n">
        <x:f>IF(B18="Ajo",C18/60,0)</x:f>
        <x:v>0</x:v>
      </x:c>
      <x:c r="G18" s="154" t="n">
        <x:f>IF(OR(B18="Ajo",B18="Lastaus",B18="Purku",B18="Odotus"),C18/60,0)</x:f>
        <x:v>0</x:v>
      </x:c>
      <x:c r="H18" s="154" t="n">
        <x:f>IF(B18="Tauko",C18/60,0)</x:f>
        <x:v>0</x:v>
      </x:c>
      <x:c r="I18" s="154" t="n">
        <x:f>SUM($F$5:F18)</x:f>
        <x:v>5.416666666666667</x:v>
      </x:c>
      <x:c r="J18" s="154" t="n">
        <x:f>SUM($G$5:G18)</x:f>
        <x:v>6.916666666666667</x:v>
      </x:c>
      <x:c r="K18" s="154" t="str">
        <x:f>IF(I18&gt;4.5,"Tarkista 45 min tauko","OK")</x:f>
        <x:v>Tarkista 45 min tauko</x:v>
      </x:c>
      <x:c r="L18" s="154" t="str">
        <x:f>IF(I18&gt;10,"Ajoraja yli",IF(J18&gt;13,"Työpäivä pitkä","OK"))</x:f>
        <x:v>OK</x:v>
      </x:c>
      <x:c r="M18" s="151"/>
      <x:c r="N18" s="151"/>
    </x:row>
    <x:row r="19">
      <x:c r="A19" s="151"/>
      <x:c r="B19" s="151"/>
      <x:c r="C19" s="151"/>
      <x:c r="D19" s="155" t="str">
        <x:f>IF(A19="","",E18)</x:f>
      </x:c>
      <x:c r="E19" s="156" t="str">
        <x:f>IF(A19="","",D19+C19/1440)</x:f>
      </x:c>
      <x:c r="F19" s="154" t="n">
        <x:f>IF(B19="Ajo",C19/60,0)</x:f>
        <x:v>0</x:v>
      </x:c>
      <x:c r="G19" s="154" t="n">
        <x:f>IF(OR(B19="Ajo",B19="Lastaus",B19="Purku",B19="Odotus"),C19/60,0)</x:f>
        <x:v>0</x:v>
      </x:c>
      <x:c r="H19" s="154" t="n">
        <x:f>IF(B19="Tauko",C19/60,0)</x:f>
        <x:v>0</x:v>
      </x:c>
      <x:c r="I19" s="154" t="n">
        <x:f>SUM($F$5:F19)</x:f>
        <x:v>5.416666666666667</x:v>
      </x:c>
      <x:c r="J19" s="154" t="n">
        <x:f>SUM($G$5:G19)</x:f>
        <x:v>6.916666666666667</x:v>
      </x:c>
      <x:c r="K19" s="154" t="str">
        <x:f>IF(I19&gt;4.5,"Tarkista 45 min tauko","OK")</x:f>
        <x:v>Tarkista 45 min tauko</x:v>
      </x:c>
      <x:c r="L19" s="154" t="str">
        <x:f>IF(I19&gt;10,"Ajoraja yli",IF(J19&gt;13,"Työpäivä pitkä","OK"))</x:f>
        <x:v>OK</x:v>
      </x:c>
      <x:c r="M19" s="151"/>
      <x:c r="N19" s="151"/>
    </x:row>
    <x:row r="20">
      <x:c r="A20" s="151"/>
      <x:c r="B20" s="151"/>
      <x:c r="C20" s="151"/>
      <x:c r="D20" s="155" t="str">
        <x:f>IF(A20="","",E19)</x:f>
      </x:c>
      <x:c r="E20" s="156" t="str">
        <x:f>IF(A20="","",D20+C20/1440)</x:f>
      </x:c>
      <x:c r="F20" s="154" t="n">
        <x:f>IF(B20="Ajo",C20/60,0)</x:f>
        <x:v>0</x:v>
      </x:c>
      <x:c r="G20" s="154" t="n">
        <x:f>IF(OR(B20="Ajo",B20="Lastaus",B20="Purku",B20="Odotus"),C20/60,0)</x:f>
        <x:v>0</x:v>
      </x:c>
      <x:c r="H20" s="154" t="n">
        <x:f>IF(B20="Tauko",C20/60,0)</x:f>
        <x:v>0</x:v>
      </x:c>
      <x:c r="I20" s="154" t="n">
        <x:f>SUM($F$5:F20)</x:f>
        <x:v>5.416666666666667</x:v>
      </x:c>
      <x:c r="J20" s="154" t="n">
        <x:f>SUM($G$5:G20)</x:f>
        <x:v>6.916666666666667</x:v>
      </x:c>
      <x:c r="K20" s="154" t="str">
        <x:f>IF(I20&gt;4.5,"Tarkista 45 min tauko","OK")</x:f>
        <x:v>Tarkista 45 min tauko</x:v>
      </x:c>
      <x:c r="L20" s="154" t="str">
        <x:f>IF(I20&gt;10,"Ajoraja yli",IF(J20&gt;13,"Työpäivä pitkä","OK"))</x:f>
        <x:v>OK</x:v>
      </x:c>
      <x:c r="M20" s="151"/>
      <x:c r="N20" s="151"/>
    </x:row>
    <x:row r="21">
      <x:c r="A21" s="151"/>
      <x:c r="B21" s="151"/>
      <x:c r="C21" s="151"/>
      <x:c r="D21" s="155" t="str">
        <x:f>IF(A21="","",E20)</x:f>
      </x:c>
      <x:c r="E21" s="156" t="str">
        <x:f>IF(A21="","",D21+C21/1440)</x:f>
      </x:c>
      <x:c r="F21" s="154" t="n">
        <x:f>IF(B21="Ajo",C21/60,0)</x:f>
        <x:v>0</x:v>
      </x:c>
      <x:c r="G21" s="154" t="n">
        <x:f>IF(OR(B21="Ajo",B21="Lastaus",B21="Purku",B21="Odotus"),C21/60,0)</x:f>
        <x:v>0</x:v>
      </x:c>
      <x:c r="H21" s="154" t="n">
        <x:f>IF(B21="Tauko",C21/60,0)</x:f>
        <x:v>0</x:v>
      </x:c>
      <x:c r="I21" s="154" t="n">
        <x:f>SUM($F$5:F21)</x:f>
        <x:v>5.416666666666667</x:v>
      </x:c>
      <x:c r="J21" s="154" t="n">
        <x:f>SUM($G$5:G21)</x:f>
        <x:v>6.916666666666667</x:v>
      </x:c>
      <x:c r="K21" s="154" t="str">
        <x:f>IF(I21&gt;4.5,"Tarkista 45 min tauko","OK")</x:f>
        <x:v>Tarkista 45 min tauko</x:v>
      </x:c>
      <x:c r="L21" s="154" t="str">
        <x:f>IF(I21&gt;10,"Ajoraja yli",IF(J21&gt;13,"Työpäivä pitkä","OK"))</x:f>
        <x:v>OK</x:v>
      </x:c>
      <x:c r="M21" s="151"/>
      <x:c r="N21" s="151"/>
    </x:row>
    <x:row r="22">
      <x:c r="A22" s="151"/>
      <x:c r="B22" s="151"/>
      <x:c r="C22" s="151"/>
      <x:c r="D22" s="155" t="str">
        <x:f>IF(A22="","",E21)</x:f>
      </x:c>
      <x:c r="E22" s="156" t="str">
        <x:f>IF(A22="","",D22+C22/1440)</x:f>
      </x:c>
      <x:c r="F22" s="154" t="n">
        <x:f>IF(B22="Ajo",C22/60,0)</x:f>
        <x:v>0</x:v>
      </x:c>
      <x:c r="G22" s="154" t="n">
        <x:f>IF(OR(B22="Ajo",B22="Lastaus",B22="Purku",B22="Odotus"),C22/60,0)</x:f>
        <x:v>0</x:v>
      </x:c>
      <x:c r="H22" s="154" t="n">
        <x:f>IF(B22="Tauko",C22/60,0)</x:f>
        <x:v>0</x:v>
      </x:c>
      <x:c r="I22" s="154" t="n">
        <x:f>SUM($F$5:F22)</x:f>
        <x:v>5.416666666666667</x:v>
      </x:c>
      <x:c r="J22" s="154" t="n">
        <x:f>SUM($G$5:G22)</x:f>
        <x:v>6.916666666666667</x:v>
      </x:c>
      <x:c r="K22" s="154" t="str">
        <x:f>IF(I22&gt;4.5,"Tarkista 45 min tauko","OK")</x:f>
        <x:v>Tarkista 45 min tauko</x:v>
      </x:c>
      <x:c r="L22" s="154" t="str">
        <x:f>IF(I22&gt;10,"Ajoraja yli",IF(J22&gt;13,"Työpäivä pitkä","OK"))</x:f>
        <x:v>OK</x:v>
      </x:c>
      <x:c r="M22" s="151"/>
      <x:c r="N22" s="151"/>
    </x:row>
    <x:row r="23">
      <x:c r="A23" s="151"/>
      <x:c r="B23" s="151"/>
      <x:c r="C23" s="151"/>
      <x:c r="D23" s="155" t="str">
        <x:f>IF(A23="","",E22)</x:f>
      </x:c>
      <x:c r="E23" s="156" t="str">
        <x:f>IF(A23="","",D23+C23/1440)</x:f>
      </x:c>
      <x:c r="F23" s="154" t="n">
        <x:f>IF(B23="Ajo",C23/60,0)</x:f>
        <x:v>0</x:v>
      </x:c>
      <x:c r="G23" s="154" t="n">
        <x:f>IF(OR(B23="Ajo",B23="Lastaus",B23="Purku",B23="Odotus"),C23/60,0)</x:f>
        <x:v>0</x:v>
      </x:c>
      <x:c r="H23" s="154" t="n">
        <x:f>IF(B23="Tauko",C23/60,0)</x:f>
        <x:v>0</x:v>
      </x:c>
      <x:c r="I23" s="154" t="n">
        <x:f>SUM($F$5:F23)</x:f>
        <x:v>5.416666666666667</x:v>
      </x:c>
      <x:c r="J23" s="154" t="n">
        <x:f>SUM($G$5:G23)</x:f>
        <x:v>6.916666666666667</x:v>
      </x:c>
      <x:c r="K23" s="154" t="str">
        <x:f>IF(I23&gt;4.5,"Tarkista 45 min tauko","OK")</x:f>
        <x:v>Tarkista 45 min tauko</x:v>
      </x:c>
      <x:c r="L23" s="154" t="str">
        <x:f>IF(I23&gt;10,"Ajoraja yli",IF(J23&gt;13,"Työpäivä pitkä","OK"))</x:f>
        <x:v>OK</x:v>
      </x:c>
      <x:c r="M23" s="151"/>
      <x:c r="N23" s="151"/>
    </x:row>
    <x:row r="24">
      <x:c r="A24" s="151"/>
      <x:c r="B24" s="151"/>
      <x:c r="C24" s="151"/>
      <x:c r="D24" s="155" t="str">
        <x:f>IF(A24="","",E23)</x:f>
      </x:c>
      <x:c r="E24" s="156" t="str">
        <x:f>IF(A24="","",D24+C24/1440)</x:f>
      </x:c>
      <x:c r="F24" s="154" t="n">
        <x:f>IF(B24="Ajo",C24/60,0)</x:f>
        <x:v>0</x:v>
      </x:c>
      <x:c r="G24" s="154" t="n">
        <x:f>IF(OR(B24="Ajo",B24="Lastaus",B24="Purku",B24="Odotus"),C24/60,0)</x:f>
        <x:v>0</x:v>
      </x:c>
      <x:c r="H24" s="154" t="n">
        <x:f>IF(B24="Tauko",C24/60,0)</x:f>
        <x:v>0</x:v>
      </x:c>
      <x:c r="I24" s="154" t="n">
        <x:f>SUM($F$5:F24)</x:f>
        <x:v>5.416666666666667</x:v>
      </x:c>
      <x:c r="J24" s="154" t="n">
        <x:f>SUM($G$5:G24)</x:f>
        <x:v>6.916666666666667</x:v>
      </x:c>
      <x:c r="K24" s="154" t="str">
        <x:f>IF(I24&gt;4.5,"Tarkista 45 min tauko","OK")</x:f>
        <x:v>Tarkista 45 min tauko</x:v>
      </x:c>
      <x:c r="L24" s="154" t="str">
        <x:f>IF(I24&gt;10,"Ajoraja yli",IF(J24&gt;13,"Työpäivä pitkä","OK"))</x:f>
        <x:v>OK</x:v>
      </x:c>
      <x:c r="M24" s="151"/>
      <x:c r="N24" s="151"/>
    </x:row>
    <x:row r="25">
      <x:c r="A25" s="151"/>
      <x:c r="B25" s="151"/>
      <x:c r="C25" s="151"/>
      <x:c r="D25" s="155" t="str">
        <x:f>IF(A25="","",E24)</x:f>
      </x:c>
      <x:c r="E25" s="156" t="str">
        <x:f>IF(A25="","",D25+C25/1440)</x:f>
      </x:c>
      <x:c r="F25" s="154" t="n">
        <x:f>IF(B25="Ajo",C25/60,0)</x:f>
        <x:v>0</x:v>
      </x:c>
      <x:c r="G25" s="154" t="n">
        <x:f>IF(OR(B25="Ajo",B25="Lastaus",B25="Purku",B25="Odotus"),C25/60,0)</x:f>
        <x:v>0</x:v>
      </x:c>
      <x:c r="H25" s="154" t="n">
        <x:f>IF(B25="Tauko",C25/60,0)</x:f>
        <x:v>0</x:v>
      </x:c>
      <x:c r="I25" s="154" t="n">
        <x:f>SUM($F$5:F25)</x:f>
        <x:v>5.416666666666667</x:v>
      </x:c>
      <x:c r="J25" s="154" t="n">
        <x:f>SUM($G$5:G25)</x:f>
        <x:v>6.916666666666667</x:v>
      </x:c>
      <x:c r="K25" s="154" t="str">
        <x:f>IF(I25&gt;4.5,"Tarkista 45 min tauko","OK")</x:f>
        <x:v>Tarkista 45 min tauko</x:v>
      </x:c>
      <x:c r="L25" s="154" t="str">
        <x:f>IF(I25&gt;10,"Ajoraja yli",IF(J25&gt;13,"Työpäivä pitkä","OK"))</x:f>
        <x:v>OK</x:v>
      </x:c>
      <x:c r="M25" s="151"/>
      <x:c r="N25" s="151"/>
    </x:row>
    <x:row r="26">
      <x:c r="A26" s="151"/>
      <x:c r="B26" s="151"/>
      <x:c r="C26" s="151"/>
      <x:c r="D26" s="155" t="str">
        <x:f>IF(A26="","",E25)</x:f>
      </x:c>
      <x:c r="E26" s="156" t="str">
        <x:f>IF(A26="","",D26+C26/1440)</x:f>
      </x:c>
      <x:c r="F26" s="154" t="n">
        <x:f>IF(B26="Ajo",C26/60,0)</x:f>
        <x:v>0</x:v>
      </x:c>
      <x:c r="G26" s="154" t="n">
        <x:f>IF(OR(B26="Ajo",B26="Lastaus",B26="Purku",B26="Odotus"),C26/60,0)</x:f>
        <x:v>0</x:v>
      </x:c>
      <x:c r="H26" s="154" t="n">
        <x:f>IF(B26="Tauko",C26/60,0)</x:f>
        <x:v>0</x:v>
      </x:c>
      <x:c r="I26" s="154" t="n">
        <x:f>SUM($F$5:F26)</x:f>
        <x:v>5.416666666666667</x:v>
      </x:c>
      <x:c r="J26" s="154" t="n">
        <x:f>SUM($G$5:G26)</x:f>
        <x:v>6.916666666666667</x:v>
      </x:c>
      <x:c r="K26" s="154" t="str">
        <x:f>IF(I26&gt;4.5,"Tarkista 45 min tauko","OK")</x:f>
        <x:v>Tarkista 45 min tauko</x:v>
      </x:c>
      <x:c r="L26" s="154" t="str">
        <x:f>IF(I26&gt;10,"Ajoraja yli",IF(J26&gt;13,"Työpäivä pitkä","OK"))</x:f>
        <x:v>OK</x:v>
      </x:c>
      <x:c r="M26" s="151"/>
      <x:c r="N26" s="151"/>
    </x:row>
    <x:row r="27">
      <x:c r="A27" s="151"/>
      <x:c r="B27" s="151"/>
      <x:c r="C27" s="151"/>
      <x:c r="D27" s="155" t="str">
        <x:f>IF(A27="","",E26)</x:f>
      </x:c>
      <x:c r="E27" s="156" t="str">
        <x:f>IF(A27="","",D27+C27/1440)</x:f>
      </x:c>
      <x:c r="F27" s="154" t="n">
        <x:f>IF(B27="Ajo",C27/60,0)</x:f>
        <x:v>0</x:v>
      </x:c>
      <x:c r="G27" s="154" t="n">
        <x:f>IF(OR(B27="Ajo",B27="Lastaus",B27="Purku",B27="Odotus"),C27/60,0)</x:f>
        <x:v>0</x:v>
      </x:c>
      <x:c r="H27" s="154" t="n">
        <x:f>IF(B27="Tauko",C27/60,0)</x:f>
        <x:v>0</x:v>
      </x:c>
      <x:c r="I27" s="154" t="n">
        <x:f>SUM($F$5:F27)</x:f>
        <x:v>5.416666666666667</x:v>
      </x:c>
      <x:c r="J27" s="154" t="n">
        <x:f>SUM($G$5:G27)</x:f>
        <x:v>6.916666666666667</x:v>
      </x:c>
      <x:c r="K27" s="154" t="str">
        <x:f>IF(I27&gt;4.5,"Tarkista 45 min tauko","OK")</x:f>
        <x:v>Tarkista 45 min tauko</x:v>
      </x:c>
      <x:c r="L27" s="154" t="str">
        <x:f>IF(I27&gt;10,"Ajoraja yli",IF(J27&gt;13,"Työpäivä pitkä","OK"))</x:f>
        <x:v>OK</x:v>
      </x:c>
      <x:c r="M27" s="151"/>
      <x:c r="N27" s="151"/>
    </x:row>
    <x:row r="28">
      <x:c r="A28" s="151"/>
      <x:c r="B28" s="151"/>
      <x:c r="C28" s="151"/>
      <x:c r="D28" s="155" t="str">
        <x:f>IF(A28="","",E27)</x:f>
      </x:c>
      <x:c r="E28" s="156" t="str">
        <x:f>IF(A28="","",D28+C28/1440)</x:f>
      </x:c>
      <x:c r="F28" s="154" t="n">
        <x:f>IF(B28="Ajo",C28/60,0)</x:f>
        <x:v>0</x:v>
      </x:c>
      <x:c r="G28" s="154" t="n">
        <x:f>IF(OR(B28="Ajo",B28="Lastaus",B28="Purku",B28="Odotus"),C28/60,0)</x:f>
        <x:v>0</x:v>
      </x:c>
      <x:c r="H28" s="154" t="n">
        <x:f>IF(B28="Tauko",C28/60,0)</x:f>
        <x:v>0</x:v>
      </x:c>
      <x:c r="I28" s="154" t="n">
        <x:f>SUM($F$5:F28)</x:f>
        <x:v>5.416666666666667</x:v>
      </x:c>
      <x:c r="J28" s="154" t="n">
        <x:f>SUM($G$5:G28)</x:f>
        <x:v>6.916666666666667</x:v>
      </x:c>
      <x:c r="K28" s="154" t="str">
        <x:f>IF(I28&gt;4.5,"Tarkista 45 min tauko","OK")</x:f>
        <x:v>Tarkista 45 min tauko</x:v>
      </x:c>
      <x:c r="L28" s="154" t="str">
        <x:f>IF(I28&gt;10,"Ajoraja yli",IF(J28&gt;13,"Työpäivä pitkä","OK"))</x:f>
        <x:v>OK</x:v>
      </x:c>
      <x:c r="M28" s="151"/>
      <x:c r="N28" s="151"/>
    </x:row>
    <x:row r="29">
      <x:c r="A29" s="151"/>
      <x:c r="B29" s="151"/>
      <x:c r="C29" s="151"/>
      <x:c r="D29" s="155" t="str">
        <x:f>IF(A29="","",E28)</x:f>
      </x:c>
      <x:c r="E29" s="156" t="str">
        <x:f>IF(A29="","",D29+C29/1440)</x:f>
      </x:c>
      <x:c r="F29" s="154" t="n">
        <x:f>IF(B29="Ajo",C29/60,0)</x:f>
        <x:v>0</x:v>
      </x:c>
      <x:c r="G29" s="154" t="n">
        <x:f>IF(OR(B29="Ajo",B29="Lastaus",B29="Purku",B29="Odotus"),C29/60,0)</x:f>
        <x:v>0</x:v>
      </x:c>
      <x:c r="H29" s="154" t="n">
        <x:f>IF(B29="Tauko",C29/60,0)</x:f>
        <x:v>0</x:v>
      </x:c>
      <x:c r="I29" s="154" t="n">
        <x:f>SUM($F$5:F29)</x:f>
        <x:v>5.416666666666667</x:v>
      </x:c>
      <x:c r="J29" s="154" t="n">
        <x:f>SUM($G$5:G29)</x:f>
        <x:v>6.916666666666667</x:v>
      </x:c>
      <x:c r="K29" s="154" t="str">
        <x:f>IF(I29&gt;4.5,"Tarkista 45 min tauko","OK")</x:f>
        <x:v>Tarkista 45 min tauko</x:v>
      </x:c>
      <x:c r="L29" s="154" t="str">
        <x:f>IF(I29&gt;10,"Ajoraja yli",IF(J29&gt;13,"Työpäivä pitkä","OK"))</x:f>
        <x:v>OK</x:v>
      </x:c>
      <x:c r="M29" s="151"/>
      <x:c r="N29" s="151"/>
    </x:row>
    <x:row r="30">
      <x:c r="A30" s="151"/>
      <x:c r="B30" s="151"/>
      <x:c r="C30" s="151"/>
      <x:c r="D30" s="155" t="str">
        <x:f>IF(A30="","",E29)</x:f>
      </x:c>
      <x:c r="E30" s="156" t="str">
        <x:f>IF(A30="","",D30+C30/1440)</x:f>
      </x:c>
      <x:c r="F30" s="154" t="n">
        <x:f>IF(B30="Ajo",C30/60,0)</x:f>
        <x:v>0</x:v>
      </x:c>
      <x:c r="G30" s="154" t="n">
        <x:f>IF(OR(B30="Ajo",B30="Lastaus",B30="Purku",B30="Odotus"),C30/60,0)</x:f>
        <x:v>0</x:v>
      </x:c>
      <x:c r="H30" s="154" t="n">
        <x:f>IF(B30="Tauko",C30/60,0)</x:f>
        <x:v>0</x:v>
      </x:c>
      <x:c r="I30" s="154" t="n">
        <x:f>SUM($F$5:F30)</x:f>
        <x:v>5.416666666666667</x:v>
      </x:c>
      <x:c r="J30" s="154" t="n">
        <x:f>SUM($G$5:G30)</x:f>
        <x:v>6.916666666666667</x:v>
      </x:c>
      <x:c r="K30" s="154" t="str">
        <x:f>IF(I30&gt;4.5,"Tarkista 45 min tauko","OK")</x:f>
        <x:v>Tarkista 45 min tauko</x:v>
      </x:c>
      <x:c r="L30" s="154" t="str">
        <x:f>IF(I30&gt;10,"Ajoraja yli",IF(J30&gt;13,"Työpäivä pitkä","OK"))</x:f>
        <x:v>OK</x:v>
      </x:c>
      <x:c r="M30" s="151"/>
      <x:c r="N30" s="151"/>
    </x:row>
    <x:row r="31">
      <x:c r="A31" s="151"/>
      <x:c r="B31" s="151"/>
      <x:c r="C31" s="151"/>
      <x:c r="D31" s="155" t="str">
        <x:f>IF(A31="","",E30)</x:f>
      </x:c>
      <x:c r="E31" s="156" t="str">
        <x:f>IF(A31="","",D31+C31/1440)</x:f>
      </x:c>
      <x:c r="F31" s="154" t="n">
        <x:f>IF(B31="Ajo",C31/60,0)</x:f>
        <x:v>0</x:v>
      </x:c>
      <x:c r="G31" s="154" t="n">
        <x:f>IF(OR(B31="Ajo",B31="Lastaus",B31="Purku",B31="Odotus"),C31/60,0)</x:f>
        <x:v>0</x:v>
      </x:c>
      <x:c r="H31" s="154" t="n">
        <x:f>IF(B31="Tauko",C31/60,0)</x:f>
        <x:v>0</x:v>
      </x:c>
      <x:c r="I31" s="154" t="n">
        <x:f>SUM($F$5:F31)</x:f>
        <x:v>5.416666666666667</x:v>
      </x:c>
      <x:c r="J31" s="154" t="n">
        <x:f>SUM($G$5:G31)</x:f>
        <x:v>6.916666666666667</x:v>
      </x:c>
      <x:c r="K31" s="154" t="str">
        <x:f>IF(I31&gt;4.5,"Tarkista 45 min tauko","OK")</x:f>
        <x:v>Tarkista 45 min tauko</x:v>
      </x:c>
      <x:c r="L31" s="154" t="str">
        <x:f>IF(I31&gt;10,"Ajoraja yli",IF(J31&gt;13,"Työpäivä pitkä","OK"))</x:f>
        <x:v>OK</x:v>
      </x:c>
      <x:c r="M31" s="151"/>
      <x:c r="N31" s="151"/>
    </x:row>
    <x:row r="32">
      <x:c r="A32" s="151"/>
      <x:c r="B32" s="151"/>
      <x:c r="C32" s="151"/>
      <x:c r="D32" s="155" t="str">
        <x:f>IF(A32="","",E31)</x:f>
      </x:c>
      <x:c r="E32" s="156" t="str">
        <x:f>IF(A32="","",D32+C32/1440)</x:f>
      </x:c>
      <x:c r="F32" s="154" t="n">
        <x:f>IF(B32="Ajo",C32/60,0)</x:f>
        <x:v>0</x:v>
      </x:c>
      <x:c r="G32" s="154" t="n">
        <x:f>IF(OR(B32="Ajo",B32="Lastaus",B32="Purku",B32="Odotus"),C32/60,0)</x:f>
        <x:v>0</x:v>
      </x:c>
      <x:c r="H32" s="154" t="n">
        <x:f>IF(B32="Tauko",C32/60,0)</x:f>
        <x:v>0</x:v>
      </x:c>
      <x:c r="I32" s="154" t="n">
        <x:f>SUM($F$5:F32)</x:f>
        <x:v>5.416666666666667</x:v>
      </x:c>
      <x:c r="J32" s="154" t="n">
        <x:f>SUM($G$5:G32)</x:f>
        <x:v>6.916666666666667</x:v>
      </x:c>
      <x:c r="K32" s="154" t="str">
        <x:f>IF(I32&gt;4.5,"Tarkista 45 min tauko","OK")</x:f>
        <x:v>Tarkista 45 min tauko</x:v>
      </x:c>
      <x:c r="L32" s="154" t="str">
        <x:f>IF(I32&gt;10,"Ajoraja yli",IF(J32&gt;13,"Työpäivä pitkä","OK"))</x:f>
        <x:v>OK</x:v>
      </x:c>
      <x:c r="M32" s="151"/>
      <x:c r="N32" s="151"/>
    </x:row>
    <x:row r="33">
      <x:c r="A33" s="151"/>
      <x:c r="B33" s="151"/>
      <x:c r="C33" s="151"/>
      <x:c r="D33" s="155" t="str">
        <x:f>IF(A33="","",E32)</x:f>
      </x:c>
      <x:c r="E33" s="156" t="str">
        <x:f>IF(A33="","",D33+C33/1440)</x:f>
      </x:c>
      <x:c r="F33" s="154" t="n">
        <x:f>IF(B33="Ajo",C33/60,0)</x:f>
        <x:v>0</x:v>
      </x:c>
      <x:c r="G33" s="154" t="n">
        <x:f>IF(OR(B33="Ajo",B33="Lastaus",B33="Purku",B33="Odotus"),C33/60,0)</x:f>
        <x:v>0</x:v>
      </x:c>
      <x:c r="H33" s="154" t="n">
        <x:f>IF(B33="Tauko",C33/60,0)</x:f>
        <x:v>0</x:v>
      </x:c>
      <x:c r="I33" s="154" t="n">
        <x:f>SUM($F$5:F33)</x:f>
        <x:v>5.416666666666667</x:v>
      </x:c>
      <x:c r="J33" s="154" t="n">
        <x:f>SUM($G$5:G33)</x:f>
        <x:v>6.916666666666667</x:v>
      </x:c>
      <x:c r="K33" s="154" t="str">
        <x:f>IF(I33&gt;4.5,"Tarkista 45 min tauko","OK")</x:f>
        <x:v>Tarkista 45 min tauko</x:v>
      </x:c>
      <x:c r="L33" s="154" t="str">
        <x:f>IF(I33&gt;10,"Ajoraja yli",IF(J33&gt;13,"Työpäivä pitkä","OK"))</x:f>
        <x:v>OK</x:v>
      </x:c>
      <x:c r="M33" s="151"/>
      <x:c r="N33" s="151"/>
    </x:row>
    <x:row r="34">
      <x:c r="A34" s="151"/>
      <x:c r="B34" s="151"/>
      <x:c r="C34" s="151"/>
      <x:c r="D34" s="155" t="str">
        <x:f>IF(A34="","",E33)</x:f>
      </x:c>
      <x:c r="E34" s="156" t="str">
        <x:f>IF(A34="","",D34+C34/1440)</x:f>
      </x:c>
      <x:c r="F34" s="154" t="n">
        <x:f>IF(B34="Ajo",C34/60,0)</x:f>
        <x:v>0</x:v>
      </x:c>
      <x:c r="G34" s="154" t="n">
        <x:f>IF(OR(B34="Ajo",B34="Lastaus",B34="Purku",B34="Odotus"),C34/60,0)</x:f>
        <x:v>0</x:v>
      </x:c>
      <x:c r="H34" s="154" t="n">
        <x:f>IF(B34="Tauko",C34/60,0)</x:f>
        <x:v>0</x:v>
      </x:c>
      <x:c r="I34" s="154" t="n">
        <x:f>SUM($F$5:F34)</x:f>
        <x:v>5.416666666666667</x:v>
      </x:c>
      <x:c r="J34" s="154" t="n">
        <x:f>SUM($G$5:G34)</x:f>
        <x:v>6.916666666666667</x:v>
      </x:c>
      <x:c r="K34" s="154" t="str">
        <x:f>IF(I34&gt;4.5,"Tarkista 45 min tauko","OK")</x:f>
        <x:v>Tarkista 45 min tauko</x:v>
      </x:c>
      <x:c r="L34" s="154" t="str">
        <x:f>IF(I34&gt;10,"Ajoraja yli",IF(J34&gt;13,"Työpäivä pitkä","OK"))</x:f>
        <x:v>OK</x:v>
      </x:c>
      <x:c r="M34" s="151"/>
      <x:c r="N34" s="151"/>
    </x:row>
    <x:row r="35">
      <x:c r="A35" s="151"/>
      <x:c r="B35" s="151"/>
      <x:c r="C35" s="151"/>
      <x:c r="D35" s="155" t="str">
        <x:f>IF(A35="","",E34)</x:f>
      </x:c>
      <x:c r="E35" s="156" t="str">
        <x:f>IF(A35="","",D35+C35/1440)</x:f>
      </x:c>
      <x:c r="F35" s="154" t="n">
        <x:f>IF(B35="Ajo",C35/60,0)</x:f>
        <x:v>0</x:v>
      </x:c>
      <x:c r="G35" s="154" t="n">
        <x:f>IF(OR(B35="Ajo",B35="Lastaus",B35="Purku",B35="Odotus"),C35/60,0)</x:f>
        <x:v>0</x:v>
      </x:c>
      <x:c r="H35" s="154" t="n">
        <x:f>IF(B35="Tauko",C35/60,0)</x:f>
        <x:v>0</x:v>
      </x:c>
      <x:c r="I35" s="154" t="n">
        <x:f>SUM($F$5:F35)</x:f>
        <x:v>5.416666666666667</x:v>
      </x:c>
      <x:c r="J35" s="154" t="n">
        <x:f>SUM($G$5:G35)</x:f>
        <x:v>6.916666666666667</x:v>
      </x:c>
      <x:c r="K35" s="154" t="str">
        <x:f>IF(I35&gt;4.5,"Tarkista 45 min tauko","OK")</x:f>
        <x:v>Tarkista 45 min tauko</x:v>
      </x:c>
      <x:c r="L35" s="154" t="str">
        <x:f>IF(I35&gt;10,"Ajoraja yli",IF(J35&gt;13,"Työpäivä pitkä","OK"))</x:f>
        <x:v>OK</x:v>
      </x:c>
      <x:c r="M35" s="151"/>
      <x:c r="N35" s="151"/>
    </x:row>
    <x:row r="36">
      <x:c r="A36" s="151"/>
      <x:c r="B36" s="151"/>
      <x:c r="C36" s="151"/>
      <x:c r="D36" s="155" t="str">
        <x:f>IF(A36="","",E35)</x:f>
      </x:c>
      <x:c r="E36" s="156" t="str">
        <x:f>IF(A36="","",D36+C36/1440)</x:f>
      </x:c>
      <x:c r="F36" s="154" t="n">
        <x:f>IF(B36="Ajo",C36/60,0)</x:f>
        <x:v>0</x:v>
      </x:c>
      <x:c r="G36" s="154" t="n">
        <x:f>IF(OR(B36="Ajo",B36="Lastaus",B36="Purku",B36="Odotus"),C36/60,0)</x:f>
        <x:v>0</x:v>
      </x:c>
      <x:c r="H36" s="154" t="n">
        <x:f>IF(B36="Tauko",C36/60,0)</x:f>
        <x:v>0</x:v>
      </x:c>
      <x:c r="I36" s="154" t="n">
        <x:f>SUM($F$5:F36)</x:f>
        <x:v>5.416666666666667</x:v>
      </x:c>
      <x:c r="J36" s="154" t="n">
        <x:f>SUM($G$5:G36)</x:f>
        <x:v>6.916666666666667</x:v>
      </x:c>
      <x:c r="K36" s="154" t="str">
        <x:f>IF(I36&gt;4.5,"Tarkista 45 min tauko","OK")</x:f>
        <x:v>Tarkista 45 min tauko</x:v>
      </x:c>
      <x:c r="L36" s="154" t="str">
        <x:f>IF(I36&gt;10,"Ajoraja yli",IF(J36&gt;13,"Työpäivä pitkä","OK"))</x:f>
        <x:v>OK</x:v>
      </x:c>
      <x:c r="M36" s="151"/>
      <x:c r="N36" s="151"/>
    </x:row>
    <x:row r="37">
      <x:c r="A37" s="151"/>
      <x:c r="B37" s="151"/>
      <x:c r="C37" s="151"/>
      <x:c r="D37" s="155" t="str">
        <x:f>IF(A37="","",E36)</x:f>
      </x:c>
      <x:c r="E37" s="156" t="str">
        <x:f>IF(A37="","",D37+C37/1440)</x:f>
      </x:c>
      <x:c r="F37" s="154" t="n">
        <x:f>IF(B37="Ajo",C37/60,0)</x:f>
        <x:v>0</x:v>
      </x:c>
      <x:c r="G37" s="154" t="n">
        <x:f>IF(OR(B37="Ajo",B37="Lastaus",B37="Purku",B37="Odotus"),C37/60,0)</x:f>
        <x:v>0</x:v>
      </x:c>
      <x:c r="H37" s="154" t="n">
        <x:f>IF(B37="Tauko",C37/60,0)</x:f>
        <x:v>0</x:v>
      </x:c>
      <x:c r="I37" s="154" t="n">
        <x:f>SUM($F$5:F37)</x:f>
        <x:v>5.416666666666667</x:v>
      </x:c>
      <x:c r="J37" s="154" t="n">
        <x:f>SUM($G$5:G37)</x:f>
        <x:v>6.916666666666667</x:v>
      </x:c>
      <x:c r="K37" s="154" t="str">
        <x:f>IF(I37&gt;4.5,"Tarkista 45 min tauko","OK")</x:f>
        <x:v>Tarkista 45 min tauko</x:v>
      </x:c>
      <x:c r="L37" s="154" t="str">
        <x:f>IF(I37&gt;10,"Ajoraja yli",IF(J37&gt;13,"Työpäivä pitkä","OK"))</x:f>
        <x:v>OK</x:v>
      </x:c>
      <x:c r="M37" s="151"/>
      <x:c r="N37" s="151"/>
    </x:row>
    <x:row r="38">
      <x:c r="A38" s="151"/>
      <x:c r="B38" s="151"/>
      <x:c r="C38" s="151"/>
      <x:c r="D38" s="155" t="str">
        <x:f>IF(A38="","",E37)</x:f>
      </x:c>
      <x:c r="E38" s="156" t="str">
        <x:f>IF(A38="","",D38+C38/1440)</x:f>
      </x:c>
      <x:c r="F38" s="154" t="n">
        <x:f>IF(B38="Ajo",C38/60,0)</x:f>
        <x:v>0</x:v>
      </x:c>
      <x:c r="G38" s="154" t="n">
        <x:f>IF(OR(B38="Ajo",B38="Lastaus",B38="Purku",B38="Odotus"),C38/60,0)</x:f>
        <x:v>0</x:v>
      </x:c>
      <x:c r="H38" s="154" t="n">
        <x:f>IF(B38="Tauko",C38/60,0)</x:f>
        <x:v>0</x:v>
      </x:c>
      <x:c r="I38" s="154" t="n">
        <x:f>SUM($F$5:F38)</x:f>
        <x:v>5.416666666666667</x:v>
      </x:c>
      <x:c r="J38" s="154" t="n">
        <x:f>SUM($G$5:G38)</x:f>
        <x:v>6.916666666666667</x:v>
      </x:c>
      <x:c r="K38" s="154" t="str">
        <x:f>IF(I38&gt;4.5,"Tarkista 45 min tauko","OK")</x:f>
        <x:v>Tarkista 45 min tauko</x:v>
      </x:c>
      <x:c r="L38" s="154" t="str">
        <x:f>IF(I38&gt;10,"Ajoraja yli",IF(J38&gt;13,"Työpäivä pitkä","OK"))</x:f>
        <x:v>OK</x:v>
      </x:c>
      <x:c r="M38" s="151"/>
      <x:c r="N38" s="151"/>
    </x:row>
    <x:row r="39">
      <x:c r="A39" s="151"/>
      <x:c r="B39" s="151"/>
      <x:c r="C39" s="151"/>
      <x:c r="D39" s="155" t="str">
        <x:f>IF(A39="","",E38)</x:f>
      </x:c>
      <x:c r="E39" s="156" t="str">
        <x:f>IF(A39="","",D39+C39/1440)</x:f>
      </x:c>
      <x:c r="F39" s="154" t="n">
        <x:f>IF(B39="Ajo",C39/60,0)</x:f>
        <x:v>0</x:v>
      </x:c>
      <x:c r="G39" s="154" t="n">
        <x:f>IF(OR(B39="Ajo",B39="Lastaus",B39="Purku",B39="Odotus"),C39/60,0)</x:f>
        <x:v>0</x:v>
      </x:c>
      <x:c r="H39" s="154" t="n">
        <x:f>IF(B39="Tauko",C39/60,0)</x:f>
        <x:v>0</x:v>
      </x:c>
      <x:c r="I39" s="154" t="n">
        <x:f>SUM($F$5:F39)</x:f>
        <x:v>5.416666666666667</x:v>
      </x:c>
      <x:c r="J39" s="154" t="n">
        <x:f>SUM($G$5:G39)</x:f>
        <x:v>6.916666666666667</x:v>
      </x:c>
      <x:c r="K39" s="154" t="str">
        <x:f>IF(I39&gt;4.5,"Tarkista 45 min tauko","OK")</x:f>
        <x:v>Tarkista 45 min tauko</x:v>
      </x:c>
      <x:c r="L39" s="154" t="str">
        <x:f>IF(I39&gt;10,"Ajoraja yli",IF(J39&gt;13,"Työpäivä pitkä","OK"))</x:f>
        <x:v>OK</x:v>
      </x:c>
      <x:c r="M39" s="151"/>
      <x:c r="N39" s="151"/>
    </x:row>
    <x:row r="40">
      <x:c r="A40" s="151"/>
      <x:c r="B40" s="151"/>
      <x:c r="C40" s="151"/>
      <x:c r="D40" s="155" t="str">
        <x:f>IF(A40="","",E39)</x:f>
      </x:c>
      <x:c r="E40" s="156" t="str">
        <x:f>IF(A40="","",D40+C40/1440)</x:f>
      </x:c>
      <x:c r="F40" s="154" t="n">
        <x:f>IF(B40="Ajo",C40/60,0)</x:f>
        <x:v>0</x:v>
      </x:c>
      <x:c r="G40" s="154" t="n">
        <x:f>IF(OR(B40="Ajo",B40="Lastaus",B40="Purku",B40="Odotus"),C40/60,0)</x:f>
        <x:v>0</x:v>
      </x:c>
      <x:c r="H40" s="154" t="n">
        <x:f>IF(B40="Tauko",C40/60,0)</x:f>
        <x:v>0</x:v>
      </x:c>
      <x:c r="I40" s="154" t="n">
        <x:f>SUM($F$5:F40)</x:f>
        <x:v>5.416666666666667</x:v>
      </x:c>
      <x:c r="J40" s="154" t="n">
        <x:f>SUM($G$5:G40)</x:f>
        <x:v>6.916666666666667</x:v>
      </x:c>
      <x:c r="K40" s="154" t="str">
        <x:f>IF(I40&gt;4.5,"Tarkista 45 min tauko","OK")</x:f>
        <x:v>Tarkista 45 min tauko</x:v>
      </x:c>
      <x:c r="L40" s="154" t="str">
        <x:f>IF(I40&gt;10,"Ajoraja yli",IF(J40&gt;13,"Työpäivä pitkä","OK"))</x:f>
        <x:v>OK</x:v>
      </x:c>
      <x:c r="M40" s="151"/>
      <x:c r="N40" s="151"/>
    </x:row>
    <x:row r="41">
      <x:c r="A41" s="151"/>
      <x:c r="B41" s="151"/>
      <x:c r="C41" s="151"/>
      <x:c r="D41" s="155"/>
      <x:c r="E41" s="156"/>
      <x:c r="F41" s="154"/>
      <x:c r="G41" s="154"/>
      <x:c r="H41" s="154"/>
      <x:c r="I41" s="154"/>
      <x:c r="J41" s="154"/>
      <x:c r="K41" s="154"/>
      <x:c r="L41" s="154"/>
      <x:c r="M41" s="151"/>
      <x:c r="N41" s="151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98d4097c6a0c460c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4" hidden="0" customWidth="1"/>
  </x:cols>
  <x:sheetData>
    <x:row r="1">
      <x:c r="A1" s="142" t="str">
        <x:v>3. Tyhjä ajo / Empty km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Seuraa tyhjän ajon osuutta reiteittäin ja kuljetuksittain.</x:v>
      </x:c>
    </x:row>
    <x:row r="4">
      <x:c r="A4" s="148" t="str">
        <x:v>Keikka</x:v>
      </x:c>
      <x:c r="B4" s="148" t="str">
        <x:v>Reitti</x:v>
      </x:c>
      <x:c r="C4" s="148" t="str">
        <x:v>Loaded km</x:v>
      </x:c>
      <x:c r="D4" s="148" t="str">
        <x:v>Empty km</x:v>
      </x:c>
      <x:c r="E4" s="148" t="str">
        <x:v>Total km</x:v>
      </x:c>
      <x:c r="F4" s="148" t="str">
        <x:v>Empty %</x:v>
      </x:c>
      <x:c r="G4" s="148" t="str">
        <x:v>Myynti €</x:v>
      </x:c>
      <x:c r="H4" s="148" t="str">
        <x:v>Kulut €</x:v>
      </x:c>
      <x:c r="I4" s="148" t="str">
        <x:v>Kate €</x:v>
      </x:c>
      <x:c r="J4" s="148" t="str">
        <x:v>€/km loaded</x:v>
      </x:c>
      <x:c r="K4" s="148" t="str">
        <x:v>Status</x:v>
      </x:c>
      <x:c r="L4" s="148" t="str">
        <x:v>Huomio</x:v>
      </x:c>
    </x:row>
    <x:row r="5">
      <x:c r="A5" s="151" t="str">
        <x:v>K-001</x:v>
      </x:c>
      <x:c r="B5" s="151" t="str">
        <x:v>Vantaa → Tampere → Pori</x:v>
      </x:c>
      <x:c r="C5" s="151" t="n">
        <x:v>290</x:v>
      </x:c>
      <x:c r="D5" s="151" t="n">
        <x:v>40</x:v>
      </x:c>
      <x:c r="E5" s="154" t="n">
        <x:f>IF(A5="","",C5+D5)</x:f>
        <x:v>330</x:v>
      </x:c>
      <x:c r="F5" s="158" t="n">
        <x:f>IF(E5=0,"",D5/E5)</x:f>
        <x:v>0.12121212121212122</x:v>
      </x:c>
      <x:c r="G5" s="159" t="n">
        <x:v>850</x:v>
      </x:c>
      <x:c r="H5" s="159" t="n">
        <x:v>680</x:v>
      </x:c>
      <x:c r="I5" s="160" t="n">
        <x:f>IF(A5="","",G5-H5)</x:f>
        <x:v>170</x:v>
      </x:c>
      <x:c r="J5" s="160" t="n">
        <x:f>IF(C5=0,"",G5/C5)</x:f>
        <x:v>2.9310344827586206</x:v>
      </x:c>
      <x:c r="K5" s="154" t="str">
        <x:f>IF(A5="","",IF(F5&gt;0.18,"Punainen",IF(F5&gt;0.15,"Keltainen","OK")))</x:f>
        <x:v>OK</x:v>
      </x:c>
      <x:c r="L5" s="151" t="str"/>
    </x:row>
    <x:row r="6">
      <x:c r="A6" s="151" t="str">
        <x:v>K-002</x:v>
      </x:c>
      <x:c r="B6" s="151" t="str">
        <x:v>Vantaa → Oulu</x:v>
      </x:c>
      <x:c r="C6" s="151" t="n">
        <x:v>600</x:v>
      </x:c>
      <x:c r="D6" s="151" t="n">
        <x:v>80</x:v>
      </x:c>
      <x:c r="E6" s="154" t="n">
        <x:f>IF(A6="","",C6+D6)</x:f>
        <x:v>680</x:v>
      </x:c>
      <x:c r="F6" s="158" t="n">
        <x:f>IF(E6=0,"",D6/E6)</x:f>
        <x:v>0.11764705882352941</x:v>
      </x:c>
      <x:c r="G6" s="159" t="n">
        <x:v>1380</x:v>
      </x:c>
      <x:c r="H6" s="159" t="n">
        <x:v>1120</x:v>
      </x:c>
      <x:c r="I6" s="160" t="n">
        <x:f>IF(A6="","",G6-H6)</x:f>
        <x:v>260</x:v>
      </x:c>
      <x:c r="J6" s="160" t="n">
        <x:f>IF(C6=0,"",G6/C6)</x:f>
        <x:v>2.3</x:v>
      </x:c>
      <x:c r="K6" s="154" t="str">
        <x:f>IF(A6="","",IF(F6&gt;0.18,"Punainen",IF(F6&gt;0.15,"Keltainen","OK")))</x:f>
        <x:v>OK</x:v>
      </x:c>
      <x:c r="L6" s="151" t="str"/>
    </x:row>
    <x:row r="7">
      <x:c r="A7" s="151" t="str">
        <x:v>K-003</x:v>
      </x:c>
      <x:c r="B7" s="151" t="str">
        <x:v>Saksa → Hollanti</x:v>
      </x:c>
      <x:c r="C7" s="151" t="n">
        <x:v>420</x:v>
      </x:c>
      <x:c r="D7" s="151" t="n">
        <x:v>60</x:v>
      </x:c>
      <x:c r="E7" s="154" t="n">
        <x:f>IF(A7="","",C7+D7)</x:f>
        <x:v>480</x:v>
      </x:c>
      <x:c r="F7" s="158" t="n">
        <x:f>IF(E7=0,"",D7/E7)</x:f>
        <x:v>0.125</x:v>
      </x:c>
      <x:c r="G7" s="159" t="n">
        <x:v>1180</x:v>
      </x:c>
      <x:c r="H7" s="159" t="n">
        <x:v>980</x:v>
      </x:c>
      <x:c r="I7" s="160" t="n">
        <x:f>IF(A7="","",G7-H7)</x:f>
        <x:v>200</x:v>
      </x:c>
      <x:c r="J7" s="160" t="n">
        <x:f>IF(C7=0,"",G7/C7)</x:f>
        <x:v>2.8095238095238093</x:v>
      </x:c>
      <x:c r="K7" s="154" t="str">
        <x:f>IF(A7="","",IF(F7&gt;0.18,"Punainen",IF(F7&gt;0.15,"Keltainen","OK")))</x:f>
        <x:v>OK</x:v>
      </x:c>
      <x:c r="L7" s="151" t="str"/>
    </x:row>
    <x:row r="8">
      <x:c r="A8" s="151"/>
      <x:c r="B8" s="151"/>
      <x:c r="C8" s="151"/>
      <x:c r="D8" s="151"/>
      <x:c r="E8" s="154" t="str">
        <x:f>IF(A8="","",C8+D8)</x:f>
      </x:c>
      <x:c r="F8" s="158" t="str">
        <x:f>IF(E8=0,"",D8/E8)</x:f>
      </x:c>
      <x:c r="G8" s="159">
        <x:f>IF(A8="","",G8)</x:f>
      </x:c>
      <x:c r="H8" s="159">
        <x:f>IF(A8="","",H8)</x:f>
      </x:c>
      <x:c r="I8" s="160" t="str">
        <x:f>IF(A8="","",G8-H8)</x:f>
      </x:c>
      <x:c r="J8" s="160" t="str">
        <x:f>IF(C8=0,"",G8/C8)</x:f>
      </x:c>
      <x:c r="K8" s="154" t="str">
        <x:f>IF(A8="","",IF(F8&gt;0.18,"Punainen",IF(F8&gt;0.15,"Keltainen","OK")))</x:f>
      </x:c>
      <x:c r="L8" s="151"/>
    </x:row>
    <x:row r="9">
      <x:c r="A9" s="151"/>
      <x:c r="B9" s="151"/>
      <x:c r="C9" s="151"/>
      <x:c r="D9" s="151"/>
      <x:c r="E9" s="154" t="str">
        <x:f>IF(A9="","",C9+D9)</x:f>
      </x:c>
      <x:c r="F9" s="158" t="str">
        <x:f>IF(E9=0,"",D9/E9)</x:f>
      </x:c>
      <x:c r="G9" s="159">
        <x:f>IF(A9="","",G9)</x:f>
      </x:c>
      <x:c r="H9" s="159">
        <x:f>IF(A9="","",H9)</x:f>
      </x:c>
      <x:c r="I9" s="160" t="str">
        <x:f>IF(A9="","",G9-H9)</x:f>
      </x:c>
      <x:c r="J9" s="160" t="str">
        <x:f>IF(C9=0,"",G9/C9)</x:f>
      </x:c>
      <x:c r="K9" s="154" t="str">
        <x:f>IF(A9="","",IF(F9&gt;0.18,"Punainen",IF(F9&gt;0.15,"Keltainen","OK")))</x:f>
      </x:c>
      <x:c r="L9" s="151"/>
    </x:row>
    <x:row r="10">
      <x:c r="A10" s="151"/>
      <x:c r="B10" s="151"/>
      <x:c r="C10" s="151"/>
      <x:c r="D10" s="151"/>
      <x:c r="E10" s="154" t="str">
        <x:f>IF(A10="","",C10+D10)</x:f>
      </x:c>
      <x:c r="F10" s="158" t="str">
        <x:f>IF(E10=0,"",D10/E10)</x:f>
      </x:c>
      <x:c r="G10" s="159">
        <x:f>IF(A10="","",G10)</x:f>
      </x:c>
      <x:c r="H10" s="159">
        <x:f>IF(A10="","",H10)</x:f>
      </x:c>
      <x:c r="I10" s="160" t="str">
        <x:f>IF(A10="","",G10-H10)</x:f>
      </x:c>
      <x:c r="J10" s="160" t="str">
        <x:f>IF(C10=0,"",G10/C10)</x:f>
      </x:c>
      <x:c r="K10" s="154" t="str">
        <x:f>IF(A10="","",IF(F10&gt;0.18,"Punainen",IF(F10&gt;0.15,"Keltainen","OK")))</x:f>
      </x:c>
      <x:c r="L10" s="151"/>
    </x:row>
    <x:row r="11">
      <x:c r="A11" s="151"/>
      <x:c r="B11" s="151"/>
      <x:c r="C11" s="151"/>
      <x:c r="D11" s="151"/>
      <x:c r="E11" s="154" t="str">
        <x:f>IF(A11="","",C11+D11)</x:f>
      </x:c>
      <x:c r="F11" s="158" t="str">
        <x:f>IF(E11=0,"",D11/E11)</x:f>
      </x:c>
      <x:c r="G11" s="159">
        <x:f>IF(A11="","",G11)</x:f>
      </x:c>
      <x:c r="H11" s="159">
        <x:f>IF(A11="","",H11)</x:f>
      </x:c>
      <x:c r="I11" s="160" t="str">
        <x:f>IF(A11="","",G11-H11)</x:f>
      </x:c>
      <x:c r="J11" s="160" t="str">
        <x:f>IF(C11=0,"",G11/C11)</x:f>
      </x:c>
      <x:c r="K11" s="154" t="str">
        <x:f>IF(A11="","",IF(F11&gt;0.18,"Punainen",IF(F11&gt;0.15,"Keltainen","OK")))</x:f>
      </x:c>
      <x:c r="L11" s="151"/>
    </x:row>
    <x:row r="12">
      <x:c r="A12" s="151"/>
      <x:c r="B12" s="151"/>
      <x:c r="C12" s="151"/>
      <x:c r="D12" s="151"/>
      <x:c r="E12" s="154" t="str">
        <x:f>IF(A12="","",C12+D12)</x:f>
      </x:c>
      <x:c r="F12" s="158" t="str">
        <x:f>IF(E12=0,"",D12/E12)</x:f>
      </x:c>
      <x:c r="G12" s="159">
        <x:f>IF(A12="","",G12)</x:f>
      </x:c>
      <x:c r="H12" s="159">
        <x:f>IF(A12="","",H12)</x:f>
      </x:c>
      <x:c r="I12" s="160" t="str">
        <x:f>IF(A12="","",G12-H12)</x:f>
      </x:c>
      <x:c r="J12" s="160" t="str">
        <x:f>IF(C12=0,"",G12/C12)</x:f>
      </x:c>
      <x:c r="K12" s="154" t="str">
        <x:f>IF(A12="","",IF(F12&gt;0.18,"Punainen",IF(F12&gt;0.15,"Keltainen","OK")))</x:f>
      </x:c>
      <x:c r="L12" s="151"/>
    </x:row>
    <x:row r="13">
      <x:c r="A13" s="151"/>
      <x:c r="B13" s="151"/>
      <x:c r="C13" s="151"/>
      <x:c r="D13" s="151"/>
      <x:c r="E13" s="154" t="str">
        <x:f>IF(A13="","",C13+D13)</x:f>
      </x:c>
      <x:c r="F13" s="158" t="str">
        <x:f>IF(E13=0,"",D13/E13)</x:f>
      </x:c>
      <x:c r="G13" s="159">
        <x:f>IF(A13="","",G13)</x:f>
      </x:c>
      <x:c r="H13" s="159">
        <x:f>IF(A13="","",H13)</x:f>
      </x:c>
      <x:c r="I13" s="160" t="str">
        <x:f>IF(A13="","",G13-H13)</x:f>
      </x:c>
      <x:c r="J13" s="160" t="str">
        <x:f>IF(C13=0,"",G13/C13)</x:f>
      </x:c>
      <x:c r="K13" s="154" t="str">
        <x:f>IF(A13="","",IF(F13&gt;0.18,"Punainen",IF(F13&gt;0.15,"Keltainen","OK")))</x:f>
      </x:c>
      <x:c r="L13" s="151"/>
    </x:row>
    <x:row r="14">
      <x:c r="A14" s="151"/>
      <x:c r="B14" s="151"/>
      <x:c r="C14" s="151"/>
      <x:c r="D14" s="151"/>
      <x:c r="E14" s="154" t="str">
        <x:f>IF(A14="","",C14+D14)</x:f>
      </x:c>
      <x:c r="F14" s="158" t="str">
        <x:f>IF(E14=0,"",D14/E14)</x:f>
      </x:c>
      <x:c r="G14" s="159">
        <x:f>IF(A14="","",G14)</x:f>
      </x:c>
      <x:c r="H14" s="159">
        <x:f>IF(A14="","",H14)</x:f>
      </x:c>
      <x:c r="I14" s="160" t="str">
        <x:f>IF(A14="","",G14-H14)</x:f>
      </x:c>
      <x:c r="J14" s="160" t="str">
        <x:f>IF(C14=0,"",G14/C14)</x:f>
      </x:c>
      <x:c r="K14" s="154" t="str">
        <x:f>IF(A14="","",IF(F14&gt;0.18,"Punainen",IF(F14&gt;0.15,"Keltainen","OK")))</x:f>
      </x:c>
      <x:c r="L14" s="151"/>
    </x:row>
    <x:row r="15">
      <x:c r="A15" s="151"/>
      <x:c r="B15" s="151"/>
      <x:c r="C15" s="151"/>
      <x:c r="D15" s="151"/>
      <x:c r="E15" s="154" t="str">
        <x:f>IF(A15="","",C15+D15)</x:f>
      </x:c>
      <x:c r="F15" s="158" t="str">
        <x:f>IF(E15=0,"",D15/E15)</x:f>
      </x:c>
      <x:c r="G15" s="159">
        <x:f>IF(A15="","",G15)</x:f>
      </x:c>
      <x:c r="H15" s="159">
        <x:f>IF(A15="","",H15)</x:f>
      </x:c>
      <x:c r="I15" s="160" t="str">
        <x:f>IF(A15="","",G15-H15)</x:f>
      </x:c>
      <x:c r="J15" s="160" t="str">
        <x:f>IF(C15=0,"",G15/C15)</x:f>
      </x:c>
      <x:c r="K15" s="154" t="str">
        <x:f>IF(A15="","",IF(F15&gt;0.18,"Punainen",IF(F15&gt;0.15,"Keltainen","OK")))</x:f>
      </x:c>
      <x:c r="L15" s="151"/>
    </x:row>
    <x:row r="16">
      <x:c r="A16" s="151"/>
      <x:c r="B16" s="151"/>
      <x:c r="C16" s="151"/>
      <x:c r="D16" s="151"/>
      <x:c r="E16" s="154" t="str">
        <x:f>IF(A16="","",C16+D16)</x:f>
      </x:c>
      <x:c r="F16" s="158" t="str">
        <x:f>IF(E16=0,"",D16/E16)</x:f>
      </x:c>
      <x:c r="G16" s="159">
        <x:f>IF(A16="","",G16)</x:f>
      </x:c>
      <x:c r="H16" s="159">
        <x:f>IF(A16="","",H16)</x:f>
      </x:c>
      <x:c r="I16" s="160" t="str">
        <x:f>IF(A16="","",G16-H16)</x:f>
      </x:c>
      <x:c r="J16" s="160" t="str">
        <x:f>IF(C16=0,"",G16/C16)</x:f>
      </x:c>
      <x:c r="K16" s="154" t="str">
        <x:f>IF(A16="","",IF(F16&gt;0.18,"Punainen",IF(F16&gt;0.15,"Keltainen","OK")))</x:f>
      </x:c>
      <x:c r="L16" s="151"/>
    </x:row>
    <x:row r="17">
      <x:c r="A17" s="151"/>
      <x:c r="B17" s="151"/>
      <x:c r="C17" s="151"/>
      <x:c r="D17" s="151"/>
      <x:c r="E17" s="154" t="str">
        <x:f>IF(A17="","",C17+D17)</x:f>
      </x:c>
      <x:c r="F17" s="158" t="str">
        <x:f>IF(E17=0,"",D17/E17)</x:f>
      </x:c>
      <x:c r="G17" s="159">
        <x:f>IF(A17="","",G17)</x:f>
      </x:c>
      <x:c r="H17" s="159">
        <x:f>IF(A17="","",H17)</x:f>
      </x:c>
      <x:c r="I17" s="160" t="str">
        <x:f>IF(A17="","",G17-H17)</x:f>
      </x:c>
      <x:c r="J17" s="160" t="str">
        <x:f>IF(C17=0,"",G17/C17)</x:f>
      </x:c>
      <x:c r="K17" s="154" t="str">
        <x:f>IF(A17="","",IF(F17&gt;0.18,"Punainen",IF(F17&gt;0.15,"Keltainen","OK")))</x:f>
      </x:c>
      <x:c r="L17" s="151"/>
    </x:row>
    <x:row r="18">
      <x:c r="A18" s="151"/>
      <x:c r="B18" s="151"/>
      <x:c r="C18" s="151"/>
      <x:c r="D18" s="151"/>
      <x:c r="E18" s="154" t="str">
        <x:f>IF(A18="","",C18+D18)</x:f>
      </x:c>
      <x:c r="F18" s="158" t="str">
        <x:f>IF(E18=0,"",D18/E18)</x:f>
      </x:c>
      <x:c r="G18" s="159">
        <x:f>IF(A18="","",G18)</x:f>
      </x:c>
      <x:c r="H18" s="159">
        <x:f>IF(A18="","",H18)</x:f>
      </x:c>
      <x:c r="I18" s="160" t="str">
        <x:f>IF(A18="","",G18-H18)</x:f>
      </x:c>
      <x:c r="J18" s="160" t="str">
        <x:f>IF(C18=0,"",G18/C18)</x:f>
      </x:c>
      <x:c r="K18" s="154" t="str">
        <x:f>IF(A18="","",IF(F18&gt;0.18,"Punainen",IF(F18&gt;0.15,"Keltainen","OK")))</x:f>
      </x:c>
      <x:c r="L18" s="151"/>
    </x:row>
    <x:row r="19">
      <x:c r="A19" s="151"/>
      <x:c r="B19" s="151"/>
      <x:c r="C19" s="151"/>
      <x:c r="D19" s="151"/>
      <x:c r="E19" s="154" t="str">
        <x:f>IF(A19="","",C19+D19)</x:f>
      </x:c>
      <x:c r="F19" s="158" t="str">
        <x:f>IF(E19=0,"",D19/E19)</x:f>
      </x:c>
      <x:c r="G19" s="159">
        <x:f>IF(A19="","",G19)</x:f>
      </x:c>
      <x:c r="H19" s="159">
        <x:f>IF(A19="","",H19)</x:f>
      </x:c>
      <x:c r="I19" s="160" t="str">
        <x:f>IF(A19="","",G19-H19)</x:f>
      </x:c>
      <x:c r="J19" s="160" t="str">
        <x:f>IF(C19=0,"",G19/C19)</x:f>
      </x:c>
      <x:c r="K19" s="154" t="str">
        <x:f>IF(A19="","",IF(F19&gt;0.18,"Punainen",IF(F19&gt;0.15,"Keltainen","OK")))</x:f>
      </x:c>
      <x:c r="L19" s="151"/>
    </x:row>
    <x:row r="20">
      <x:c r="A20" s="151"/>
      <x:c r="B20" s="151"/>
      <x:c r="C20" s="151"/>
      <x:c r="D20" s="151"/>
      <x:c r="E20" s="154" t="str">
        <x:f>IF(A20="","",C20+D20)</x:f>
      </x:c>
      <x:c r="F20" s="158" t="str">
        <x:f>IF(E20=0,"",D20/E20)</x:f>
      </x:c>
      <x:c r="G20" s="159">
        <x:f>IF(A20="","",G20)</x:f>
      </x:c>
      <x:c r="H20" s="159">
        <x:f>IF(A20="","",H20)</x:f>
      </x:c>
      <x:c r="I20" s="160" t="str">
        <x:f>IF(A20="","",G20-H20)</x:f>
      </x:c>
      <x:c r="J20" s="160" t="str">
        <x:f>IF(C20=0,"",G20/C20)</x:f>
      </x:c>
      <x:c r="K20" s="154" t="str">
        <x:f>IF(A20="","",IF(F20&gt;0.18,"Punainen",IF(F20&gt;0.15,"Keltainen","OK")))</x:f>
      </x:c>
      <x:c r="L20" s="151"/>
    </x:row>
    <x:row r="21">
      <x:c r="A21" s="151"/>
      <x:c r="B21" s="151"/>
      <x:c r="C21" s="151"/>
      <x:c r="D21" s="151"/>
      <x:c r="E21" s="154" t="str">
        <x:f>IF(A21="","",C21+D21)</x:f>
      </x:c>
      <x:c r="F21" s="158" t="str">
        <x:f>IF(E21=0,"",D21/E21)</x:f>
      </x:c>
      <x:c r="G21" s="159">
        <x:f>IF(A21="","",G21)</x:f>
      </x:c>
      <x:c r="H21" s="159">
        <x:f>IF(A21="","",H21)</x:f>
      </x:c>
      <x:c r="I21" s="160" t="str">
        <x:f>IF(A21="","",G21-H21)</x:f>
      </x:c>
      <x:c r="J21" s="160" t="str">
        <x:f>IF(C21=0,"",G21/C21)</x:f>
      </x:c>
      <x:c r="K21" s="154" t="str">
        <x:f>IF(A21="","",IF(F21&gt;0.18,"Punainen",IF(F21&gt;0.15,"Keltainen","OK")))</x:f>
      </x:c>
      <x:c r="L21" s="151"/>
    </x:row>
    <x:row r="22">
      <x:c r="A22" s="151"/>
      <x:c r="B22" s="151"/>
      <x:c r="C22" s="151"/>
      <x:c r="D22" s="151"/>
      <x:c r="E22" s="154" t="str">
        <x:f>IF(A22="","",C22+D22)</x:f>
      </x:c>
      <x:c r="F22" s="158" t="str">
        <x:f>IF(E22=0,"",D22/E22)</x:f>
      </x:c>
      <x:c r="G22" s="159">
        <x:f>IF(A22="","",G22)</x:f>
      </x:c>
      <x:c r="H22" s="159">
        <x:f>IF(A22="","",H22)</x:f>
      </x:c>
      <x:c r="I22" s="160" t="str">
        <x:f>IF(A22="","",G22-H22)</x:f>
      </x:c>
      <x:c r="J22" s="160" t="str">
        <x:f>IF(C22=0,"",G22/C22)</x:f>
      </x:c>
      <x:c r="K22" s="154" t="str">
        <x:f>IF(A22="","",IF(F22&gt;0.18,"Punainen",IF(F22&gt;0.15,"Keltainen","OK")))</x:f>
      </x:c>
      <x:c r="L22" s="151"/>
    </x:row>
    <x:row r="23">
      <x:c r="A23" s="151"/>
      <x:c r="B23" s="151"/>
      <x:c r="C23" s="151"/>
      <x:c r="D23" s="151"/>
      <x:c r="E23" s="154" t="str">
        <x:f>IF(A23="","",C23+D23)</x:f>
      </x:c>
      <x:c r="F23" s="158" t="str">
        <x:f>IF(E23=0,"",D23/E23)</x:f>
      </x:c>
      <x:c r="G23" s="159">
        <x:f>IF(A23="","",G23)</x:f>
      </x:c>
      <x:c r="H23" s="159">
        <x:f>IF(A23="","",H23)</x:f>
      </x:c>
      <x:c r="I23" s="160" t="str">
        <x:f>IF(A23="","",G23-H23)</x:f>
      </x:c>
      <x:c r="J23" s="160" t="str">
        <x:f>IF(C23=0,"",G23/C23)</x:f>
      </x:c>
      <x:c r="K23" s="154" t="str">
        <x:f>IF(A23="","",IF(F23&gt;0.18,"Punainen",IF(F23&gt;0.15,"Keltainen","OK")))</x:f>
      </x:c>
      <x:c r="L23" s="151"/>
    </x:row>
    <x:row r="24">
      <x:c r="A24" s="151"/>
      <x:c r="B24" s="151"/>
      <x:c r="C24" s="151"/>
      <x:c r="D24" s="151"/>
      <x:c r="E24" s="154" t="str">
        <x:f>IF(A24="","",C24+D24)</x:f>
      </x:c>
      <x:c r="F24" s="158" t="str">
        <x:f>IF(E24=0,"",D24/E24)</x:f>
      </x:c>
      <x:c r="G24" s="159">
        <x:f>IF(A24="","",G24)</x:f>
      </x:c>
      <x:c r="H24" s="159">
        <x:f>IF(A24="","",H24)</x:f>
      </x:c>
      <x:c r="I24" s="160" t="str">
        <x:f>IF(A24="","",G24-H24)</x:f>
      </x:c>
      <x:c r="J24" s="160" t="str">
        <x:f>IF(C24=0,"",G24/C24)</x:f>
      </x:c>
      <x:c r="K24" s="154" t="str">
        <x:f>IF(A24="","",IF(F24&gt;0.18,"Punainen",IF(F24&gt;0.15,"Keltainen","OK")))</x:f>
      </x:c>
      <x:c r="L24" s="151"/>
    </x:row>
    <x:row r="25">
      <x:c r="A25" s="151"/>
      <x:c r="B25" s="151"/>
      <x:c r="C25" s="151"/>
      <x:c r="D25" s="151"/>
      <x:c r="E25" s="154" t="str">
        <x:f>IF(A25="","",C25+D25)</x:f>
      </x:c>
      <x:c r="F25" s="158" t="str">
        <x:f>IF(E25=0,"",D25/E25)</x:f>
      </x:c>
      <x:c r="G25" s="159">
        <x:f>IF(A25="","",G25)</x:f>
      </x:c>
      <x:c r="H25" s="159">
        <x:f>IF(A25="","",H25)</x:f>
      </x:c>
      <x:c r="I25" s="160" t="str">
        <x:f>IF(A25="","",G25-H25)</x:f>
      </x:c>
      <x:c r="J25" s="160" t="str">
        <x:f>IF(C25=0,"",G25/C25)</x:f>
      </x:c>
      <x:c r="K25" s="154" t="str">
        <x:f>IF(A25="","",IF(F25&gt;0.18,"Punainen",IF(F25&gt;0.15,"Keltainen","OK")))</x:f>
      </x:c>
      <x:c r="L25" s="151"/>
    </x:row>
    <x:row r="26">
      <x:c r="A26" s="151"/>
      <x:c r="B26" s="151"/>
      <x:c r="C26" s="151"/>
      <x:c r="D26" s="151"/>
      <x:c r="E26" s="154" t="str">
        <x:f>IF(A26="","",C26+D26)</x:f>
      </x:c>
      <x:c r="F26" s="158" t="str">
        <x:f>IF(E26=0,"",D26/E26)</x:f>
      </x:c>
      <x:c r="G26" s="159">
        <x:f>IF(A26="","",G26)</x:f>
      </x:c>
      <x:c r="H26" s="159">
        <x:f>IF(A26="","",H26)</x:f>
      </x:c>
      <x:c r="I26" s="160" t="str">
        <x:f>IF(A26="","",G26-H26)</x:f>
      </x:c>
      <x:c r="J26" s="160" t="str">
        <x:f>IF(C26=0,"",G26/C26)</x:f>
      </x:c>
      <x:c r="K26" s="154" t="str">
        <x:f>IF(A26="","",IF(F26&gt;0.18,"Punainen",IF(F26&gt;0.15,"Keltainen","OK")))</x:f>
      </x:c>
      <x:c r="L26" s="151"/>
    </x:row>
    <x:row r="27">
      <x:c r="A27" s="151"/>
      <x:c r="B27" s="151"/>
      <x:c r="C27" s="151"/>
      <x:c r="D27" s="151"/>
      <x:c r="E27" s="154" t="str">
        <x:f>IF(A27="","",C27+D27)</x:f>
      </x:c>
      <x:c r="F27" s="158" t="str">
        <x:f>IF(E27=0,"",D27/E27)</x:f>
      </x:c>
      <x:c r="G27" s="159">
        <x:f>IF(A27="","",G27)</x:f>
      </x:c>
      <x:c r="H27" s="159">
        <x:f>IF(A27="","",H27)</x:f>
      </x:c>
      <x:c r="I27" s="160" t="str">
        <x:f>IF(A27="","",G27-H27)</x:f>
      </x:c>
      <x:c r="J27" s="160" t="str">
        <x:f>IF(C27=0,"",G27/C27)</x:f>
      </x:c>
      <x:c r="K27" s="154" t="str">
        <x:f>IF(A27="","",IF(F27&gt;0.18,"Punainen",IF(F27&gt;0.15,"Keltainen","OK")))</x:f>
      </x:c>
      <x:c r="L27" s="151"/>
    </x:row>
    <x:row r="28">
      <x:c r="A28" s="151"/>
      <x:c r="B28" s="151"/>
      <x:c r="C28" s="151"/>
      <x:c r="D28" s="151"/>
      <x:c r="E28" s="154" t="str">
        <x:f>IF(A28="","",C28+D28)</x:f>
      </x:c>
      <x:c r="F28" s="158" t="str">
        <x:f>IF(E28=0,"",D28/E28)</x:f>
      </x:c>
      <x:c r="G28" s="159">
        <x:f>IF(A28="","",G28)</x:f>
      </x:c>
      <x:c r="H28" s="159">
        <x:f>IF(A28="","",H28)</x:f>
      </x:c>
      <x:c r="I28" s="160" t="str">
        <x:f>IF(A28="","",G28-H28)</x:f>
      </x:c>
      <x:c r="J28" s="160" t="str">
        <x:f>IF(C28=0,"",G28/C28)</x:f>
      </x:c>
      <x:c r="K28" s="154" t="str">
        <x:f>IF(A28="","",IF(F28&gt;0.18,"Punainen",IF(F28&gt;0.15,"Keltainen","OK")))</x:f>
      </x:c>
      <x:c r="L28" s="151"/>
    </x:row>
    <x:row r="29">
      <x:c r="A29" s="151"/>
      <x:c r="B29" s="151"/>
      <x:c r="C29" s="151"/>
      <x:c r="D29" s="151"/>
      <x:c r="E29" s="154" t="str">
        <x:f>IF(A29="","",C29+D29)</x:f>
      </x:c>
      <x:c r="F29" s="158" t="str">
        <x:f>IF(E29=0,"",D29/E29)</x:f>
      </x:c>
      <x:c r="G29" s="159">
        <x:f>IF(A29="","",G29)</x:f>
      </x:c>
      <x:c r="H29" s="159">
        <x:f>IF(A29="","",H29)</x:f>
      </x:c>
      <x:c r="I29" s="160" t="str">
        <x:f>IF(A29="","",G29-H29)</x:f>
      </x:c>
      <x:c r="J29" s="160" t="str">
        <x:f>IF(C29=0,"",G29/C29)</x:f>
      </x:c>
      <x:c r="K29" s="154" t="str">
        <x:f>IF(A29="","",IF(F29&gt;0.18,"Punainen",IF(F29&gt;0.15,"Keltainen","OK")))</x:f>
      </x:c>
      <x:c r="L29" s="151"/>
    </x:row>
    <x:row r="30">
      <x:c r="A30" s="151"/>
      <x:c r="B30" s="151"/>
      <x:c r="C30" s="151"/>
      <x:c r="D30" s="151"/>
      <x:c r="E30" s="154" t="str">
        <x:f>IF(A30="","",C30+D30)</x:f>
      </x:c>
      <x:c r="F30" s="158" t="str">
        <x:f>IF(E30=0,"",D30/E30)</x:f>
      </x:c>
      <x:c r="G30" s="159">
        <x:f>IF(A30="","",G30)</x:f>
      </x:c>
      <x:c r="H30" s="159">
        <x:f>IF(A30="","",H30)</x:f>
      </x:c>
      <x:c r="I30" s="160" t="str">
        <x:f>IF(A30="","",G30-H30)</x:f>
      </x:c>
      <x:c r="J30" s="160" t="str">
        <x:f>IF(C30=0,"",G30/C30)</x:f>
      </x:c>
      <x:c r="K30" s="154" t="str">
        <x:f>IF(A30="","",IF(F30&gt;0.18,"Punainen",IF(F30&gt;0.15,"Keltainen","OK")))</x:f>
      </x:c>
      <x:c r="L30" s="151"/>
    </x:row>
    <x:row r="31">
      <x:c r="A31" s="151"/>
      <x:c r="B31" s="151"/>
      <x:c r="C31" s="151"/>
      <x:c r="D31" s="151"/>
      <x:c r="E31" s="154" t="str">
        <x:f>IF(A31="","",C31+D31)</x:f>
      </x:c>
      <x:c r="F31" s="158" t="str">
        <x:f>IF(E31=0,"",D31/E31)</x:f>
      </x:c>
      <x:c r="G31" s="159">
        <x:f>IF(A31="","",G31)</x:f>
      </x:c>
      <x:c r="H31" s="159">
        <x:f>IF(A31="","",H31)</x:f>
      </x:c>
      <x:c r="I31" s="160" t="str">
        <x:f>IF(A31="","",G31-H31)</x:f>
      </x:c>
      <x:c r="J31" s="160" t="str">
        <x:f>IF(C31=0,"",G31/C31)</x:f>
      </x:c>
      <x:c r="K31" s="154" t="str">
        <x:f>IF(A31="","",IF(F31&gt;0.18,"Punainen",IF(F31&gt;0.15,"Keltainen","OK")))</x:f>
      </x:c>
      <x:c r="L31" s="151"/>
    </x:row>
    <x:row r="32">
      <x:c r="A32" s="151"/>
      <x:c r="B32" s="151"/>
      <x:c r="C32" s="151"/>
      <x:c r="D32" s="151"/>
      <x:c r="E32" s="154" t="str">
        <x:f>IF(A32="","",C32+D32)</x:f>
      </x:c>
      <x:c r="F32" s="158" t="str">
        <x:f>IF(E32=0,"",D32/E32)</x:f>
      </x:c>
      <x:c r="G32" s="159">
        <x:f>IF(A32="","",G32)</x:f>
      </x:c>
      <x:c r="H32" s="159">
        <x:f>IF(A32="","",H32)</x:f>
      </x:c>
      <x:c r="I32" s="160" t="str">
        <x:f>IF(A32="","",G32-H32)</x:f>
      </x:c>
      <x:c r="J32" s="160" t="str">
        <x:f>IF(C32=0,"",G32/C32)</x:f>
      </x:c>
      <x:c r="K32" s="154" t="str">
        <x:f>IF(A32="","",IF(F32&gt;0.18,"Punainen",IF(F32&gt;0.15,"Keltainen","OK")))</x:f>
      </x:c>
      <x:c r="L32" s="151"/>
    </x:row>
    <x:row r="33">
      <x:c r="A33" s="151"/>
      <x:c r="B33" s="151"/>
      <x:c r="C33" s="151"/>
      <x:c r="D33" s="151"/>
      <x:c r="E33" s="154" t="str">
        <x:f>IF(A33="","",C33+D33)</x:f>
      </x:c>
      <x:c r="F33" s="158" t="str">
        <x:f>IF(E33=0,"",D33/E33)</x:f>
      </x:c>
      <x:c r="G33" s="159">
        <x:f>IF(A33="","",G33)</x:f>
      </x:c>
      <x:c r="H33" s="159">
        <x:f>IF(A33="","",H33)</x:f>
      </x:c>
      <x:c r="I33" s="160" t="str">
        <x:f>IF(A33="","",G33-H33)</x:f>
      </x:c>
      <x:c r="J33" s="160" t="str">
        <x:f>IF(C33=0,"",G33/C33)</x:f>
      </x:c>
      <x:c r="K33" s="154" t="str">
        <x:f>IF(A33="","",IF(F33&gt;0.18,"Punainen",IF(F33&gt;0.15,"Keltainen","OK")))</x:f>
      </x:c>
      <x:c r="L33" s="151"/>
    </x:row>
    <x:row r="34">
      <x:c r="A34" s="151"/>
      <x:c r="B34" s="151"/>
      <x:c r="C34" s="151"/>
      <x:c r="D34" s="151"/>
      <x:c r="E34" s="154" t="str">
        <x:f>IF(A34="","",C34+D34)</x:f>
      </x:c>
      <x:c r="F34" s="158" t="str">
        <x:f>IF(E34=0,"",D34/E34)</x:f>
      </x:c>
      <x:c r="G34" s="159">
        <x:f>IF(A34="","",G34)</x:f>
      </x:c>
      <x:c r="H34" s="159">
        <x:f>IF(A34="","",H34)</x:f>
      </x:c>
      <x:c r="I34" s="160" t="str">
        <x:f>IF(A34="","",G34-H34)</x:f>
      </x:c>
      <x:c r="J34" s="160" t="str">
        <x:f>IF(C34=0,"",G34/C34)</x:f>
      </x:c>
      <x:c r="K34" s="154" t="str">
        <x:f>IF(A34="","",IF(F34&gt;0.18,"Punainen",IF(F34&gt;0.15,"Keltainen","OK")))</x:f>
      </x:c>
      <x:c r="L34" s="151"/>
    </x:row>
    <x:row r="35">
      <x:c r="A35" s="151"/>
      <x:c r="B35" s="151"/>
      <x:c r="C35" s="151"/>
      <x:c r="D35" s="151"/>
      <x:c r="E35" s="154" t="str">
        <x:f>IF(A35="","",C35+D35)</x:f>
      </x:c>
      <x:c r="F35" s="158" t="str">
        <x:f>IF(E35=0,"",D35/E35)</x:f>
      </x:c>
      <x:c r="G35" s="159">
        <x:f>IF(A35="","",G35)</x:f>
      </x:c>
      <x:c r="H35" s="159">
        <x:f>IF(A35="","",H35)</x:f>
      </x:c>
      <x:c r="I35" s="160" t="str">
        <x:f>IF(A35="","",G35-H35)</x:f>
      </x:c>
      <x:c r="J35" s="160" t="str">
        <x:f>IF(C35=0,"",G35/C35)</x:f>
      </x:c>
      <x:c r="K35" s="154" t="str">
        <x:f>IF(A35="","",IF(F35&gt;0.18,"Punainen",IF(F35&gt;0.15,"Keltainen","OK")))</x:f>
      </x:c>
      <x:c r="L35" s="151"/>
    </x:row>
    <x:row r="36">
      <x:c r="A36" s="151"/>
      <x:c r="B36" s="151"/>
      <x:c r="C36" s="151"/>
      <x:c r="D36" s="151"/>
      <x:c r="E36" s="154" t="str">
        <x:f>IF(A36="","",C36+D36)</x:f>
      </x:c>
      <x:c r="F36" s="158" t="str">
        <x:f>IF(E36=0,"",D36/E36)</x:f>
      </x:c>
      <x:c r="G36" s="159">
        <x:f>IF(A36="","",G36)</x:f>
      </x:c>
      <x:c r="H36" s="159">
        <x:f>IF(A36="","",H36)</x:f>
      </x:c>
      <x:c r="I36" s="160" t="str">
        <x:f>IF(A36="","",G36-H36)</x:f>
      </x:c>
      <x:c r="J36" s="160" t="str">
        <x:f>IF(C36=0,"",G36/C36)</x:f>
      </x:c>
      <x:c r="K36" s="154" t="str">
        <x:f>IF(A36="","",IF(F36&gt;0.18,"Punainen",IF(F36&gt;0.15,"Keltainen","OK")))</x:f>
      </x:c>
      <x:c r="L36" s="151"/>
    </x:row>
    <x:row r="37">
      <x:c r="A37" s="151"/>
      <x:c r="B37" s="151"/>
      <x:c r="C37" s="151"/>
      <x:c r="D37" s="151"/>
      <x:c r="E37" s="154" t="str">
        <x:f>IF(A37="","",C37+D37)</x:f>
      </x:c>
      <x:c r="F37" s="158" t="str">
        <x:f>IF(E37=0,"",D37/E37)</x:f>
      </x:c>
      <x:c r="G37" s="159">
        <x:f>IF(A37="","",G37)</x:f>
      </x:c>
      <x:c r="H37" s="159">
        <x:f>IF(A37="","",H37)</x:f>
      </x:c>
      <x:c r="I37" s="160" t="str">
        <x:f>IF(A37="","",G37-H37)</x:f>
      </x:c>
      <x:c r="J37" s="160" t="str">
        <x:f>IF(C37=0,"",G37/C37)</x:f>
      </x:c>
      <x:c r="K37" s="154" t="str">
        <x:f>IF(A37="","",IF(F37&gt;0.18,"Punainen",IF(F37&gt;0.15,"Keltainen","OK")))</x:f>
      </x:c>
      <x:c r="L37" s="151"/>
    </x:row>
    <x:row r="38">
      <x:c r="A38" s="151"/>
      <x:c r="B38" s="151"/>
      <x:c r="C38" s="151"/>
      <x:c r="D38" s="151"/>
      <x:c r="E38" s="154" t="str">
        <x:f>IF(A38="","",C38+D38)</x:f>
      </x:c>
      <x:c r="F38" s="158" t="str">
        <x:f>IF(E38=0,"",D38/E38)</x:f>
      </x:c>
      <x:c r="G38" s="159">
        <x:f>IF(A38="","",G38)</x:f>
      </x:c>
      <x:c r="H38" s="159">
        <x:f>IF(A38="","",H38)</x:f>
      </x:c>
      <x:c r="I38" s="160" t="str">
        <x:f>IF(A38="","",G38-H38)</x:f>
      </x:c>
      <x:c r="J38" s="160" t="str">
        <x:f>IF(C38=0,"",G38/C38)</x:f>
      </x:c>
      <x:c r="K38" s="154" t="str">
        <x:f>IF(A38="","",IF(F38&gt;0.18,"Punainen",IF(F38&gt;0.15,"Keltainen","OK")))</x:f>
      </x:c>
      <x:c r="L38" s="151"/>
    </x:row>
    <x:row r="39">
      <x:c r="A39" s="151"/>
      <x:c r="B39" s="151"/>
      <x:c r="C39" s="151"/>
      <x:c r="D39" s="151"/>
      <x:c r="E39" s="154" t="str">
        <x:f>IF(A39="","",C39+D39)</x:f>
      </x:c>
      <x:c r="F39" s="158" t="str">
        <x:f>IF(E39=0,"",D39/E39)</x:f>
      </x:c>
      <x:c r="G39" s="159">
        <x:f>IF(A39="","",G39)</x:f>
      </x:c>
      <x:c r="H39" s="159">
        <x:f>IF(A39="","",H39)</x:f>
      </x:c>
      <x:c r="I39" s="160" t="str">
        <x:f>IF(A39="","",G39-H39)</x:f>
      </x:c>
      <x:c r="J39" s="160" t="str">
        <x:f>IF(C39=0,"",G39/C39)</x:f>
      </x:c>
      <x:c r="K39" s="154" t="str">
        <x:f>IF(A39="","",IF(F39&gt;0.18,"Punainen",IF(F39&gt;0.15,"Keltainen","OK")))</x:f>
      </x:c>
      <x:c r="L39" s="151"/>
    </x:row>
    <x:row r="40">
      <x:c r="A40" s="151"/>
      <x:c r="B40" s="151"/>
      <x:c r="C40" s="151"/>
      <x:c r="D40" s="151"/>
      <x:c r="E40" s="154" t="str">
        <x:f>IF(A40="","",C40+D40)</x:f>
      </x:c>
      <x:c r="F40" s="158" t="str">
        <x:f>IF(E40=0,"",D40/E40)</x:f>
      </x:c>
      <x:c r="G40" s="159">
        <x:f>IF(A40="","",G40)</x:f>
      </x:c>
      <x:c r="H40" s="159">
        <x:f>IF(A40="","",H40)</x:f>
      </x:c>
      <x:c r="I40" s="160" t="str">
        <x:f>IF(A40="","",G40-H40)</x:f>
      </x:c>
      <x:c r="J40" s="160" t="str">
        <x:f>IF(C40=0,"",G40/C40)</x:f>
      </x:c>
      <x:c r="K40" s="154" t="str">
        <x:f>IF(A40="","",IF(F40&gt;0.18,"Punainen",IF(F40&gt;0.15,"Keltainen","OK")))</x:f>
      </x:c>
      <x:c r="L40" s="151"/>
    </x:row>
    <x:row r="41">
      <x:c r="A41" s="151"/>
      <x:c r="B41" s="151"/>
      <x:c r="C41" s="151"/>
      <x:c r="D41" s="151"/>
      <x:c r="E41" s="154"/>
      <x:c r="F41" s="158"/>
      <x:c r="G41" s="159"/>
      <x:c r="H41" s="159"/>
      <x:c r="I41" s="160"/>
      <x:c r="J41" s="160"/>
      <x:c r="K41" s="154"/>
      <x:c r="L41" s="151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9586ce8c8494361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24" hidden="0" customWidth="1"/>
  </x:cols>
  <x:sheetData>
    <x:row r="1">
      <x:c r="A1" s="142" t="str">
        <x:v>4. €/km kannattavuus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Toteutunut €/km, tavoite €/km ja benchmark-status.</x:v>
      </x:c>
    </x:row>
    <x:row r="4">
      <x:c r="A4" s="148" t="str">
        <x:v>Reitti / tyyppi</x:v>
      </x:c>
      <x:c r="B4" s="148" t="str">
        <x:v>Km</x:v>
      </x:c>
      <x:c r="C4" s="148" t="str">
        <x:v>Myynti €</x:v>
      </x:c>
      <x:c r="D4" s="148" t="str">
        <x:v>Kulut €</x:v>
      </x:c>
      <x:c r="E4" s="148" t="str">
        <x:v>Kate €</x:v>
      </x:c>
      <x:c r="F4" s="148" t="str">
        <x:v>Revenue €/km</x:v>
      </x:c>
      <x:c r="G4" s="148" t="str">
        <x:v>Cost €/km</x:v>
      </x:c>
      <x:c r="H4" s="148" t="str">
        <x:v>Profit €/km</x:v>
      </x:c>
      <x:c r="I4" s="148" t="str">
        <x:v>Tavoite €/km</x:v>
      </x:c>
      <x:c r="J4" s="148" t="str">
        <x:v>Status</x:v>
      </x:c>
      <x:c r="K4" s="148" t="str">
        <x:v>Trend</x:v>
      </x:c>
      <x:c r="L4" s="148" t="str">
        <x:v>Huomio</x:v>
      </x:c>
    </x:row>
    <x:row r="5">
      <x:c r="A5" s="151" t="str">
        <x:v>Kotimaa pitkä</x:v>
      </x:c>
      <x:c r="B5" s="151" t="n">
        <x:v>600</x:v>
      </x:c>
      <x:c r="C5" s="159" t="n">
        <x:v>1380</x:v>
      </x:c>
      <x:c r="D5" s="159" t="n">
        <x:v>1120</x:v>
      </x:c>
      <x:c r="E5" s="160" t="n">
        <x:f>IF(A5="","",C5-D5)</x:f>
        <x:v>260</x:v>
      </x:c>
      <x:c r="F5" s="160" t="n">
        <x:f>IF(B5=0,"",C5/B5)</x:f>
        <x:v>2.3</x:v>
      </x:c>
      <x:c r="G5" s="160" t="n">
        <x:f>IF(B5=0,"",D5/B5)</x:f>
        <x:v>1.8666666666666667</x:v>
      </x:c>
      <x:c r="H5" s="160" t="n">
        <x:f>IF(B5=0,"",E5/B5)</x:f>
        <x:v>0.43333333333333335</x:v>
      </x:c>
      <x:c r="I5" s="159" t="n">
        <x:v>1.55</x:v>
      </x:c>
      <x:c r="J5" s="153" t="str">
        <x:f>IF(A5="","",IF(F5&lt;I5,"Alle tavoite",IF(F5&gt;=I5*1.1,"Hyvä","OK")))</x:f>
        <x:v>Hyvä</x:v>
      </x:c>
      <x:c r="K5" s="151" t="str"/>
      <x:c r="L5" s="151" t="str"/>
    </x:row>
    <x:row r="6">
      <x:c r="A6" s="151" t="str">
        <x:v>Thermo</x:v>
      </x:c>
      <x:c r="B6" s="151" t="n">
        <x:v>290</x:v>
      </x:c>
      <x:c r="C6" s="159" t="n">
        <x:v>850</x:v>
      </x:c>
      <x:c r="D6" s="159" t="n">
        <x:v>680</x:v>
      </x:c>
      <x:c r="E6" s="160" t="n">
        <x:f>IF(A6="","",C6-D6)</x:f>
        <x:v>170</x:v>
      </x:c>
      <x:c r="F6" s="160" t="n">
        <x:f>IF(B6=0,"",C6/B6)</x:f>
        <x:v>2.9310344827586206</x:v>
      </x:c>
      <x:c r="G6" s="160" t="n">
        <x:f>IF(B6=0,"",D6/B6)</x:f>
        <x:v>2.3448275862068964</x:v>
      </x:c>
      <x:c r="H6" s="160" t="n">
        <x:f>IF(B6=0,"",E6/B6)</x:f>
        <x:v>0.5862068965517241</x:v>
      </x:c>
      <x:c r="I6" s="159" t="n">
        <x:v>1.95</x:v>
      </x:c>
      <x:c r="J6" s="153" t="str">
        <x:f>IF(A6="","",IF(F6&lt;I6,"Alle tavoite",IF(F6&gt;=I6*1.1,"Hyvä","OK")))</x:f>
        <x:v>Hyvä</x:v>
      </x:c>
      <x:c r="K6" s="151" t="str"/>
      <x:c r="L6" s="151" t="str"/>
    </x:row>
    <x:row r="7">
      <x:c r="A7" s="151" t="str">
        <x:v>Manner</x:v>
      </x:c>
      <x:c r="B7" s="151" t="n">
        <x:v>480</x:v>
      </x:c>
      <x:c r="C7" s="159" t="n">
        <x:v>1180</x:v>
      </x:c>
      <x:c r="D7" s="159" t="n">
        <x:v>980</x:v>
      </x:c>
      <x:c r="E7" s="160" t="n">
        <x:f>IF(A7="","",C7-D7)</x:f>
        <x:v>200</x:v>
      </x:c>
      <x:c r="F7" s="160" t="n">
        <x:f>IF(B7=0,"",C7/B7)</x:f>
        <x:v>2.4583333333333335</x:v>
      </x:c>
      <x:c r="G7" s="160" t="n">
        <x:f>IF(B7=0,"",D7/B7)</x:f>
        <x:v>2.0416666666666665</x:v>
      </x:c>
      <x:c r="H7" s="160" t="n">
        <x:f>IF(B7=0,"",E7/B7)</x:f>
        <x:v>0.4166666666666667</x:v>
      </x:c>
      <x:c r="I7" s="159" t="n">
        <x:v>1.9</x:v>
      </x:c>
      <x:c r="J7" s="153" t="str">
        <x:f>IF(A7="","",IF(F7&lt;I7,"Alle tavoite",IF(F7&gt;=I7*1.1,"Hyvä","OK")))</x:f>
        <x:v>Hyvä</x:v>
      </x:c>
      <x:c r="K7" s="151" t="str"/>
      <x:c r="L7" s="151" t="str"/>
    </x:row>
    <x:row r="8">
      <x:c r="A8" s="151"/>
      <x:c r="B8" s="151"/>
      <x:c r="C8" s="159"/>
      <x:c r="D8" s="159"/>
      <x:c r="E8" s="160" t="str">
        <x:f>IF(A8="","",C8-D8)</x:f>
      </x:c>
      <x:c r="F8" s="160" t="str">
        <x:f>IF(B8=0,"",C8/B8)</x:f>
      </x:c>
      <x:c r="G8" s="160" t="str">
        <x:f>IF(B8=0,"",D8/B8)</x:f>
      </x:c>
      <x:c r="H8" s="160" t="str">
        <x:f>IF(B8=0,"",E8/B8)</x:f>
      </x:c>
      <x:c r="I8" s="159">
        <x:f>IF(A8="","",I8)</x:f>
      </x:c>
      <x:c r="J8" s="153" t="str">
        <x:f>IF(A8="","",IF(F8&lt;I8,"Alle tavoite",IF(F8&gt;=I8*1.1,"Hyvä","OK")))</x:f>
      </x:c>
      <x:c r="K8" s="151"/>
      <x:c r="L8" s="151"/>
    </x:row>
    <x:row r="9">
      <x:c r="A9" s="151"/>
      <x:c r="B9" s="151"/>
      <x:c r="C9" s="159"/>
      <x:c r="D9" s="159"/>
      <x:c r="E9" s="160" t="str">
        <x:f>IF(A9="","",C9-D9)</x:f>
      </x:c>
      <x:c r="F9" s="160" t="str">
        <x:f>IF(B9=0,"",C9/B9)</x:f>
      </x:c>
      <x:c r="G9" s="160" t="str">
        <x:f>IF(B9=0,"",D9/B9)</x:f>
      </x:c>
      <x:c r="H9" s="160" t="str">
        <x:f>IF(B9=0,"",E9/B9)</x:f>
      </x:c>
      <x:c r="I9" s="159">
        <x:f>IF(A9="","",I9)</x:f>
      </x:c>
      <x:c r="J9" s="153" t="str">
        <x:f>IF(A9="","",IF(F9&lt;I9,"Alle tavoite",IF(F9&gt;=I9*1.1,"Hyvä","OK")))</x:f>
      </x:c>
      <x:c r="K9" s="151"/>
      <x:c r="L9" s="151"/>
    </x:row>
    <x:row r="10">
      <x:c r="A10" s="151"/>
      <x:c r="B10" s="151"/>
      <x:c r="C10" s="159"/>
      <x:c r="D10" s="159"/>
      <x:c r="E10" s="160" t="str">
        <x:f>IF(A10="","",C10-D10)</x:f>
      </x:c>
      <x:c r="F10" s="160" t="str">
        <x:f>IF(B10=0,"",C10/B10)</x:f>
      </x:c>
      <x:c r="G10" s="160" t="str">
        <x:f>IF(B10=0,"",D10/B10)</x:f>
      </x:c>
      <x:c r="H10" s="160" t="str">
        <x:f>IF(B10=0,"",E10/B10)</x:f>
      </x:c>
      <x:c r="I10" s="159">
        <x:f>IF(A10="","",I10)</x:f>
      </x:c>
      <x:c r="J10" s="153" t="str">
        <x:f>IF(A10="","",IF(F10&lt;I10,"Alle tavoite",IF(F10&gt;=I10*1.1,"Hyvä","OK")))</x:f>
      </x:c>
      <x:c r="K10" s="151"/>
      <x:c r="L10" s="151"/>
    </x:row>
    <x:row r="11">
      <x:c r="A11" s="151"/>
      <x:c r="B11" s="151"/>
      <x:c r="C11" s="159"/>
      <x:c r="D11" s="159"/>
      <x:c r="E11" s="160" t="str">
        <x:f>IF(A11="","",C11-D11)</x:f>
      </x:c>
      <x:c r="F11" s="160" t="str">
        <x:f>IF(B11=0,"",C11/B11)</x:f>
      </x:c>
      <x:c r="G11" s="160" t="str">
        <x:f>IF(B11=0,"",D11/B11)</x:f>
      </x:c>
      <x:c r="H11" s="160" t="str">
        <x:f>IF(B11=0,"",E11/B11)</x:f>
      </x:c>
      <x:c r="I11" s="159">
        <x:f>IF(A11="","",I11)</x:f>
      </x:c>
      <x:c r="J11" s="153" t="str">
        <x:f>IF(A11="","",IF(F11&lt;I11,"Alle tavoite",IF(F11&gt;=I11*1.1,"Hyvä","OK")))</x:f>
      </x:c>
      <x:c r="K11" s="151"/>
      <x:c r="L11" s="151"/>
    </x:row>
    <x:row r="12">
      <x:c r="A12" s="151"/>
      <x:c r="B12" s="151"/>
      <x:c r="C12" s="159"/>
      <x:c r="D12" s="159"/>
      <x:c r="E12" s="160" t="str">
        <x:f>IF(A12="","",C12-D12)</x:f>
      </x:c>
      <x:c r="F12" s="160" t="str">
        <x:f>IF(B12=0,"",C12/B12)</x:f>
      </x:c>
      <x:c r="G12" s="160" t="str">
        <x:f>IF(B12=0,"",D12/B12)</x:f>
      </x:c>
      <x:c r="H12" s="160" t="str">
        <x:f>IF(B12=0,"",E12/B12)</x:f>
      </x:c>
      <x:c r="I12" s="159">
        <x:f>IF(A12="","",I12)</x:f>
      </x:c>
      <x:c r="J12" s="153" t="str">
        <x:f>IF(A12="","",IF(F12&lt;I12,"Alle tavoite",IF(F12&gt;=I12*1.1,"Hyvä","OK")))</x:f>
      </x:c>
      <x:c r="K12" s="151"/>
      <x:c r="L12" s="151"/>
    </x:row>
    <x:row r="13">
      <x:c r="A13" s="151"/>
      <x:c r="B13" s="151"/>
      <x:c r="C13" s="159"/>
      <x:c r="D13" s="159"/>
      <x:c r="E13" s="160" t="str">
        <x:f>IF(A13="","",C13-D13)</x:f>
      </x:c>
      <x:c r="F13" s="160" t="str">
        <x:f>IF(B13=0,"",C13/B13)</x:f>
      </x:c>
      <x:c r="G13" s="160" t="str">
        <x:f>IF(B13=0,"",D13/B13)</x:f>
      </x:c>
      <x:c r="H13" s="160" t="str">
        <x:f>IF(B13=0,"",E13/B13)</x:f>
      </x:c>
      <x:c r="I13" s="159">
        <x:f>IF(A13="","",I13)</x:f>
      </x:c>
      <x:c r="J13" s="153" t="str">
        <x:f>IF(A13="","",IF(F13&lt;I13,"Alle tavoite",IF(F13&gt;=I13*1.1,"Hyvä","OK")))</x:f>
      </x:c>
      <x:c r="K13" s="151"/>
      <x:c r="L13" s="151"/>
    </x:row>
    <x:row r="14">
      <x:c r="A14" s="151"/>
      <x:c r="B14" s="151"/>
      <x:c r="C14" s="159"/>
      <x:c r="D14" s="159"/>
      <x:c r="E14" s="160" t="str">
        <x:f>IF(A14="","",C14-D14)</x:f>
      </x:c>
      <x:c r="F14" s="160" t="str">
        <x:f>IF(B14=0,"",C14/B14)</x:f>
      </x:c>
      <x:c r="G14" s="160" t="str">
        <x:f>IF(B14=0,"",D14/B14)</x:f>
      </x:c>
      <x:c r="H14" s="160" t="str">
        <x:f>IF(B14=0,"",E14/B14)</x:f>
      </x:c>
      <x:c r="I14" s="159">
        <x:f>IF(A14="","",I14)</x:f>
      </x:c>
      <x:c r="J14" s="153" t="str">
        <x:f>IF(A14="","",IF(F14&lt;I14,"Alle tavoite",IF(F14&gt;=I14*1.1,"Hyvä","OK")))</x:f>
      </x:c>
      <x:c r="K14" s="151"/>
      <x:c r="L14" s="151"/>
    </x:row>
    <x:row r="15">
      <x:c r="A15" s="151"/>
      <x:c r="B15" s="151"/>
      <x:c r="C15" s="159"/>
      <x:c r="D15" s="159"/>
      <x:c r="E15" s="160" t="str">
        <x:f>IF(A15="","",C15-D15)</x:f>
      </x:c>
      <x:c r="F15" s="160" t="str">
        <x:f>IF(B15=0,"",C15/B15)</x:f>
      </x:c>
      <x:c r="G15" s="160" t="str">
        <x:f>IF(B15=0,"",D15/B15)</x:f>
      </x:c>
      <x:c r="H15" s="160" t="str">
        <x:f>IF(B15=0,"",E15/B15)</x:f>
      </x:c>
      <x:c r="I15" s="159">
        <x:f>IF(A15="","",I15)</x:f>
      </x:c>
      <x:c r="J15" s="153" t="str">
        <x:f>IF(A15="","",IF(F15&lt;I15,"Alle tavoite",IF(F15&gt;=I15*1.1,"Hyvä","OK")))</x:f>
      </x:c>
      <x:c r="K15" s="151"/>
      <x:c r="L15" s="151"/>
    </x:row>
    <x:row r="16">
      <x:c r="A16" s="151"/>
      <x:c r="B16" s="151"/>
      <x:c r="C16" s="159"/>
      <x:c r="D16" s="159"/>
      <x:c r="E16" s="160" t="str">
        <x:f>IF(A16="","",C16-D16)</x:f>
      </x:c>
      <x:c r="F16" s="160" t="str">
        <x:f>IF(B16=0,"",C16/B16)</x:f>
      </x:c>
      <x:c r="G16" s="160" t="str">
        <x:f>IF(B16=0,"",D16/B16)</x:f>
      </x:c>
      <x:c r="H16" s="160" t="str">
        <x:f>IF(B16=0,"",E16/B16)</x:f>
      </x:c>
      <x:c r="I16" s="159">
        <x:f>IF(A16="","",I16)</x:f>
      </x:c>
      <x:c r="J16" s="153" t="str">
        <x:f>IF(A16="","",IF(F16&lt;I16,"Alle tavoite",IF(F16&gt;=I16*1.1,"Hyvä","OK")))</x:f>
      </x:c>
      <x:c r="K16" s="151"/>
      <x:c r="L16" s="151"/>
    </x:row>
    <x:row r="17">
      <x:c r="A17" s="151"/>
      <x:c r="B17" s="151"/>
      <x:c r="C17" s="159"/>
      <x:c r="D17" s="159"/>
      <x:c r="E17" s="160" t="str">
        <x:f>IF(A17="","",C17-D17)</x:f>
      </x:c>
      <x:c r="F17" s="160" t="str">
        <x:f>IF(B17=0,"",C17/B17)</x:f>
      </x:c>
      <x:c r="G17" s="160" t="str">
        <x:f>IF(B17=0,"",D17/B17)</x:f>
      </x:c>
      <x:c r="H17" s="160" t="str">
        <x:f>IF(B17=0,"",E17/B17)</x:f>
      </x:c>
      <x:c r="I17" s="159">
        <x:f>IF(A17="","",I17)</x:f>
      </x:c>
      <x:c r="J17" s="153" t="str">
        <x:f>IF(A17="","",IF(F17&lt;I17,"Alle tavoite",IF(F17&gt;=I17*1.1,"Hyvä","OK")))</x:f>
      </x:c>
      <x:c r="K17" s="151"/>
      <x:c r="L17" s="151"/>
    </x:row>
    <x:row r="18">
      <x:c r="A18" s="151"/>
      <x:c r="B18" s="151"/>
      <x:c r="C18" s="159"/>
      <x:c r="D18" s="159"/>
      <x:c r="E18" s="160" t="str">
        <x:f>IF(A18="","",C18-D18)</x:f>
      </x:c>
      <x:c r="F18" s="160" t="str">
        <x:f>IF(B18=0,"",C18/B18)</x:f>
      </x:c>
      <x:c r="G18" s="160" t="str">
        <x:f>IF(B18=0,"",D18/B18)</x:f>
      </x:c>
      <x:c r="H18" s="160" t="str">
        <x:f>IF(B18=0,"",E18/B18)</x:f>
      </x:c>
      <x:c r="I18" s="159">
        <x:f>IF(A18="","",I18)</x:f>
      </x:c>
      <x:c r="J18" s="153" t="str">
        <x:f>IF(A18="","",IF(F18&lt;I18,"Alle tavoite",IF(F18&gt;=I18*1.1,"Hyvä","OK")))</x:f>
      </x:c>
      <x:c r="K18" s="151"/>
      <x:c r="L18" s="151"/>
    </x:row>
    <x:row r="19">
      <x:c r="A19" s="151"/>
      <x:c r="B19" s="151"/>
      <x:c r="C19" s="159"/>
      <x:c r="D19" s="159"/>
      <x:c r="E19" s="160" t="str">
        <x:f>IF(A19="","",C19-D19)</x:f>
      </x:c>
      <x:c r="F19" s="160" t="str">
        <x:f>IF(B19=0,"",C19/B19)</x:f>
      </x:c>
      <x:c r="G19" s="160" t="str">
        <x:f>IF(B19=0,"",D19/B19)</x:f>
      </x:c>
      <x:c r="H19" s="160" t="str">
        <x:f>IF(B19=0,"",E19/B19)</x:f>
      </x:c>
      <x:c r="I19" s="159">
        <x:f>IF(A19="","",I19)</x:f>
      </x:c>
      <x:c r="J19" s="153" t="str">
        <x:f>IF(A19="","",IF(F19&lt;I19,"Alle tavoite",IF(F19&gt;=I19*1.1,"Hyvä","OK")))</x:f>
      </x:c>
      <x:c r="K19" s="151"/>
      <x:c r="L19" s="151"/>
    </x:row>
    <x:row r="20">
      <x:c r="A20" s="151"/>
      <x:c r="B20" s="151"/>
      <x:c r="C20" s="159"/>
      <x:c r="D20" s="159"/>
      <x:c r="E20" s="160" t="str">
        <x:f>IF(A20="","",C20-D20)</x:f>
      </x:c>
      <x:c r="F20" s="160" t="str">
        <x:f>IF(B20=0,"",C20/B20)</x:f>
      </x:c>
      <x:c r="G20" s="160" t="str">
        <x:f>IF(B20=0,"",D20/B20)</x:f>
      </x:c>
      <x:c r="H20" s="160" t="str">
        <x:f>IF(B20=0,"",E20/B20)</x:f>
      </x:c>
      <x:c r="I20" s="159">
        <x:f>IF(A20="","",I20)</x:f>
      </x:c>
      <x:c r="J20" s="153" t="str">
        <x:f>IF(A20="","",IF(F20&lt;I20,"Alle tavoite",IF(F20&gt;=I20*1.1,"Hyvä","OK")))</x:f>
      </x:c>
      <x:c r="K20" s="151"/>
      <x:c r="L20" s="151"/>
    </x:row>
    <x:row r="21">
      <x:c r="A21" s="151"/>
      <x:c r="B21" s="151"/>
      <x:c r="C21" s="159"/>
      <x:c r="D21" s="159"/>
      <x:c r="E21" s="160" t="str">
        <x:f>IF(A21="","",C21-D21)</x:f>
      </x:c>
      <x:c r="F21" s="160" t="str">
        <x:f>IF(B21=0,"",C21/B21)</x:f>
      </x:c>
      <x:c r="G21" s="160" t="str">
        <x:f>IF(B21=0,"",D21/B21)</x:f>
      </x:c>
      <x:c r="H21" s="160" t="str">
        <x:f>IF(B21=0,"",E21/B21)</x:f>
      </x:c>
      <x:c r="I21" s="159">
        <x:f>IF(A21="","",I21)</x:f>
      </x:c>
      <x:c r="J21" s="153" t="str">
        <x:f>IF(A21="","",IF(F21&lt;I21,"Alle tavoite",IF(F21&gt;=I21*1.1,"Hyvä","OK")))</x:f>
      </x:c>
      <x:c r="K21" s="151"/>
      <x:c r="L21" s="151"/>
    </x:row>
    <x:row r="22">
      <x:c r="A22" s="151"/>
      <x:c r="B22" s="151"/>
      <x:c r="C22" s="159"/>
      <x:c r="D22" s="159"/>
      <x:c r="E22" s="160" t="str">
        <x:f>IF(A22="","",C22-D22)</x:f>
      </x:c>
      <x:c r="F22" s="160" t="str">
        <x:f>IF(B22=0,"",C22/B22)</x:f>
      </x:c>
      <x:c r="G22" s="160" t="str">
        <x:f>IF(B22=0,"",D22/B22)</x:f>
      </x:c>
      <x:c r="H22" s="160" t="str">
        <x:f>IF(B22=0,"",E22/B22)</x:f>
      </x:c>
      <x:c r="I22" s="159">
        <x:f>IF(A22="","",I22)</x:f>
      </x:c>
      <x:c r="J22" s="153" t="str">
        <x:f>IF(A22="","",IF(F22&lt;I22,"Alle tavoite",IF(F22&gt;=I22*1.1,"Hyvä","OK")))</x:f>
      </x:c>
      <x:c r="K22" s="151"/>
      <x:c r="L22" s="151"/>
    </x:row>
    <x:row r="23">
      <x:c r="A23" s="151"/>
      <x:c r="B23" s="151"/>
      <x:c r="C23" s="159"/>
      <x:c r="D23" s="159"/>
      <x:c r="E23" s="160" t="str">
        <x:f>IF(A23="","",C23-D23)</x:f>
      </x:c>
      <x:c r="F23" s="160" t="str">
        <x:f>IF(B23=0,"",C23/B23)</x:f>
      </x:c>
      <x:c r="G23" s="160" t="str">
        <x:f>IF(B23=0,"",D23/B23)</x:f>
      </x:c>
      <x:c r="H23" s="160" t="str">
        <x:f>IF(B23=0,"",E23/B23)</x:f>
      </x:c>
      <x:c r="I23" s="159">
        <x:f>IF(A23="","",I23)</x:f>
      </x:c>
      <x:c r="J23" s="153" t="str">
        <x:f>IF(A23="","",IF(F23&lt;I23,"Alle tavoite",IF(F23&gt;=I23*1.1,"Hyvä","OK")))</x:f>
      </x:c>
      <x:c r="K23" s="151"/>
      <x:c r="L23" s="151"/>
    </x:row>
    <x:row r="24">
      <x:c r="A24" s="151"/>
      <x:c r="B24" s="151"/>
      <x:c r="C24" s="159"/>
      <x:c r="D24" s="159"/>
      <x:c r="E24" s="160" t="str">
        <x:f>IF(A24="","",C24-D24)</x:f>
      </x:c>
      <x:c r="F24" s="160" t="str">
        <x:f>IF(B24=0,"",C24/B24)</x:f>
      </x:c>
      <x:c r="G24" s="160" t="str">
        <x:f>IF(B24=0,"",D24/B24)</x:f>
      </x:c>
      <x:c r="H24" s="160" t="str">
        <x:f>IF(B24=0,"",E24/B24)</x:f>
      </x:c>
      <x:c r="I24" s="159">
        <x:f>IF(A24="","",I24)</x:f>
      </x:c>
      <x:c r="J24" s="153" t="str">
        <x:f>IF(A24="","",IF(F24&lt;I24,"Alle tavoite",IF(F24&gt;=I24*1.1,"Hyvä","OK")))</x:f>
      </x:c>
      <x:c r="K24" s="151"/>
      <x:c r="L24" s="151"/>
    </x:row>
    <x:row r="25">
      <x:c r="A25" s="151"/>
      <x:c r="B25" s="151"/>
      <x:c r="C25" s="159"/>
      <x:c r="D25" s="159"/>
      <x:c r="E25" s="160" t="str">
        <x:f>IF(A25="","",C25-D25)</x:f>
      </x:c>
      <x:c r="F25" s="160" t="str">
        <x:f>IF(B25=0,"",C25/B25)</x:f>
      </x:c>
      <x:c r="G25" s="160" t="str">
        <x:f>IF(B25=0,"",D25/B25)</x:f>
      </x:c>
      <x:c r="H25" s="160" t="str">
        <x:f>IF(B25=0,"",E25/B25)</x:f>
      </x:c>
      <x:c r="I25" s="159">
        <x:f>IF(A25="","",I25)</x:f>
      </x:c>
      <x:c r="J25" s="153" t="str">
        <x:f>IF(A25="","",IF(F25&lt;I25,"Alle tavoite",IF(F25&gt;=I25*1.1,"Hyvä","OK")))</x:f>
      </x:c>
      <x:c r="K25" s="151"/>
      <x:c r="L25" s="151"/>
    </x:row>
    <x:row r="26">
      <x:c r="A26" s="151"/>
      <x:c r="B26" s="151"/>
      <x:c r="C26" s="159"/>
      <x:c r="D26" s="159"/>
      <x:c r="E26" s="160" t="str">
        <x:f>IF(A26="","",C26-D26)</x:f>
      </x:c>
      <x:c r="F26" s="160" t="str">
        <x:f>IF(B26=0,"",C26/B26)</x:f>
      </x:c>
      <x:c r="G26" s="160" t="str">
        <x:f>IF(B26=0,"",D26/B26)</x:f>
      </x:c>
      <x:c r="H26" s="160" t="str">
        <x:f>IF(B26=0,"",E26/B26)</x:f>
      </x:c>
      <x:c r="I26" s="159">
        <x:f>IF(A26="","",I26)</x:f>
      </x:c>
      <x:c r="J26" s="153" t="str">
        <x:f>IF(A26="","",IF(F26&lt;I26,"Alle tavoite",IF(F26&gt;=I26*1.1,"Hyvä","OK")))</x:f>
      </x:c>
      <x:c r="K26" s="151"/>
      <x:c r="L26" s="151"/>
    </x:row>
    <x:row r="27">
      <x:c r="A27" s="151"/>
      <x:c r="B27" s="151"/>
      <x:c r="C27" s="159"/>
      <x:c r="D27" s="159"/>
      <x:c r="E27" s="160" t="str">
        <x:f>IF(A27="","",C27-D27)</x:f>
      </x:c>
      <x:c r="F27" s="160" t="str">
        <x:f>IF(B27=0,"",C27/B27)</x:f>
      </x:c>
      <x:c r="G27" s="160" t="str">
        <x:f>IF(B27=0,"",D27/B27)</x:f>
      </x:c>
      <x:c r="H27" s="160" t="str">
        <x:f>IF(B27=0,"",E27/B27)</x:f>
      </x:c>
      <x:c r="I27" s="159">
        <x:f>IF(A27="","",I27)</x:f>
      </x:c>
      <x:c r="J27" s="153" t="str">
        <x:f>IF(A27="","",IF(F27&lt;I27,"Alle tavoite",IF(F27&gt;=I27*1.1,"Hyvä","OK")))</x:f>
      </x:c>
      <x:c r="K27" s="151"/>
      <x:c r="L27" s="151"/>
    </x:row>
    <x:row r="28">
      <x:c r="A28" s="151"/>
      <x:c r="B28" s="151"/>
      <x:c r="C28" s="159"/>
      <x:c r="D28" s="159"/>
      <x:c r="E28" s="160" t="str">
        <x:f>IF(A28="","",C28-D28)</x:f>
      </x:c>
      <x:c r="F28" s="160" t="str">
        <x:f>IF(B28=0,"",C28/B28)</x:f>
      </x:c>
      <x:c r="G28" s="160" t="str">
        <x:f>IF(B28=0,"",D28/B28)</x:f>
      </x:c>
      <x:c r="H28" s="160" t="str">
        <x:f>IF(B28=0,"",E28/B28)</x:f>
      </x:c>
      <x:c r="I28" s="159">
        <x:f>IF(A28="","",I28)</x:f>
      </x:c>
      <x:c r="J28" s="153" t="str">
        <x:f>IF(A28="","",IF(F28&lt;I28,"Alle tavoite",IF(F28&gt;=I28*1.1,"Hyvä","OK")))</x:f>
      </x:c>
      <x:c r="K28" s="151"/>
      <x:c r="L28" s="151"/>
    </x:row>
    <x:row r="29">
      <x:c r="A29" s="151"/>
      <x:c r="B29" s="151"/>
      <x:c r="C29" s="159"/>
      <x:c r="D29" s="159"/>
      <x:c r="E29" s="160" t="str">
        <x:f>IF(A29="","",C29-D29)</x:f>
      </x:c>
      <x:c r="F29" s="160" t="str">
        <x:f>IF(B29=0,"",C29/B29)</x:f>
      </x:c>
      <x:c r="G29" s="160" t="str">
        <x:f>IF(B29=0,"",D29/B29)</x:f>
      </x:c>
      <x:c r="H29" s="160" t="str">
        <x:f>IF(B29=0,"",E29/B29)</x:f>
      </x:c>
      <x:c r="I29" s="159">
        <x:f>IF(A29="","",I29)</x:f>
      </x:c>
      <x:c r="J29" s="153" t="str">
        <x:f>IF(A29="","",IF(F29&lt;I29,"Alle tavoite",IF(F29&gt;=I29*1.1,"Hyvä","OK")))</x:f>
      </x:c>
      <x:c r="K29" s="151"/>
      <x:c r="L29" s="151"/>
    </x:row>
    <x:row r="30">
      <x:c r="A30" s="151"/>
      <x:c r="B30" s="151"/>
      <x:c r="C30" s="159"/>
      <x:c r="D30" s="159"/>
      <x:c r="E30" s="160" t="str">
        <x:f>IF(A30="","",C30-D30)</x:f>
      </x:c>
      <x:c r="F30" s="160" t="str">
        <x:f>IF(B30=0,"",C30/B30)</x:f>
      </x:c>
      <x:c r="G30" s="160" t="str">
        <x:f>IF(B30=0,"",D30/B30)</x:f>
      </x:c>
      <x:c r="H30" s="160" t="str">
        <x:f>IF(B30=0,"",E30/B30)</x:f>
      </x:c>
      <x:c r="I30" s="159">
        <x:f>IF(A30="","",I30)</x:f>
      </x:c>
      <x:c r="J30" s="153" t="str">
        <x:f>IF(A30="","",IF(F30&lt;I30,"Alle tavoite",IF(F30&gt;=I30*1.1,"Hyvä","OK")))</x:f>
      </x:c>
      <x:c r="K30" s="151"/>
      <x:c r="L30" s="151"/>
    </x:row>
    <x:row r="31">
      <x:c r="A31" s="151"/>
      <x:c r="B31" s="151"/>
      <x:c r="C31" s="159"/>
      <x:c r="D31" s="159"/>
      <x:c r="E31" s="160" t="str">
        <x:f>IF(A31="","",C31-D31)</x:f>
      </x:c>
      <x:c r="F31" s="160" t="str">
        <x:f>IF(B31=0,"",C31/B31)</x:f>
      </x:c>
      <x:c r="G31" s="160" t="str">
        <x:f>IF(B31=0,"",D31/B31)</x:f>
      </x:c>
      <x:c r="H31" s="160" t="str">
        <x:f>IF(B31=0,"",E31/B31)</x:f>
      </x:c>
      <x:c r="I31" s="159">
        <x:f>IF(A31="","",I31)</x:f>
      </x:c>
      <x:c r="J31" s="153" t="str">
        <x:f>IF(A31="","",IF(F31&lt;I31,"Alle tavoite",IF(F31&gt;=I31*1.1,"Hyvä","OK")))</x:f>
      </x:c>
      <x:c r="K31" s="151"/>
      <x:c r="L31" s="151"/>
    </x:row>
    <x:row r="32">
      <x:c r="A32" s="151"/>
      <x:c r="B32" s="151"/>
      <x:c r="C32" s="159"/>
      <x:c r="D32" s="159"/>
      <x:c r="E32" s="160" t="str">
        <x:f>IF(A32="","",C32-D32)</x:f>
      </x:c>
      <x:c r="F32" s="160" t="str">
        <x:f>IF(B32=0,"",C32/B32)</x:f>
      </x:c>
      <x:c r="G32" s="160" t="str">
        <x:f>IF(B32=0,"",D32/B32)</x:f>
      </x:c>
      <x:c r="H32" s="160" t="str">
        <x:f>IF(B32=0,"",E32/B32)</x:f>
      </x:c>
      <x:c r="I32" s="159">
        <x:f>IF(A32="","",I32)</x:f>
      </x:c>
      <x:c r="J32" s="153" t="str">
        <x:f>IF(A32="","",IF(F32&lt;I32,"Alle tavoite",IF(F32&gt;=I32*1.1,"Hyvä","OK")))</x:f>
      </x:c>
      <x:c r="K32" s="151"/>
      <x:c r="L32" s="151"/>
    </x:row>
    <x:row r="33">
      <x:c r="A33" s="151"/>
      <x:c r="B33" s="151"/>
      <x:c r="C33" s="159"/>
      <x:c r="D33" s="159"/>
      <x:c r="E33" s="160" t="str">
        <x:f>IF(A33="","",C33-D33)</x:f>
      </x:c>
      <x:c r="F33" s="160" t="str">
        <x:f>IF(B33=0,"",C33/B33)</x:f>
      </x:c>
      <x:c r="G33" s="160" t="str">
        <x:f>IF(B33=0,"",D33/B33)</x:f>
      </x:c>
      <x:c r="H33" s="160" t="str">
        <x:f>IF(B33=0,"",E33/B33)</x:f>
      </x:c>
      <x:c r="I33" s="159">
        <x:f>IF(A33="","",I33)</x:f>
      </x:c>
      <x:c r="J33" s="153" t="str">
        <x:f>IF(A33="","",IF(F33&lt;I33,"Alle tavoite",IF(F33&gt;=I33*1.1,"Hyvä","OK")))</x:f>
      </x:c>
      <x:c r="K33" s="151"/>
      <x:c r="L33" s="151"/>
    </x:row>
    <x:row r="34">
      <x:c r="A34" s="151"/>
      <x:c r="B34" s="151"/>
      <x:c r="C34" s="159"/>
      <x:c r="D34" s="159"/>
      <x:c r="E34" s="160" t="str">
        <x:f>IF(A34="","",C34-D34)</x:f>
      </x:c>
      <x:c r="F34" s="160" t="str">
        <x:f>IF(B34=0,"",C34/B34)</x:f>
      </x:c>
      <x:c r="G34" s="160" t="str">
        <x:f>IF(B34=0,"",D34/B34)</x:f>
      </x:c>
      <x:c r="H34" s="160" t="str">
        <x:f>IF(B34=0,"",E34/B34)</x:f>
      </x:c>
      <x:c r="I34" s="159">
        <x:f>IF(A34="","",I34)</x:f>
      </x:c>
      <x:c r="J34" s="153" t="str">
        <x:f>IF(A34="","",IF(F34&lt;I34,"Alle tavoite",IF(F34&gt;=I34*1.1,"Hyvä","OK")))</x:f>
      </x:c>
      <x:c r="K34" s="151"/>
      <x:c r="L34" s="151"/>
    </x:row>
    <x:row r="35">
      <x:c r="A35" s="151"/>
      <x:c r="B35" s="151"/>
      <x:c r="C35" s="159"/>
      <x:c r="D35" s="159"/>
      <x:c r="E35" s="160" t="str">
        <x:f>IF(A35="","",C35-D35)</x:f>
      </x:c>
      <x:c r="F35" s="160" t="str">
        <x:f>IF(B35=0,"",C35/B35)</x:f>
      </x:c>
      <x:c r="G35" s="160" t="str">
        <x:f>IF(B35=0,"",D35/B35)</x:f>
      </x:c>
      <x:c r="H35" s="160" t="str">
        <x:f>IF(B35=0,"",E35/B35)</x:f>
      </x:c>
      <x:c r="I35" s="159">
        <x:f>IF(A35="","",I35)</x:f>
      </x:c>
      <x:c r="J35" s="153" t="str">
        <x:f>IF(A35="","",IF(F35&lt;I35,"Alle tavoite",IF(F35&gt;=I35*1.1,"Hyvä","OK")))</x:f>
      </x:c>
      <x:c r="K35" s="151"/>
      <x:c r="L35" s="151"/>
    </x:row>
    <x:row r="36">
      <x:c r="A36" s="151"/>
      <x:c r="B36" s="151"/>
      <x:c r="C36" s="159"/>
      <x:c r="D36" s="159"/>
      <x:c r="E36" s="160" t="str">
        <x:f>IF(A36="","",C36-D36)</x:f>
      </x:c>
      <x:c r="F36" s="160" t="str">
        <x:f>IF(B36=0,"",C36/B36)</x:f>
      </x:c>
      <x:c r="G36" s="160" t="str">
        <x:f>IF(B36=0,"",D36/B36)</x:f>
      </x:c>
      <x:c r="H36" s="160" t="str">
        <x:f>IF(B36=0,"",E36/B36)</x:f>
      </x:c>
      <x:c r="I36" s="159">
        <x:f>IF(A36="","",I36)</x:f>
      </x:c>
      <x:c r="J36" s="153" t="str">
        <x:f>IF(A36="","",IF(F36&lt;I36,"Alle tavoite",IF(F36&gt;=I36*1.1,"Hyvä","OK")))</x:f>
      </x:c>
      <x:c r="K36" s="151"/>
      <x:c r="L36" s="151"/>
    </x:row>
    <x:row r="37">
      <x:c r="A37" s="151"/>
      <x:c r="B37" s="151"/>
      <x:c r="C37" s="159"/>
      <x:c r="D37" s="159"/>
      <x:c r="E37" s="160" t="str">
        <x:f>IF(A37="","",C37-D37)</x:f>
      </x:c>
      <x:c r="F37" s="160" t="str">
        <x:f>IF(B37=0,"",C37/B37)</x:f>
      </x:c>
      <x:c r="G37" s="160" t="str">
        <x:f>IF(B37=0,"",D37/B37)</x:f>
      </x:c>
      <x:c r="H37" s="160" t="str">
        <x:f>IF(B37=0,"",E37/B37)</x:f>
      </x:c>
      <x:c r="I37" s="159">
        <x:f>IF(A37="","",I37)</x:f>
      </x:c>
      <x:c r="J37" s="153" t="str">
        <x:f>IF(A37="","",IF(F37&lt;I37,"Alle tavoite",IF(F37&gt;=I37*1.1,"Hyvä","OK")))</x:f>
      </x:c>
      <x:c r="K37" s="151"/>
      <x:c r="L37" s="151"/>
    </x:row>
    <x:row r="38">
      <x:c r="A38" s="151"/>
      <x:c r="B38" s="151"/>
      <x:c r="C38" s="159"/>
      <x:c r="D38" s="159"/>
      <x:c r="E38" s="160" t="str">
        <x:f>IF(A38="","",C38-D38)</x:f>
      </x:c>
      <x:c r="F38" s="160" t="str">
        <x:f>IF(B38=0,"",C38/B38)</x:f>
      </x:c>
      <x:c r="G38" s="160" t="str">
        <x:f>IF(B38=0,"",D38/B38)</x:f>
      </x:c>
      <x:c r="H38" s="160" t="str">
        <x:f>IF(B38=0,"",E38/B38)</x:f>
      </x:c>
      <x:c r="I38" s="159">
        <x:f>IF(A38="","",I38)</x:f>
      </x:c>
      <x:c r="J38" s="153" t="str">
        <x:f>IF(A38="","",IF(F38&lt;I38,"Alle tavoite",IF(F38&gt;=I38*1.1,"Hyvä","OK")))</x:f>
      </x:c>
      <x:c r="K38" s="151"/>
      <x:c r="L38" s="151"/>
    </x:row>
    <x:row r="39">
      <x:c r="A39" s="151"/>
      <x:c r="B39" s="151"/>
      <x:c r="C39" s="159"/>
      <x:c r="D39" s="159"/>
      <x:c r="E39" s="160" t="str">
        <x:f>IF(A39="","",C39-D39)</x:f>
      </x:c>
      <x:c r="F39" s="160" t="str">
        <x:f>IF(B39=0,"",C39/B39)</x:f>
      </x:c>
      <x:c r="G39" s="160" t="str">
        <x:f>IF(B39=0,"",D39/B39)</x:f>
      </x:c>
      <x:c r="H39" s="160" t="str">
        <x:f>IF(B39=0,"",E39/B39)</x:f>
      </x:c>
      <x:c r="I39" s="159">
        <x:f>IF(A39="","",I39)</x:f>
      </x:c>
      <x:c r="J39" s="153" t="str">
        <x:f>IF(A39="","",IF(F39&lt;I39,"Alle tavoite",IF(F39&gt;=I39*1.1,"Hyvä","OK")))</x:f>
      </x:c>
      <x:c r="K39" s="151"/>
      <x:c r="L39" s="151"/>
    </x:row>
    <x:row r="40">
      <x:c r="A40" s="151"/>
      <x:c r="B40" s="151"/>
      <x:c r="C40" s="159"/>
      <x:c r="D40" s="159"/>
      <x:c r="E40" s="160" t="str">
        <x:f>IF(A40="","",C40-D40)</x:f>
      </x:c>
      <x:c r="F40" s="160" t="str">
        <x:f>IF(B40=0,"",C40/B40)</x:f>
      </x:c>
      <x:c r="G40" s="160" t="str">
        <x:f>IF(B40=0,"",D40/B40)</x:f>
      </x:c>
      <x:c r="H40" s="160" t="str">
        <x:f>IF(B40=0,"",E40/B40)</x:f>
      </x:c>
      <x:c r="I40" s="159">
        <x:f>IF(A40="","",I40)</x:f>
      </x:c>
      <x:c r="J40" s="153" t="str">
        <x:f>IF(A40="","",IF(F40&lt;I40,"Alle tavoite",IF(F40&gt;=I40*1.1,"Hyvä","OK")))</x:f>
      </x:c>
      <x:c r="K40" s="151"/>
      <x:c r="L40" s="151"/>
    </x:row>
    <x:row r="41">
      <x:c r="A41" s="151"/>
      <x:c r="B41" s="151"/>
      <x:c r="C41" s="159"/>
      <x:c r="D41" s="159"/>
      <x:c r="E41" s="160"/>
      <x:c r="F41" s="160"/>
      <x:c r="G41" s="160"/>
      <x:c r="H41" s="160"/>
      <x:c r="I41" s="159"/>
      <x:c r="J41" s="153"/>
      <x:c r="K41" s="151"/>
      <x:c r="L41" s="151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01bbf8ebb244308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</x:cols>
  <x:sheetData>
    <x:row r="1">
      <x:c r="A1" s="142" t="str">
        <x:v>5. Trailerityypin vaikutus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Kalustovalinnan vaikutus kapasiteettiin, lisäkuluihin, CO₂:een ja riskiin.</x:v>
      </x:c>
    </x:row>
    <x:row r="4">
      <x:c r="A4" s="148" t="str">
        <x:v>Trailerityyppi</x:v>
      </x:c>
      <x:c r="B4" s="148" t="str">
        <x:v>Lavapaikat</x:v>
      </x:c>
      <x:c r="C4" s="148" t="str">
        <x:v>Max paino kg</x:v>
      </x:c>
      <x:c r="D4" s="148" t="str">
        <x:v>Thermo?</x:v>
      </x:c>
      <x:c r="E4" s="148" t="str">
        <x:v>ADR?</x:v>
      </x:c>
      <x:c r="F4" s="148" t="str">
        <x:v>Sivulastaus?</x:v>
      </x:c>
      <x:c r="G4" s="148" t="str">
        <x:v>Päivävuokra €</x:v>
      </x:c>
      <x:c r="H4" s="148" t="str">
        <x:v>Thermolisä €</x:v>
      </x:c>
      <x:c r="I4" s="148" t="str">
        <x:v>ADR-lisä €</x:v>
      </x:c>
      <x:c r="J4" s="148" t="str">
        <x:v>CO₂ kg/km</x:v>
      </x:c>
      <x:c r="K4" s="148" t="str">
        <x:v>Riskipisteet</x:v>
      </x:c>
      <x:c r="L4" s="148" t="str">
        <x:v>Sopivuus</x:v>
      </x:c>
      <x:c r="M4" s="148" t="str">
        <x:v>Kokonaislisä €</x:v>
      </x:c>
      <x:c r="N4" s="148" t="str">
        <x:v>Huomio</x:v>
      </x:c>
    </x:row>
    <x:row r="5">
      <x:c r="A5" s="151" t="str">
        <x:v>Verhotraileri / pressu</x:v>
      </x:c>
      <x:c r="B5" s="151" t="n">
        <x:v>33</x:v>
      </x:c>
      <x:c r="C5" s="151" t="n">
        <x:v>24000</x:v>
      </x:c>
      <x:c r="D5" s="151" t="str">
        <x:v>Ei</x:v>
      </x:c>
      <x:c r="E5" s="151" t="str">
        <x:v>Kyllä</x:v>
      </x:c>
      <x:c r="F5" s="151" t="str">
        <x:v>Kyllä</x:v>
      </x:c>
      <x:c r="G5" s="161" t="n">
        <x:v>55</x:v>
      </x:c>
      <x:c r="H5" s="161" t="n">
        <x:v>0</x:v>
      </x:c>
      <x:c r="I5" s="161" t="n">
        <x:v>75</x:v>
      </x:c>
      <x:c r="J5" s="151" t="n">
        <x:v>0.9</x:v>
      </x:c>
      <x:c r="K5" s="151" t="n">
        <x:v>2</x:v>
      </x:c>
      <x:c r="L5" s="154" t="str">
        <x:f>IF(A5="","",IF(K5&gt;=4,"Tarkista",IF(K5&gt;=2,"Sopii ehdollisesti","Sopii")))</x:f>
        <x:v>Sopii ehdollisesti</x:v>
      </x:c>
      <x:c r="M5" s="154" t="n">
        <x:f>IF(A5="","",G5+H5+I5)</x:f>
        <x:v>130</x:v>
      </x:c>
      <x:c r="N5" s="151" t="str">
        <x:v>Sivulastaus</x:v>
      </x:c>
    </x:row>
    <x:row r="6">
      <x:c r="A6" s="151" t="str">
        <x:v>Umpikaappi</x:v>
      </x:c>
      <x:c r="B6" s="151" t="n">
        <x:v>33</x:v>
      </x:c>
      <x:c r="C6" s="151" t="n">
        <x:v>24000</x:v>
      </x:c>
      <x:c r="D6" s="151" t="str">
        <x:v>Ei</x:v>
      </x:c>
      <x:c r="E6" s="151" t="str">
        <x:v>Kyllä</x:v>
      </x:c>
      <x:c r="F6" s="151" t="str">
        <x:v>Ei</x:v>
      </x:c>
      <x:c r="G6" s="161" t="n">
        <x:v>50</x:v>
      </x:c>
      <x:c r="H6" s="161" t="n">
        <x:v>0</x:v>
      </x:c>
      <x:c r="I6" s="161" t="n">
        <x:v>75</x:v>
      </x:c>
      <x:c r="J6" s="151" t="n">
        <x:v>0.9</x:v>
      </x:c>
      <x:c r="K6" s="151" t="n">
        <x:v>1</x:v>
      </x:c>
      <x:c r="L6" s="154" t="str">
        <x:f>IF(A6="","",IF(K6&gt;=4,"Tarkista",IF(K6&gt;=2,"Sopii ehdollisesti","Sopii")))</x:f>
        <x:v>Sopii</x:v>
      </x:c>
      <x:c r="M6" s="154" t="n">
        <x:f>IF(A6="","",G6+H6+I6)</x:f>
        <x:v>125</x:v>
      </x:c>
      <x:c r="N6" s="151" t="str">
        <x:v>Kuiva tavara</x:v>
      </x:c>
    </x:row>
    <x:row r="7">
      <x:c r="A7" s="151" t="str">
        <x:v>Thermo / kylmäkaappi</x:v>
      </x:c>
      <x:c r="B7" s="151" t="n">
        <x:v>33</x:v>
      </x:c>
      <x:c r="C7" s="151" t="n">
        <x:v>22000</x:v>
      </x:c>
      <x:c r="D7" s="151" t="str">
        <x:v>Kyllä</x:v>
      </x:c>
      <x:c r="E7" s="151" t="str">
        <x:v>Ei</x:v>
      </x:c>
      <x:c r="F7" s="151" t="str">
        <x:v>Ei</x:v>
      </x:c>
      <x:c r="G7" s="161" t="n">
        <x:v>70</x:v>
      </x:c>
      <x:c r="H7" s="161" t="n">
        <x:v>90</x:v>
      </x:c>
      <x:c r="I7" s="161" t="n">
        <x:v>0</x:v>
      </x:c>
      <x:c r="J7" s="151" t="n">
        <x:v>1.05</x:v>
      </x:c>
      <x:c r="K7" s="151" t="n">
        <x:v>2</x:v>
      </x:c>
      <x:c r="L7" s="154" t="str">
        <x:f>IF(A7="","",IF(K7&gt;=4,"Tarkista",IF(K7&gt;=2,"Sopii ehdollisesti","Sopii")))</x:f>
        <x:v>Sopii ehdollisesti</x:v>
      </x:c>
      <x:c r="M7" s="154" t="n">
        <x:f>IF(A7="","",G7+H7+I7)</x:f>
        <x:v>160</x:v>
      </x:c>
      <x:c r="N7" s="151" t="str">
        <x:v>Lämpösäädelty</x:v>
      </x:c>
    </x:row>
    <x:row r="8">
      <x:c r="A8" s="151" t="str">
        <x:v>Thermo kylkiäukeava</x:v>
      </x:c>
      <x:c r="B8" s="151" t="n">
        <x:v>33</x:v>
      </x:c>
      <x:c r="C8" s="151" t="n">
        <x:v>22000</x:v>
      </x:c>
      <x:c r="D8" s="151" t="str">
        <x:v>Kyllä</x:v>
      </x:c>
      <x:c r="E8" s="151" t="str">
        <x:v>Ei</x:v>
      </x:c>
      <x:c r="F8" s="151" t="str">
        <x:v>Kyllä</x:v>
      </x:c>
      <x:c r="G8" s="161" t="n">
        <x:v>80</x:v>
      </x:c>
      <x:c r="H8" s="161" t="n">
        <x:v>100</x:v>
      </x:c>
      <x:c r="I8" s="161" t="n">
        <x:v>0</x:v>
      </x:c>
      <x:c r="J8" s="151" t="n">
        <x:v>1.1</x:v>
      </x:c>
      <x:c r="K8" s="151" t="n">
        <x:v>3</x:v>
      </x:c>
      <x:c r="L8" s="154" t="str">
        <x:f>IF(A8="","",IF(K8&gt;=4,"Tarkista",IF(K8&gt;=2,"Sopii ehdollisesti","Sopii")))</x:f>
        <x:v>Sopii ehdollisesti</x:v>
      </x:c>
      <x:c r="M8" s="154" t="n">
        <x:f>IF(A8="","",G8+H8+I8)</x:f>
        <x:v>180</x:v>
      </x:c>
      <x:c r="N8" s="151" t="str">
        <x:v>Thermo + sivu</x:v>
      </x:c>
    </x:row>
    <x:row r="9">
      <x:c r="A9" s="151" t="str">
        <x:v>Double temp / 2-kone</x:v>
      </x:c>
      <x:c r="B9" s="151" t="n">
        <x:v>33</x:v>
      </x:c>
      <x:c r="C9" s="151" t="n">
        <x:v>21000</x:v>
      </x:c>
      <x:c r="D9" s="151" t="str">
        <x:v>Kyllä</x:v>
      </x:c>
      <x:c r="E9" s="151" t="str">
        <x:v>Ei</x:v>
      </x:c>
      <x:c r="F9" s="151" t="str">
        <x:v>Ei</x:v>
      </x:c>
      <x:c r="G9" s="161" t="n">
        <x:v>90</x:v>
      </x:c>
      <x:c r="H9" s="161" t="n">
        <x:v>130</x:v>
      </x:c>
      <x:c r="I9" s="161" t="n">
        <x:v>0</x:v>
      </x:c>
      <x:c r="J9" s="151" t="n">
        <x:v>1.15</x:v>
      </x:c>
      <x:c r="K9" s="151" t="n">
        <x:v>4</x:v>
      </x:c>
      <x:c r="L9" s="154" t="str">
        <x:f>IF(A9="","",IF(K9&gt;=4,"Tarkista",IF(K9&gt;=2,"Sopii ehdollisesti","Sopii")))</x:f>
        <x:v>Tarkista</x:v>
      </x:c>
      <x:c r="M9" s="154" t="n">
        <x:f>IF(A9="","",G9+H9+I9)</x:f>
        <x:v>220</x:v>
      </x:c>
      <x:c r="N9" s="151" t="str">
        <x:v>Kaksi lämpötilaa</x:v>
      </x:c>
    </x:row>
    <x:row r="10">
      <x:c r="A10" s="151"/>
      <x:c r="B10" s="151"/>
      <x:c r="C10" s="151"/>
      <x:c r="D10" s="151"/>
      <x:c r="E10" s="151"/>
      <x:c r="F10" s="151"/>
      <x:c r="G10" s="161"/>
      <x:c r="H10" s="161"/>
      <x:c r="I10" s="161"/>
      <x:c r="J10" s="151"/>
      <x:c r="K10" s="151"/>
      <x:c r="L10" s="154" t="str">
        <x:f>IF(A10="","",IF(K10&gt;=4,"Tarkista",IF(K10&gt;=2,"Sopii ehdollisesti","Sopii")))</x:f>
      </x:c>
      <x:c r="M10" s="154" t="str">
        <x:f>IF(A10="","",G10+H10+I10)</x:f>
      </x:c>
      <x:c r="N10" s="151"/>
    </x:row>
    <x:row r="11">
      <x:c r="A11" s="151"/>
      <x:c r="B11" s="151"/>
      <x:c r="C11" s="151"/>
      <x:c r="D11" s="151"/>
      <x:c r="E11" s="151"/>
      <x:c r="F11" s="151"/>
      <x:c r="G11" s="161"/>
      <x:c r="H11" s="161"/>
      <x:c r="I11" s="161"/>
      <x:c r="J11" s="151"/>
      <x:c r="K11" s="151"/>
      <x:c r="L11" s="154" t="str">
        <x:f>IF(A11="","",IF(K11&gt;=4,"Tarkista",IF(K11&gt;=2,"Sopii ehdollisesti","Sopii")))</x:f>
      </x:c>
      <x:c r="M11" s="154" t="str">
        <x:f>IF(A11="","",G11+H11+I11)</x:f>
      </x:c>
      <x:c r="N11" s="151"/>
    </x:row>
    <x:row r="12">
      <x:c r="A12" s="151"/>
      <x:c r="B12" s="151"/>
      <x:c r="C12" s="151"/>
      <x:c r="D12" s="151"/>
      <x:c r="E12" s="151"/>
      <x:c r="F12" s="151"/>
      <x:c r="G12" s="161"/>
      <x:c r="H12" s="161"/>
      <x:c r="I12" s="161"/>
      <x:c r="J12" s="151"/>
      <x:c r="K12" s="151"/>
      <x:c r="L12" s="154" t="str">
        <x:f>IF(A12="","",IF(K12&gt;=4,"Tarkista",IF(K12&gt;=2,"Sopii ehdollisesti","Sopii")))</x:f>
      </x:c>
      <x:c r="M12" s="154" t="str">
        <x:f>IF(A12="","",G12+H12+I12)</x:f>
      </x:c>
      <x:c r="N12" s="151"/>
    </x:row>
    <x:row r="13">
      <x:c r="A13" s="151"/>
      <x:c r="B13" s="151"/>
      <x:c r="C13" s="151"/>
      <x:c r="D13" s="151"/>
      <x:c r="E13" s="151"/>
      <x:c r="F13" s="151"/>
      <x:c r="G13" s="161"/>
      <x:c r="H13" s="161"/>
      <x:c r="I13" s="161"/>
      <x:c r="J13" s="151"/>
      <x:c r="K13" s="151"/>
      <x:c r="L13" s="154" t="str">
        <x:f>IF(A13="","",IF(K13&gt;=4,"Tarkista",IF(K13&gt;=2,"Sopii ehdollisesti","Sopii")))</x:f>
      </x:c>
      <x:c r="M13" s="154" t="str">
        <x:f>IF(A13="","",G13+H13+I13)</x:f>
      </x:c>
      <x:c r="N13" s="151"/>
    </x:row>
    <x:row r="14">
      <x:c r="A14" s="151"/>
      <x:c r="B14" s="151"/>
      <x:c r="C14" s="151"/>
      <x:c r="D14" s="151"/>
      <x:c r="E14" s="151"/>
      <x:c r="F14" s="151"/>
      <x:c r="G14" s="161"/>
      <x:c r="H14" s="161"/>
      <x:c r="I14" s="161"/>
      <x:c r="J14" s="151"/>
      <x:c r="K14" s="151"/>
      <x:c r="L14" s="154" t="str">
        <x:f>IF(A14="","",IF(K14&gt;=4,"Tarkista",IF(K14&gt;=2,"Sopii ehdollisesti","Sopii")))</x:f>
      </x:c>
      <x:c r="M14" s="154" t="str">
        <x:f>IF(A14="","",G14+H14+I14)</x:f>
      </x:c>
      <x:c r="N14" s="151"/>
    </x:row>
    <x:row r="15">
      <x:c r="A15" s="151"/>
      <x:c r="B15" s="151"/>
      <x:c r="C15" s="151"/>
      <x:c r="D15" s="151"/>
      <x:c r="E15" s="151"/>
      <x:c r="F15" s="151"/>
      <x:c r="G15" s="161"/>
      <x:c r="H15" s="161"/>
      <x:c r="I15" s="161"/>
      <x:c r="J15" s="151"/>
      <x:c r="K15" s="151"/>
      <x:c r="L15" s="154" t="str">
        <x:f>IF(A15="","",IF(K15&gt;=4,"Tarkista",IF(K15&gt;=2,"Sopii ehdollisesti","Sopii")))</x:f>
      </x:c>
      <x:c r="M15" s="154" t="str">
        <x:f>IF(A15="","",G15+H15+I15)</x:f>
      </x:c>
      <x:c r="N15" s="151"/>
    </x:row>
    <x:row r="16">
      <x:c r="A16" s="151"/>
      <x:c r="B16" s="151"/>
      <x:c r="C16" s="151"/>
      <x:c r="D16" s="151"/>
      <x:c r="E16" s="151"/>
      <x:c r="F16" s="151"/>
      <x:c r="G16" s="161"/>
      <x:c r="H16" s="161"/>
      <x:c r="I16" s="161"/>
      <x:c r="J16" s="151"/>
      <x:c r="K16" s="151"/>
      <x:c r="L16" s="154" t="str">
        <x:f>IF(A16="","",IF(K16&gt;=4,"Tarkista",IF(K16&gt;=2,"Sopii ehdollisesti","Sopii")))</x:f>
      </x:c>
      <x:c r="M16" s="154" t="str">
        <x:f>IF(A16="","",G16+H16+I16)</x:f>
      </x:c>
      <x:c r="N16" s="151"/>
    </x:row>
    <x:row r="17">
      <x:c r="A17" s="151"/>
      <x:c r="B17" s="151"/>
      <x:c r="C17" s="151"/>
      <x:c r="D17" s="151"/>
      <x:c r="E17" s="151"/>
      <x:c r="F17" s="151"/>
      <x:c r="G17" s="161"/>
      <x:c r="H17" s="161"/>
      <x:c r="I17" s="161"/>
      <x:c r="J17" s="151"/>
      <x:c r="K17" s="151"/>
      <x:c r="L17" s="154" t="str">
        <x:f>IF(A17="","",IF(K17&gt;=4,"Tarkista",IF(K17&gt;=2,"Sopii ehdollisesti","Sopii")))</x:f>
      </x:c>
      <x:c r="M17" s="154" t="str">
        <x:f>IF(A17="","",G17+H17+I17)</x:f>
      </x:c>
      <x:c r="N17" s="151"/>
    </x:row>
    <x:row r="18">
      <x:c r="A18" s="151"/>
      <x:c r="B18" s="151"/>
      <x:c r="C18" s="151"/>
      <x:c r="D18" s="151"/>
      <x:c r="E18" s="151"/>
      <x:c r="F18" s="151"/>
      <x:c r="G18" s="161"/>
      <x:c r="H18" s="161"/>
      <x:c r="I18" s="161"/>
      <x:c r="J18" s="151"/>
      <x:c r="K18" s="151"/>
      <x:c r="L18" s="154" t="str">
        <x:f>IF(A18="","",IF(K18&gt;=4,"Tarkista",IF(K18&gt;=2,"Sopii ehdollisesti","Sopii")))</x:f>
      </x:c>
      <x:c r="M18" s="154" t="str">
        <x:f>IF(A18="","",G18+H18+I18)</x:f>
      </x:c>
      <x:c r="N18" s="151"/>
    </x:row>
    <x:row r="19">
      <x:c r="A19" s="151"/>
      <x:c r="B19" s="151"/>
      <x:c r="C19" s="151"/>
      <x:c r="D19" s="151"/>
      <x:c r="E19" s="151"/>
      <x:c r="F19" s="151"/>
      <x:c r="G19" s="161"/>
      <x:c r="H19" s="161"/>
      <x:c r="I19" s="161"/>
      <x:c r="J19" s="151"/>
      <x:c r="K19" s="151"/>
      <x:c r="L19" s="154" t="str">
        <x:f>IF(A19="","",IF(K19&gt;=4,"Tarkista",IF(K19&gt;=2,"Sopii ehdollisesti","Sopii")))</x:f>
      </x:c>
      <x:c r="M19" s="154" t="str">
        <x:f>IF(A19="","",G19+H19+I19)</x:f>
      </x:c>
      <x:c r="N19" s="151"/>
    </x:row>
    <x:row r="20">
      <x:c r="A20" s="151"/>
      <x:c r="B20" s="151"/>
      <x:c r="C20" s="151"/>
      <x:c r="D20" s="151"/>
      <x:c r="E20" s="151"/>
      <x:c r="F20" s="151"/>
      <x:c r="G20" s="161"/>
      <x:c r="H20" s="161"/>
      <x:c r="I20" s="161"/>
      <x:c r="J20" s="151"/>
      <x:c r="K20" s="151"/>
      <x:c r="L20" s="154" t="str">
        <x:f>IF(A20="","",IF(K20&gt;=4,"Tarkista",IF(K20&gt;=2,"Sopii ehdollisesti","Sopii")))</x:f>
      </x:c>
      <x:c r="M20" s="154" t="str">
        <x:f>IF(A20="","",G20+H20+I20)</x:f>
      </x:c>
      <x:c r="N20" s="151"/>
    </x:row>
    <x:row r="21">
      <x:c r="A21" s="151"/>
      <x:c r="B21" s="151"/>
      <x:c r="C21" s="151"/>
      <x:c r="D21" s="151"/>
      <x:c r="E21" s="151"/>
      <x:c r="F21" s="151"/>
      <x:c r="G21" s="161"/>
      <x:c r="H21" s="161"/>
      <x:c r="I21" s="161"/>
      <x:c r="J21" s="151"/>
      <x:c r="K21" s="151"/>
      <x:c r="L21" s="154"/>
      <x:c r="M21" s="154"/>
      <x:c r="N21" s="151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63c1bae286894b58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  <x:col min="13" max="13" width="18" hidden="0" customWidth="1"/>
    <x:col min="14" max="14" width="24" hidden="0" customWidth="1"/>
  </x:cols>
  <x:sheetData>
    <x:row r="1">
      <x:c r="A1" s="142" t="str">
        <x:v>6. CO₂ per kuljetus, lava ja tonni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Päästöraportointi asiakkaille: CO₂ yhteensä, CO₂/lava ja CO₂/tonni.</x:v>
      </x:c>
    </x:row>
    <x:row r="4">
      <x:c r="A4" s="148" t="str">
        <x:v>Keikka</x:v>
      </x:c>
      <x:c r="B4" s="148" t="str">
        <x:v>Reitti</x:v>
      </x:c>
      <x:c r="C4" s="148" t="str">
        <x:v>Kalusto</x:v>
      </x:c>
      <x:c r="D4" s="148" t="str">
        <x:v>Km</x:v>
      </x:c>
      <x:c r="E4" s="148" t="str">
        <x:v>kg CO₂/km</x:v>
      </x:c>
      <x:c r="F4" s="148" t="str">
        <x:v>CO₂ kg</x:v>
      </x:c>
      <x:c r="G4" s="148" t="str">
        <x:v>Lavapaikat</x:v>
      </x:c>
      <x:c r="H4" s="148" t="str">
        <x:v>Paino kg</x:v>
      </x:c>
      <x:c r="I4" s="148" t="str">
        <x:v>Paino t</x:v>
      </x:c>
      <x:c r="J4" s="148" t="str">
        <x:v>CO₂/lava</x:v>
      </x:c>
      <x:c r="K4" s="148" t="str">
        <x:v>CO₂/tonni</x:v>
      </x:c>
      <x:c r="L4" s="148" t="str">
        <x:v>Status</x:v>
      </x:c>
      <x:c r="M4" s="148" t="str">
        <x:v>Asiakasraportti?</x:v>
      </x:c>
      <x:c r="N4" s="148" t="str">
        <x:v>Huomio</x:v>
      </x:c>
    </x:row>
    <x:row r="5">
      <x:c r="A5" s="151" t="str">
        <x:v>K-001</x:v>
      </x:c>
      <x:c r="B5" s="151" t="str">
        <x:v>Vantaa → Tampere → Pori</x:v>
      </x:c>
      <x:c r="C5" s="151" t="str">
        <x:v>Thermo / kylmäkaappi</x:v>
      </x:c>
      <x:c r="D5" s="151" t="n">
        <x:v>290</x:v>
      </x:c>
      <x:c r="E5" s="151" t="n">
        <x:v>1.05</x:v>
      </x:c>
      <x:c r="F5" s="162" t="n">
        <x:f>IF(A5="","",D5*E5)</x:f>
        <x:v>304.5</x:v>
      </x:c>
      <x:c r="G5" s="163" t="n">
        <x:v>18</x:v>
      </x:c>
      <x:c r="H5" s="163" t="n">
        <x:v>5700</x:v>
      </x:c>
      <x:c r="I5" s="162" t="n">
        <x:f>IF(H5=0,"",H5/1000)</x:f>
        <x:v>5.7</x:v>
      </x:c>
      <x:c r="J5" s="162" t="n">
        <x:f>IF(G5=0,"",F5/G5)</x:f>
        <x:v>16.916666666666668</x:v>
      </x:c>
      <x:c r="K5" s="162" t="n">
        <x:f>IF(I5=0,"",F5/I5)</x:f>
        <x:v>53.421052631578945</x:v>
      </x:c>
      <x:c r="L5" s="162" t="str">
        <x:f>IF(A5="","",IF(J5&gt;25,"Korkea/lava",IF(K5&gt;150,"Korkea/tonni","OK")))</x:f>
        <x:v>OK</x:v>
      </x:c>
      <x:c r="M5" s="151" t="str">
        <x:v>Kyllä</x:v>
      </x:c>
      <x:c r="N5" s="151" t="str"/>
    </x:row>
    <x:row r="6">
      <x:c r="A6" s="151" t="str">
        <x:v>K-002</x:v>
      </x:c>
      <x:c r="B6" s="151" t="str">
        <x:v>Vantaa → Oulu</x:v>
      </x:c>
      <x:c r="C6" s="151" t="str">
        <x:v>Umpikaappi</x:v>
      </x:c>
      <x:c r="D6" s="151" t="n">
        <x:v>600</x:v>
      </x:c>
      <x:c r="E6" s="151" t="n">
        <x:v>0.9</x:v>
      </x:c>
      <x:c r="F6" s="162" t="n">
        <x:f>IF(A6="","",D6*E6)</x:f>
        <x:v>540</x:v>
      </x:c>
      <x:c r="G6" s="163" t="n">
        <x:v>30</x:v>
      </x:c>
      <x:c r="H6" s="163" t="n">
        <x:v>15000</x:v>
      </x:c>
      <x:c r="I6" s="162" t="n">
        <x:f>IF(H6=0,"",H6/1000)</x:f>
        <x:v>15</x:v>
      </x:c>
      <x:c r="J6" s="162" t="n">
        <x:f>IF(G6=0,"",F6/G6)</x:f>
        <x:v>18</x:v>
      </x:c>
      <x:c r="K6" s="162" t="n">
        <x:f>IF(I6=0,"",F6/I6)</x:f>
        <x:v>36</x:v>
      </x:c>
      <x:c r="L6" s="162" t="str">
        <x:f>IF(A6="","",IF(J6&gt;25,"Korkea/lava",IF(K6&gt;150,"Korkea/tonni","OK")))</x:f>
        <x:v>OK</x:v>
      </x:c>
      <x:c r="M6" s="151" t="str">
        <x:v>Kyllä</x:v>
      </x:c>
      <x:c r="N6" s="151" t="str"/>
    </x:row>
    <x:row r="7">
      <x:c r="A7" s="151" t="str">
        <x:v>K-003</x:v>
      </x:c>
      <x:c r="B7" s="151" t="str">
        <x:v>Vantaa → Hollanti</x:v>
      </x:c>
      <x:c r="C7" s="151" t="str">
        <x:v>Double temp / 2-kone</x:v>
      </x:c>
      <x:c r="D7" s="151" t="n">
        <x:v>590</x:v>
      </x:c>
      <x:c r="E7" s="151" t="n">
        <x:v>1.15</x:v>
      </x:c>
      <x:c r="F7" s="162" t="n">
        <x:f>IF(A7="","",D7*E7)</x:f>
        <x:v>678.5</x:v>
      </x:c>
      <x:c r="G7" s="163" t="n">
        <x:v>24</x:v>
      </x:c>
      <x:c r="H7" s="163" t="n">
        <x:v>12000</x:v>
      </x:c>
      <x:c r="I7" s="162" t="n">
        <x:f>IF(H7=0,"",H7/1000)</x:f>
        <x:v>12</x:v>
      </x:c>
      <x:c r="J7" s="162" t="n">
        <x:f>IF(G7=0,"",F7/G7)</x:f>
        <x:v>28.270833333333332</x:v>
      </x:c>
      <x:c r="K7" s="162" t="n">
        <x:f>IF(I7=0,"",F7/I7)</x:f>
        <x:v>56.541666666666664</x:v>
      </x:c>
      <x:c r="L7" s="162" t="str">
        <x:f>IF(A7="","",IF(J7&gt;25,"Korkea/lava",IF(K7&gt;150,"Korkea/tonni","OK")))</x:f>
        <x:v>Korkea/lava</x:v>
      </x:c>
      <x:c r="M7" s="151" t="str">
        <x:v>Kyllä</x:v>
      </x:c>
      <x:c r="N7" s="151" t="str"/>
    </x:row>
    <x:row r="8">
      <x:c r="A8" s="151"/>
      <x:c r="B8" s="151"/>
      <x:c r="C8" s="151"/>
      <x:c r="D8" s="151"/>
      <x:c r="E8" s="151"/>
      <x:c r="F8" s="162" t="str">
        <x:f>IF(A8="","",D8*E8)</x:f>
      </x:c>
      <x:c r="G8" s="163" t="str">
        <x:f>IF(A8="","",G8)</x:f>
      </x:c>
      <x:c r="H8" s="163" t="str">
        <x:f>IF(A8="","",H8)</x:f>
      </x:c>
      <x:c r="I8" s="162" t="str">
        <x:f>IF(H8=0,"",H8/1000)</x:f>
      </x:c>
      <x:c r="J8" s="162" t="str">
        <x:f>IF(G8=0,"",F8/G8)</x:f>
      </x:c>
      <x:c r="K8" s="162" t="str">
        <x:f>IF(I8=0,"",F8/I8)</x:f>
      </x:c>
      <x:c r="L8" s="162" t="str">
        <x:f>IF(A8="","",IF(J8&gt;25,"Korkea/lava",IF(K8&gt;150,"Korkea/tonni","OK")))</x:f>
      </x:c>
      <x:c r="M8" s="151"/>
      <x:c r="N8" s="151"/>
    </x:row>
    <x:row r="9">
      <x:c r="A9" s="151"/>
      <x:c r="B9" s="151"/>
      <x:c r="C9" s="151"/>
      <x:c r="D9" s="151"/>
      <x:c r="E9" s="151"/>
      <x:c r="F9" s="162" t="str">
        <x:f>IF(A9="","",D9*E9)</x:f>
      </x:c>
      <x:c r="G9" s="163" t="str">
        <x:f>IF(A9="","",G9)</x:f>
      </x:c>
      <x:c r="H9" s="163" t="str">
        <x:f>IF(A9="","",H9)</x:f>
      </x:c>
      <x:c r="I9" s="162" t="str">
        <x:f>IF(H9=0,"",H9/1000)</x:f>
      </x:c>
      <x:c r="J9" s="162" t="str">
        <x:f>IF(G9=0,"",F9/G9)</x:f>
      </x:c>
      <x:c r="K9" s="162" t="str">
        <x:f>IF(I9=0,"",F9/I9)</x:f>
      </x:c>
      <x:c r="L9" s="162" t="str">
        <x:f>IF(A9="","",IF(J9&gt;25,"Korkea/lava",IF(K9&gt;150,"Korkea/tonni","OK")))</x:f>
      </x:c>
      <x:c r="M9" s="151"/>
      <x:c r="N9" s="151"/>
    </x:row>
    <x:row r="10">
      <x:c r="A10" s="151"/>
      <x:c r="B10" s="151"/>
      <x:c r="C10" s="151"/>
      <x:c r="D10" s="151"/>
      <x:c r="E10" s="151"/>
      <x:c r="F10" s="162" t="str">
        <x:f>IF(A10="","",D10*E10)</x:f>
      </x:c>
      <x:c r="G10" s="163" t="str">
        <x:f>IF(A10="","",G10)</x:f>
      </x:c>
      <x:c r="H10" s="163" t="str">
        <x:f>IF(A10="","",H10)</x:f>
      </x:c>
      <x:c r="I10" s="162" t="str">
        <x:f>IF(H10=0,"",H10/1000)</x:f>
      </x:c>
      <x:c r="J10" s="162" t="str">
        <x:f>IF(G10=0,"",F10/G10)</x:f>
      </x:c>
      <x:c r="K10" s="162" t="str">
        <x:f>IF(I10=0,"",F10/I10)</x:f>
      </x:c>
      <x:c r="L10" s="162" t="str">
        <x:f>IF(A10="","",IF(J10&gt;25,"Korkea/lava",IF(K10&gt;150,"Korkea/tonni","OK")))</x:f>
      </x:c>
      <x:c r="M10" s="151"/>
      <x:c r="N10" s="151"/>
    </x:row>
    <x:row r="11">
      <x:c r="A11" s="151"/>
      <x:c r="B11" s="151"/>
      <x:c r="C11" s="151"/>
      <x:c r="D11" s="151"/>
      <x:c r="E11" s="151"/>
      <x:c r="F11" s="162" t="str">
        <x:f>IF(A11="","",D11*E11)</x:f>
      </x:c>
      <x:c r="G11" s="163" t="str">
        <x:f>IF(A11="","",G11)</x:f>
      </x:c>
      <x:c r="H11" s="163" t="str">
        <x:f>IF(A11="","",H11)</x:f>
      </x:c>
      <x:c r="I11" s="162" t="str">
        <x:f>IF(H11=0,"",H11/1000)</x:f>
      </x:c>
      <x:c r="J11" s="162" t="str">
        <x:f>IF(G11=0,"",F11/G11)</x:f>
      </x:c>
      <x:c r="K11" s="162" t="str">
        <x:f>IF(I11=0,"",F11/I11)</x:f>
      </x:c>
      <x:c r="L11" s="162" t="str">
        <x:f>IF(A11="","",IF(J11&gt;25,"Korkea/lava",IF(K11&gt;150,"Korkea/tonni","OK")))</x:f>
      </x:c>
      <x:c r="M11" s="151"/>
      <x:c r="N11" s="151"/>
    </x:row>
    <x:row r="12">
      <x:c r="A12" s="151"/>
      <x:c r="B12" s="151"/>
      <x:c r="C12" s="151"/>
      <x:c r="D12" s="151"/>
      <x:c r="E12" s="151"/>
      <x:c r="F12" s="162" t="str">
        <x:f>IF(A12="","",D12*E12)</x:f>
      </x:c>
      <x:c r="G12" s="163" t="str">
        <x:f>IF(A12="","",G12)</x:f>
      </x:c>
      <x:c r="H12" s="163" t="str">
        <x:f>IF(A12="","",H12)</x:f>
      </x:c>
      <x:c r="I12" s="162" t="str">
        <x:f>IF(H12=0,"",H12/1000)</x:f>
      </x:c>
      <x:c r="J12" s="162" t="str">
        <x:f>IF(G12=0,"",F12/G12)</x:f>
      </x:c>
      <x:c r="K12" s="162" t="str">
        <x:f>IF(I12=0,"",F12/I12)</x:f>
      </x:c>
      <x:c r="L12" s="162" t="str">
        <x:f>IF(A12="","",IF(J12&gt;25,"Korkea/lava",IF(K12&gt;150,"Korkea/tonni","OK")))</x:f>
      </x:c>
      <x:c r="M12" s="151"/>
      <x:c r="N12" s="151"/>
    </x:row>
    <x:row r="13">
      <x:c r="A13" s="151"/>
      <x:c r="B13" s="151"/>
      <x:c r="C13" s="151"/>
      <x:c r="D13" s="151"/>
      <x:c r="E13" s="151"/>
      <x:c r="F13" s="162" t="str">
        <x:f>IF(A13="","",D13*E13)</x:f>
      </x:c>
      <x:c r="G13" s="163" t="str">
        <x:f>IF(A13="","",G13)</x:f>
      </x:c>
      <x:c r="H13" s="163" t="str">
        <x:f>IF(A13="","",H13)</x:f>
      </x:c>
      <x:c r="I13" s="162" t="str">
        <x:f>IF(H13=0,"",H13/1000)</x:f>
      </x:c>
      <x:c r="J13" s="162" t="str">
        <x:f>IF(G13=0,"",F13/G13)</x:f>
      </x:c>
      <x:c r="K13" s="162" t="str">
        <x:f>IF(I13=0,"",F13/I13)</x:f>
      </x:c>
      <x:c r="L13" s="162" t="str">
        <x:f>IF(A13="","",IF(J13&gt;25,"Korkea/lava",IF(K13&gt;150,"Korkea/tonni","OK")))</x:f>
      </x:c>
      <x:c r="M13" s="151"/>
      <x:c r="N13" s="151"/>
    </x:row>
    <x:row r="14">
      <x:c r="A14" s="151"/>
      <x:c r="B14" s="151"/>
      <x:c r="C14" s="151"/>
      <x:c r="D14" s="151"/>
      <x:c r="E14" s="151"/>
      <x:c r="F14" s="162" t="str">
        <x:f>IF(A14="","",D14*E14)</x:f>
      </x:c>
      <x:c r="G14" s="163" t="str">
        <x:f>IF(A14="","",G14)</x:f>
      </x:c>
      <x:c r="H14" s="163" t="str">
        <x:f>IF(A14="","",H14)</x:f>
      </x:c>
      <x:c r="I14" s="162" t="str">
        <x:f>IF(H14=0,"",H14/1000)</x:f>
      </x:c>
      <x:c r="J14" s="162" t="str">
        <x:f>IF(G14=0,"",F14/G14)</x:f>
      </x:c>
      <x:c r="K14" s="162" t="str">
        <x:f>IF(I14=0,"",F14/I14)</x:f>
      </x:c>
      <x:c r="L14" s="162" t="str">
        <x:f>IF(A14="","",IF(J14&gt;25,"Korkea/lava",IF(K14&gt;150,"Korkea/tonni","OK")))</x:f>
      </x:c>
      <x:c r="M14" s="151"/>
      <x:c r="N14" s="151"/>
    </x:row>
    <x:row r="15">
      <x:c r="A15" s="151"/>
      <x:c r="B15" s="151"/>
      <x:c r="C15" s="151"/>
      <x:c r="D15" s="151"/>
      <x:c r="E15" s="151"/>
      <x:c r="F15" s="162" t="str">
        <x:f>IF(A15="","",D15*E15)</x:f>
      </x:c>
      <x:c r="G15" s="163" t="str">
        <x:f>IF(A15="","",G15)</x:f>
      </x:c>
      <x:c r="H15" s="163" t="str">
        <x:f>IF(A15="","",H15)</x:f>
      </x:c>
      <x:c r="I15" s="162" t="str">
        <x:f>IF(H15=0,"",H15/1000)</x:f>
      </x:c>
      <x:c r="J15" s="162" t="str">
        <x:f>IF(G15=0,"",F15/G15)</x:f>
      </x:c>
      <x:c r="K15" s="162" t="str">
        <x:f>IF(I15=0,"",F15/I15)</x:f>
      </x:c>
      <x:c r="L15" s="162" t="str">
        <x:f>IF(A15="","",IF(J15&gt;25,"Korkea/lava",IF(K15&gt;150,"Korkea/tonni","OK")))</x:f>
      </x:c>
      <x:c r="M15" s="151"/>
      <x:c r="N15" s="151"/>
    </x:row>
    <x:row r="16">
      <x:c r="A16" s="151"/>
      <x:c r="B16" s="151"/>
      <x:c r="C16" s="151"/>
      <x:c r="D16" s="151"/>
      <x:c r="E16" s="151"/>
      <x:c r="F16" s="162" t="str">
        <x:f>IF(A16="","",D16*E16)</x:f>
      </x:c>
      <x:c r="G16" s="163" t="str">
        <x:f>IF(A16="","",G16)</x:f>
      </x:c>
      <x:c r="H16" s="163" t="str">
        <x:f>IF(A16="","",H16)</x:f>
      </x:c>
      <x:c r="I16" s="162" t="str">
        <x:f>IF(H16=0,"",H16/1000)</x:f>
      </x:c>
      <x:c r="J16" s="162" t="str">
        <x:f>IF(G16=0,"",F16/G16)</x:f>
      </x:c>
      <x:c r="K16" s="162" t="str">
        <x:f>IF(I16=0,"",F16/I16)</x:f>
      </x:c>
      <x:c r="L16" s="162" t="str">
        <x:f>IF(A16="","",IF(J16&gt;25,"Korkea/lava",IF(K16&gt;150,"Korkea/tonni","OK")))</x:f>
      </x:c>
      <x:c r="M16" s="151"/>
      <x:c r="N16" s="151"/>
    </x:row>
    <x:row r="17">
      <x:c r="A17" s="151"/>
      <x:c r="B17" s="151"/>
      <x:c r="C17" s="151"/>
      <x:c r="D17" s="151"/>
      <x:c r="E17" s="151"/>
      <x:c r="F17" s="162" t="str">
        <x:f>IF(A17="","",D17*E17)</x:f>
      </x:c>
      <x:c r="G17" s="163" t="str">
        <x:f>IF(A17="","",G17)</x:f>
      </x:c>
      <x:c r="H17" s="163" t="str">
        <x:f>IF(A17="","",H17)</x:f>
      </x:c>
      <x:c r="I17" s="162" t="str">
        <x:f>IF(H17=0,"",H17/1000)</x:f>
      </x:c>
      <x:c r="J17" s="162" t="str">
        <x:f>IF(G17=0,"",F17/G17)</x:f>
      </x:c>
      <x:c r="K17" s="162" t="str">
        <x:f>IF(I17=0,"",F17/I17)</x:f>
      </x:c>
      <x:c r="L17" s="162" t="str">
        <x:f>IF(A17="","",IF(J17&gt;25,"Korkea/lava",IF(K17&gt;150,"Korkea/tonni","OK")))</x:f>
      </x:c>
      <x:c r="M17" s="151"/>
      <x:c r="N17" s="151"/>
    </x:row>
    <x:row r="18">
      <x:c r="A18" s="151"/>
      <x:c r="B18" s="151"/>
      <x:c r="C18" s="151"/>
      <x:c r="D18" s="151"/>
      <x:c r="E18" s="151"/>
      <x:c r="F18" s="162" t="str">
        <x:f>IF(A18="","",D18*E18)</x:f>
      </x:c>
      <x:c r="G18" s="163" t="str">
        <x:f>IF(A18="","",G18)</x:f>
      </x:c>
      <x:c r="H18" s="163" t="str">
        <x:f>IF(A18="","",H18)</x:f>
      </x:c>
      <x:c r="I18" s="162" t="str">
        <x:f>IF(H18=0,"",H18/1000)</x:f>
      </x:c>
      <x:c r="J18" s="162" t="str">
        <x:f>IF(G18=0,"",F18/G18)</x:f>
      </x:c>
      <x:c r="K18" s="162" t="str">
        <x:f>IF(I18=0,"",F18/I18)</x:f>
      </x:c>
      <x:c r="L18" s="162" t="str">
        <x:f>IF(A18="","",IF(J18&gt;25,"Korkea/lava",IF(K18&gt;150,"Korkea/tonni","OK")))</x:f>
      </x:c>
      <x:c r="M18" s="151"/>
      <x:c r="N18" s="151"/>
    </x:row>
    <x:row r="19">
      <x:c r="A19" s="151"/>
      <x:c r="B19" s="151"/>
      <x:c r="C19" s="151"/>
      <x:c r="D19" s="151"/>
      <x:c r="E19" s="151"/>
      <x:c r="F19" s="162" t="str">
        <x:f>IF(A19="","",D19*E19)</x:f>
      </x:c>
      <x:c r="G19" s="163" t="str">
        <x:f>IF(A19="","",G19)</x:f>
      </x:c>
      <x:c r="H19" s="163" t="str">
        <x:f>IF(A19="","",H19)</x:f>
      </x:c>
      <x:c r="I19" s="162" t="str">
        <x:f>IF(H19=0,"",H19/1000)</x:f>
      </x:c>
      <x:c r="J19" s="162" t="str">
        <x:f>IF(G19=0,"",F19/G19)</x:f>
      </x:c>
      <x:c r="K19" s="162" t="str">
        <x:f>IF(I19=0,"",F19/I19)</x:f>
      </x:c>
      <x:c r="L19" s="162" t="str">
        <x:f>IF(A19="","",IF(J19&gt;25,"Korkea/lava",IF(K19&gt;150,"Korkea/tonni","OK")))</x:f>
      </x:c>
      <x:c r="M19" s="151"/>
      <x:c r="N19" s="151"/>
    </x:row>
    <x:row r="20">
      <x:c r="A20" s="151"/>
      <x:c r="B20" s="151"/>
      <x:c r="C20" s="151"/>
      <x:c r="D20" s="151"/>
      <x:c r="E20" s="151"/>
      <x:c r="F20" s="162" t="str">
        <x:f>IF(A20="","",D20*E20)</x:f>
      </x:c>
      <x:c r="G20" s="163" t="str">
        <x:f>IF(A20="","",G20)</x:f>
      </x:c>
      <x:c r="H20" s="163" t="str">
        <x:f>IF(A20="","",H20)</x:f>
      </x:c>
      <x:c r="I20" s="162" t="str">
        <x:f>IF(H20=0,"",H20/1000)</x:f>
      </x:c>
      <x:c r="J20" s="162" t="str">
        <x:f>IF(G20=0,"",F20/G20)</x:f>
      </x:c>
      <x:c r="K20" s="162" t="str">
        <x:f>IF(I20=0,"",F20/I20)</x:f>
      </x:c>
      <x:c r="L20" s="162" t="str">
        <x:f>IF(A20="","",IF(J20&gt;25,"Korkea/lava",IF(K20&gt;150,"Korkea/tonni","OK")))</x:f>
      </x:c>
      <x:c r="M20" s="151"/>
      <x:c r="N20" s="151"/>
    </x:row>
    <x:row r="21">
      <x:c r="A21" s="151"/>
      <x:c r="B21" s="151"/>
      <x:c r="C21" s="151"/>
      <x:c r="D21" s="151"/>
      <x:c r="E21" s="151"/>
      <x:c r="F21" s="162" t="str">
        <x:f>IF(A21="","",D21*E21)</x:f>
      </x:c>
      <x:c r="G21" s="163" t="str">
        <x:f>IF(A21="","",G21)</x:f>
      </x:c>
      <x:c r="H21" s="163" t="str">
        <x:f>IF(A21="","",H21)</x:f>
      </x:c>
      <x:c r="I21" s="162" t="str">
        <x:f>IF(H21=0,"",H21/1000)</x:f>
      </x:c>
      <x:c r="J21" s="162" t="str">
        <x:f>IF(G21=0,"",F21/G21)</x:f>
      </x:c>
      <x:c r="K21" s="162" t="str">
        <x:f>IF(I21=0,"",F21/I21)</x:f>
      </x:c>
      <x:c r="L21" s="162" t="str">
        <x:f>IF(A21="","",IF(J21&gt;25,"Korkea/lava",IF(K21&gt;150,"Korkea/tonni","OK")))</x:f>
      </x:c>
      <x:c r="M21" s="151"/>
      <x:c r="N21" s="151"/>
    </x:row>
    <x:row r="22">
      <x:c r="A22" s="151"/>
      <x:c r="B22" s="151"/>
      <x:c r="C22" s="151"/>
      <x:c r="D22" s="151"/>
      <x:c r="E22" s="151"/>
      <x:c r="F22" s="162" t="str">
        <x:f>IF(A22="","",D22*E22)</x:f>
      </x:c>
      <x:c r="G22" s="163" t="str">
        <x:f>IF(A22="","",G22)</x:f>
      </x:c>
      <x:c r="H22" s="163" t="str">
        <x:f>IF(A22="","",H22)</x:f>
      </x:c>
      <x:c r="I22" s="162" t="str">
        <x:f>IF(H22=0,"",H22/1000)</x:f>
      </x:c>
      <x:c r="J22" s="162" t="str">
        <x:f>IF(G22=0,"",F22/G22)</x:f>
      </x:c>
      <x:c r="K22" s="162" t="str">
        <x:f>IF(I22=0,"",F22/I22)</x:f>
      </x:c>
      <x:c r="L22" s="162" t="str">
        <x:f>IF(A22="","",IF(J22&gt;25,"Korkea/lava",IF(K22&gt;150,"Korkea/tonni","OK")))</x:f>
      </x:c>
      <x:c r="M22" s="151"/>
      <x:c r="N22" s="151"/>
    </x:row>
    <x:row r="23">
      <x:c r="A23" s="151"/>
      <x:c r="B23" s="151"/>
      <x:c r="C23" s="151"/>
      <x:c r="D23" s="151"/>
      <x:c r="E23" s="151"/>
      <x:c r="F23" s="162" t="str">
        <x:f>IF(A23="","",D23*E23)</x:f>
      </x:c>
      <x:c r="G23" s="163" t="str">
        <x:f>IF(A23="","",G23)</x:f>
      </x:c>
      <x:c r="H23" s="163" t="str">
        <x:f>IF(A23="","",H23)</x:f>
      </x:c>
      <x:c r="I23" s="162" t="str">
        <x:f>IF(H23=0,"",H23/1000)</x:f>
      </x:c>
      <x:c r="J23" s="162" t="str">
        <x:f>IF(G23=0,"",F23/G23)</x:f>
      </x:c>
      <x:c r="K23" s="162" t="str">
        <x:f>IF(I23=0,"",F23/I23)</x:f>
      </x:c>
      <x:c r="L23" s="162" t="str">
        <x:f>IF(A23="","",IF(J23&gt;25,"Korkea/lava",IF(K23&gt;150,"Korkea/tonni","OK")))</x:f>
      </x:c>
      <x:c r="M23" s="151"/>
      <x:c r="N23" s="151"/>
    </x:row>
    <x:row r="24">
      <x:c r="A24" s="151"/>
      <x:c r="B24" s="151"/>
      <x:c r="C24" s="151"/>
      <x:c r="D24" s="151"/>
      <x:c r="E24" s="151"/>
      <x:c r="F24" s="162" t="str">
        <x:f>IF(A24="","",D24*E24)</x:f>
      </x:c>
      <x:c r="G24" s="163" t="str">
        <x:f>IF(A24="","",G24)</x:f>
      </x:c>
      <x:c r="H24" s="163" t="str">
        <x:f>IF(A24="","",H24)</x:f>
      </x:c>
      <x:c r="I24" s="162" t="str">
        <x:f>IF(H24=0,"",H24/1000)</x:f>
      </x:c>
      <x:c r="J24" s="162" t="str">
        <x:f>IF(G24=0,"",F24/G24)</x:f>
      </x:c>
      <x:c r="K24" s="162" t="str">
        <x:f>IF(I24=0,"",F24/I24)</x:f>
      </x:c>
      <x:c r="L24" s="162" t="str">
        <x:f>IF(A24="","",IF(J24&gt;25,"Korkea/lava",IF(K24&gt;150,"Korkea/tonni","OK")))</x:f>
      </x:c>
      <x:c r="M24" s="151"/>
      <x:c r="N24" s="151"/>
    </x:row>
    <x:row r="25">
      <x:c r="A25" s="151"/>
      <x:c r="B25" s="151"/>
      <x:c r="C25" s="151"/>
      <x:c r="D25" s="151"/>
      <x:c r="E25" s="151"/>
      <x:c r="F25" s="162" t="str">
        <x:f>IF(A25="","",D25*E25)</x:f>
      </x:c>
      <x:c r="G25" s="163" t="str">
        <x:f>IF(A25="","",G25)</x:f>
      </x:c>
      <x:c r="H25" s="163" t="str">
        <x:f>IF(A25="","",H25)</x:f>
      </x:c>
      <x:c r="I25" s="162" t="str">
        <x:f>IF(H25=0,"",H25/1000)</x:f>
      </x:c>
      <x:c r="J25" s="162" t="str">
        <x:f>IF(G25=0,"",F25/G25)</x:f>
      </x:c>
      <x:c r="K25" s="162" t="str">
        <x:f>IF(I25=0,"",F25/I25)</x:f>
      </x:c>
      <x:c r="L25" s="162" t="str">
        <x:f>IF(A25="","",IF(J25&gt;25,"Korkea/lava",IF(K25&gt;150,"Korkea/tonni","OK")))</x:f>
      </x:c>
      <x:c r="M25" s="151"/>
      <x:c r="N25" s="151"/>
    </x:row>
    <x:row r="26">
      <x:c r="A26" s="151"/>
      <x:c r="B26" s="151"/>
      <x:c r="C26" s="151"/>
      <x:c r="D26" s="151"/>
      <x:c r="E26" s="151"/>
      <x:c r="F26" s="162" t="str">
        <x:f>IF(A26="","",D26*E26)</x:f>
      </x:c>
      <x:c r="G26" s="163" t="str">
        <x:f>IF(A26="","",G26)</x:f>
      </x:c>
      <x:c r="H26" s="163" t="str">
        <x:f>IF(A26="","",H26)</x:f>
      </x:c>
      <x:c r="I26" s="162" t="str">
        <x:f>IF(H26=0,"",H26/1000)</x:f>
      </x:c>
      <x:c r="J26" s="162" t="str">
        <x:f>IF(G26=0,"",F26/G26)</x:f>
      </x:c>
      <x:c r="K26" s="162" t="str">
        <x:f>IF(I26=0,"",F26/I26)</x:f>
      </x:c>
      <x:c r="L26" s="162" t="str">
        <x:f>IF(A26="","",IF(J26&gt;25,"Korkea/lava",IF(K26&gt;150,"Korkea/tonni","OK")))</x:f>
      </x:c>
      <x:c r="M26" s="151"/>
      <x:c r="N26" s="151"/>
    </x:row>
    <x:row r="27">
      <x:c r="A27" s="151"/>
      <x:c r="B27" s="151"/>
      <x:c r="C27" s="151"/>
      <x:c r="D27" s="151"/>
      <x:c r="E27" s="151"/>
      <x:c r="F27" s="162" t="str">
        <x:f>IF(A27="","",D27*E27)</x:f>
      </x:c>
      <x:c r="G27" s="163" t="str">
        <x:f>IF(A27="","",G27)</x:f>
      </x:c>
      <x:c r="H27" s="163" t="str">
        <x:f>IF(A27="","",H27)</x:f>
      </x:c>
      <x:c r="I27" s="162" t="str">
        <x:f>IF(H27=0,"",H27/1000)</x:f>
      </x:c>
      <x:c r="J27" s="162" t="str">
        <x:f>IF(G27=0,"",F27/G27)</x:f>
      </x:c>
      <x:c r="K27" s="162" t="str">
        <x:f>IF(I27=0,"",F27/I27)</x:f>
      </x:c>
      <x:c r="L27" s="162" t="str">
        <x:f>IF(A27="","",IF(J27&gt;25,"Korkea/lava",IF(K27&gt;150,"Korkea/tonni","OK")))</x:f>
      </x:c>
      <x:c r="M27" s="151"/>
      <x:c r="N27" s="151"/>
    </x:row>
    <x:row r="28">
      <x:c r="A28" s="151"/>
      <x:c r="B28" s="151"/>
      <x:c r="C28" s="151"/>
      <x:c r="D28" s="151"/>
      <x:c r="E28" s="151"/>
      <x:c r="F28" s="162" t="str">
        <x:f>IF(A28="","",D28*E28)</x:f>
      </x:c>
      <x:c r="G28" s="163" t="str">
        <x:f>IF(A28="","",G28)</x:f>
      </x:c>
      <x:c r="H28" s="163" t="str">
        <x:f>IF(A28="","",H28)</x:f>
      </x:c>
      <x:c r="I28" s="162" t="str">
        <x:f>IF(H28=0,"",H28/1000)</x:f>
      </x:c>
      <x:c r="J28" s="162" t="str">
        <x:f>IF(G28=0,"",F28/G28)</x:f>
      </x:c>
      <x:c r="K28" s="162" t="str">
        <x:f>IF(I28=0,"",F28/I28)</x:f>
      </x:c>
      <x:c r="L28" s="162" t="str">
        <x:f>IF(A28="","",IF(J28&gt;25,"Korkea/lava",IF(K28&gt;150,"Korkea/tonni","OK")))</x:f>
      </x:c>
      <x:c r="M28" s="151"/>
      <x:c r="N28" s="151"/>
    </x:row>
    <x:row r="29">
      <x:c r="A29" s="151"/>
      <x:c r="B29" s="151"/>
      <x:c r="C29" s="151"/>
      <x:c r="D29" s="151"/>
      <x:c r="E29" s="151"/>
      <x:c r="F29" s="162" t="str">
        <x:f>IF(A29="","",D29*E29)</x:f>
      </x:c>
      <x:c r="G29" s="163" t="str">
        <x:f>IF(A29="","",G29)</x:f>
      </x:c>
      <x:c r="H29" s="163" t="str">
        <x:f>IF(A29="","",H29)</x:f>
      </x:c>
      <x:c r="I29" s="162" t="str">
        <x:f>IF(H29=0,"",H29/1000)</x:f>
      </x:c>
      <x:c r="J29" s="162" t="str">
        <x:f>IF(G29=0,"",F29/G29)</x:f>
      </x:c>
      <x:c r="K29" s="162" t="str">
        <x:f>IF(I29=0,"",F29/I29)</x:f>
      </x:c>
      <x:c r="L29" s="162" t="str">
        <x:f>IF(A29="","",IF(J29&gt;25,"Korkea/lava",IF(K29&gt;150,"Korkea/tonni","OK")))</x:f>
      </x:c>
      <x:c r="M29" s="151"/>
      <x:c r="N29" s="151"/>
    </x:row>
    <x:row r="30">
      <x:c r="A30" s="151"/>
      <x:c r="B30" s="151"/>
      <x:c r="C30" s="151"/>
      <x:c r="D30" s="151"/>
      <x:c r="E30" s="151"/>
      <x:c r="F30" s="162" t="str">
        <x:f>IF(A30="","",D30*E30)</x:f>
      </x:c>
      <x:c r="G30" s="163" t="str">
        <x:f>IF(A30="","",G30)</x:f>
      </x:c>
      <x:c r="H30" s="163" t="str">
        <x:f>IF(A30="","",H30)</x:f>
      </x:c>
      <x:c r="I30" s="162" t="str">
        <x:f>IF(H30=0,"",H30/1000)</x:f>
      </x:c>
      <x:c r="J30" s="162" t="str">
        <x:f>IF(G30=0,"",F30/G30)</x:f>
      </x:c>
      <x:c r="K30" s="162" t="str">
        <x:f>IF(I30=0,"",F30/I30)</x:f>
      </x:c>
      <x:c r="L30" s="162" t="str">
        <x:f>IF(A30="","",IF(J30&gt;25,"Korkea/lava",IF(K30&gt;150,"Korkea/tonni","OK")))</x:f>
      </x:c>
      <x:c r="M30" s="151"/>
      <x:c r="N30" s="151"/>
    </x:row>
    <x:row r="31">
      <x:c r="A31" s="151"/>
      <x:c r="B31" s="151"/>
      <x:c r="C31" s="151"/>
      <x:c r="D31" s="151"/>
      <x:c r="E31" s="151"/>
      <x:c r="F31" s="162" t="str">
        <x:f>IF(A31="","",D31*E31)</x:f>
      </x:c>
      <x:c r="G31" s="163" t="str">
        <x:f>IF(A31="","",G31)</x:f>
      </x:c>
      <x:c r="H31" s="163" t="str">
        <x:f>IF(A31="","",H31)</x:f>
      </x:c>
      <x:c r="I31" s="162" t="str">
        <x:f>IF(H31=0,"",H31/1000)</x:f>
      </x:c>
      <x:c r="J31" s="162" t="str">
        <x:f>IF(G31=0,"",F31/G31)</x:f>
      </x:c>
      <x:c r="K31" s="162" t="str">
        <x:f>IF(I31=0,"",F31/I31)</x:f>
      </x:c>
      <x:c r="L31" s="162" t="str">
        <x:f>IF(A31="","",IF(J31&gt;25,"Korkea/lava",IF(K31&gt;150,"Korkea/tonni","OK")))</x:f>
      </x:c>
      <x:c r="M31" s="151"/>
      <x:c r="N31" s="151"/>
    </x:row>
    <x:row r="32">
      <x:c r="A32" s="151"/>
      <x:c r="B32" s="151"/>
      <x:c r="C32" s="151"/>
      <x:c r="D32" s="151"/>
      <x:c r="E32" s="151"/>
      <x:c r="F32" s="162" t="str">
        <x:f>IF(A32="","",D32*E32)</x:f>
      </x:c>
      <x:c r="G32" s="163" t="str">
        <x:f>IF(A32="","",G32)</x:f>
      </x:c>
      <x:c r="H32" s="163" t="str">
        <x:f>IF(A32="","",H32)</x:f>
      </x:c>
      <x:c r="I32" s="162" t="str">
        <x:f>IF(H32=0,"",H32/1000)</x:f>
      </x:c>
      <x:c r="J32" s="162" t="str">
        <x:f>IF(G32=0,"",F32/G32)</x:f>
      </x:c>
      <x:c r="K32" s="162" t="str">
        <x:f>IF(I32=0,"",F32/I32)</x:f>
      </x:c>
      <x:c r="L32" s="162" t="str">
        <x:f>IF(A32="","",IF(J32&gt;25,"Korkea/lava",IF(K32&gt;150,"Korkea/tonni","OK")))</x:f>
      </x:c>
      <x:c r="M32" s="151"/>
      <x:c r="N32" s="151"/>
    </x:row>
    <x:row r="33">
      <x:c r="A33" s="151"/>
      <x:c r="B33" s="151"/>
      <x:c r="C33" s="151"/>
      <x:c r="D33" s="151"/>
      <x:c r="E33" s="151"/>
      <x:c r="F33" s="162" t="str">
        <x:f>IF(A33="","",D33*E33)</x:f>
      </x:c>
      <x:c r="G33" s="163" t="str">
        <x:f>IF(A33="","",G33)</x:f>
      </x:c>
      <x:c r="H33" s="163" t="str">
        <x:f>IF(A33="","",H33)</x:f>
      </x:c>
      <x:c r="I33" s="162" t="str">
        <x:f>IF(H33=0,"",H33/1000)</x:f>
      </x:c>
      <x:c r="J33" s="162" t="str">
        <x:f>IF(G33=0,"",F33/G33)</x:f>
      </x:c>
      <x:c r="K33" s="162" t="str">
        <x:f>IF(I33=0,"",F33/I33)</x:f>
      </x:c>
      <x:c r="L33" s="162" t="str">
        <x:f>IF(A33="","",IF(J33&gt;25,"Korkea/lava",IF(K33&gt;150,"Korkea/tonni","OK")))</x:f>
      </x:c>
      <x:c r="M33" s="151"/>
      <x:c r="N33" s="151"/>
    </x:row>
    <x:row r="34">
      <x:c r="A34" s="151"/>
      <x:c r="B34" s="151"/>
      <x:c r="C34" s="151"/>
      <x:c r="D34" s="151"/>
      <x:c r="E34" s="151"/>
      <x:c r="F34" s="162" t="str">
        <x:f>IF(A34="","",D34*E34)</x:f>
      </x:c>
      <x:c r="G34" s="163" t="str">
        <x:f>IF(A34="","",G34)</x:f>
      </x:c>
      <x:c r="H34" s="163" t="str">
        <x:f>IF(A34="","",H34)</x:f>
      </x:c>
      <x:c r="I34" s="162" t="str">
        <x:f>IF(H34=0,"",H34/1000)</x:f>
      </x:c>
      <x:c r="J34" s="162" t="str">
        <x:f>IF(G34=0,"",F34/G34)</x:f>
      </x:c>
      <x:c r="K34" s="162" t="str">
        <x:f>IF(I34=0,"",F34/I34)</x:f>
      </x:c>
      <x:c r="L34" s="162" t="str">
        <x:f>IF(A34="","",IF(J34&gt;25,"Korkea/lava",IF(K34&gt;150,"Korkea/tonni","OK")))</x:f>
      </x:c>
      <x:c r="M34" s="151"/>
      <x:c r="N34" s="151"/>
    </x:row>
    <x:row r="35">
      <x:c r="A35" s="151"/>
      <x:c r="B35" s="151"/>
      <x:c r="C35" s="151"/>
      <x:c r="D35" s="151"/>
      <x:c r="E35" s="151"/>
      <x:c r="F35" s="162" t="str">
        <x:f>IF(A35="","",D35*E35)</x:f>
      </x:c>
      <x:c r="G35" s="163" t="str">
        <x:f>IF(A35="","",G35)</x:f>
      </x:c>
      <x:c r="H35" s="163" t="str">
        <x:f>IF(A35="","",H35)</x:f>
      </x:c>
      <x:c r="I35" s="162" t="str">
        <x:f>IF(H35=0,"",H35/1000)</x:f>
      </x:c>
      <x:c r="J35" s="162" t="str">
        <x:f>IF(G35=0,"",F35/G35)</x:f>
      </x:c>
      <x:c r="K35" s="162" t="str">
        <x:f>IF(I35=0,"",F35/I35)</x:f>
      </x:c>
      <x:c r="L35" s="162" t="str">
        <x:f>IF(A35="","",IF(J35&gt;25,"Korkea/lava",IF(K35&gt;150,"Korkea/tonni","OK")))</x:f>
      </x:c>
      <x:c r="M35" s="151"/>
      <x:c r="N35" s="151"/>
    </x:row>
    <x:row r="36">
      <x:c r="A36" s="151"/>
      <x:c r="B36" s="151"/>
      <x:c r="C36" s="151"/>
      <x:c r="D36" s="151"/>
      <x:c r="E36" s="151"/>
      <x:c r="F36" s="162" t="str">
        <x:f>IF(A36="","",D36*E36)</x:f>
      </x:c>
      <x:c r="G36" s="163" t="str">
        <x:f>IF(A36="","",G36)</x:f>
      </x:c>
      <x:c r="H36" s="163" t="str">
        <x:f>IF(A36="","",H36)</x:f>
      </x:c>
      <x:c r="I36" s="162" t="str">
        <x:f>IF(H36=0,"",H36/1000)</x:f>
      </x:c>
      <x:c r="J36" s="162" t="str">
        <x:f>IF(G36=0,"",F36/G36)</x:f>
      </x:c>
      <x:c r="K36" s="162" t="str">
        <x:f>IF(I36=0,"",F36/I36)</x:f>
      </x:c>
      <x:c r="L36" s="162" t="str">
        <x:f>IF(A36="","",IF(J36&gt;25,"Korkea/lava",IF(K36&gt;150,"Korkea/tonni","OK")))</x:f>
      </x:c>
      <x:c r="M36" s="151"/>
      <x:c r="N36" s="151"/>
    </x:row>
    <x:row r="37">
      <x:c r="A37" s="151"/>
      <x:c r="B37" s="151"/>
      <x:c r="C37" s="151"/>
      <x:c r="D37" s="151"/>
      <x:c r="E37" s="151"/>
      <x:c r="F37" s="162" t="str">
        <x:f>IF(A37="","",D37*E37)</x:f>
      </x:c>
      <x:c r="G37" s="163" t="str">
        <x:f>IF(A37="","",G37)</x:f>
      </x:c>
      <x:c r="H37" s="163" t="str">
        <x:f>IF(A37="","",H37)</x:f>
      </x:c>
      <x:c r="I37" s="162" t="str">
        <x:f>IF(H37=0,"",H37/1000)</x:f>
      </x:c>
      <x:c r="J37" s="162" t="str">
        <x:f>IF(G37=0,"",F37/G37)</x:f>
      </x:c>
      <x:c r="K37" s="162" t="str">
        <x:f>IF(I37=0,"",F37/I37)</x:f>
      </x:c>
      <x:c r="L37" s="162" t="str">
        <x:f>IF(A37="","",IF(J37&gt;25,"Korkea/lava",IF(K37&gt;150,"Korkea/tonni","OK")))</x:f>
      </x:c>
      <x:c r="M37" s="151"/>
      <x:c r="N37" s="151"/>
    </x:row>
    <x:row r="38">
      <x:c r="A38" s="151"/>
      <x:c r="B38" s="151"/>
      <x:c r="C38" s="151"/>
      <x:c r="D38" s="151"/>
      <x:c r="E38" s="151"/>
      <x:c r="F38" s="162" t="str">
        <x:f>IF(A38="","",D38*E38)</x:f>
      </x:c>
      <x:c r="G38" s="163" t="str">
        <x:f>IF(A38="","",G38)</x:f>
      </x:c>
      <x:c r="H38" s="163" t="str">
        <x:f>IF(A38="","",H38)</x:f>
      </x:c>
      <x:c r="I38" s="162" t="str">
        <x:f>IF(H38=0,"",H38/1000)</x:f>
      </x:c>
      <x:c r="J38" s="162" t="str">
        <x:f>IF(G38=0,"",F38/G38)</x:f>
      </x:c>
      <x:c r="K38" s="162" t="str">
        <x:f>IF(I38=0,"",F38/I38)</x:f>
      </x:c>
      <x:c r="L38" s="162" t="str">
        <x:f>IF(A38="","",IF(J38&gt;25,"Korkea/lava",IF(K38&gt;150,"Korkea/tonni","OK")))</x:f>
      </x:c>
      <x:c r="M38" s="151"/>
      <x:c r="N38" s="151"/>
    </x:row>
    <x:row r="39">
      <x:c r="A39" s="151"/>
      <x:c r="B39" s="151"/>
      <x:c r="C39" s="151"/>
      <x:c r="D39" s="151"/>
      <x:c r="E39" s="151"/>
      <x:c r="F39" s="162" t="str">
        <x:f>IF(A39="","",D39*E39)</x:f>
      </x:c>
      <x:c r="G39" s="163" t="str">
        <x:f>IF(A39="","",G39)</x:f>
      </x:c>
      <x:c r="H39" s="163" t="str">
        <x:f>IF(A39="","",H39)</x:f>
      </x:c>
      <x:c r="I39" s="162" t="str">
        <x:f>IF(H39=0,"",H39/1000)</x:f>
      </x:c>
      <x:c r="J39" s="162" t="str">
        <x:f>IF(G39=0,"",F39/G39)</x:f>
      </x:c>
      <x:c r="K39" s="162" t="str">
        <x:f>IF(I39=0,"",F39/I39)</x:f>
      </x:c>
      <x:c r="L39" s="162" t="str">
        <x:f>IF(A39="","",IF(J39&gt;25,"Korkea/lava",IF(K39&gt;150,"Korkea/tonni","OK")))</x:f>
      </x:c>
      <x:c r="M39" s="151"/>
      <x:c r="N39" s="151"/>
    </x:row>
    <x:row r="40">
      <x:c r="A40" s="151"/>
      <x:c r="B40" s="151"/>
      <x:c r="C40" s="151"/>
      <x:c r="D40" s="151"/>
      <x:c r="E40" s="151"/>
      <x:c r="F40" s="162" t="str">
        <x:f>IF(A40="","",D40*E40)</x:f>
      </x:c>
      <x:c r="G40" s="163" t="str">
        <x:f>IF(A40="","",G40)</x:f>
      </x:c>
      <x:c r="H40" s="163" t="str">
        <x:f>IF(A40="","",H40)</x:f>
      </x:c>
      <x:c r="I40" s="162" t="str">
        <x:f>IF(H40=0,"",H40/1000)</x:f>
      </x:c>
      <x:c r="J40" s="162" t="str">
        <x:f>IF(G40=0,"",F40/G40)</x:f>
      </x:c>
      <x:c r="K40" s="162" t="str">
        <x:f>IF(I40=0,"",F40/I40)</x:f>
      </x:c>
      <x:c r="L40" s="162" t="str">
        <x:f>IF(A40="","",IF(J40&gt;25,"Korkea/lava",IF(K40&gt;150,"Korkea/tonni","OK")))</x:f>
      </x:c>
      <x:c r="M40" s="151"/>
      <x:c r="N40" s="151"/>
    </x:row>
    <x:row r="41">
      <x:c r="A41" s="151"/>
      <x:c r="B41" s="151"/>
      <x:c r="C41" s="151"/>
      <x:c r="D41" s="151"/>
      <x:c r="E41" s="151"/>
      <x:c r="F41" s="162"/>
      <x:c r="G41" s="163"/>
      <x:c r="H41" s="163"/>
      <x:c r="I41" s="162"/>
      <x:c r="J41" s="162"/>
      <x:c r="K41" s="162"/>
      <x:c r="L41" s="162"/>
      <x:c r="M41" s="151"/>
      <x:c r="N41" s="151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d1f95f4db5744607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</x:cols>
  <x:sheetData>
    <x:row r="1">
      <x:c r="A1" s="142" t="str">
        <x:v>7. Asiakaskohtainen analyysi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Asiakaskohtainen volyymi, myynti, kulut, kate ja palvelutaso.</x:v>
      </x:c>
    </x:row>
    <x:row r="4">
      <x:c r="A4" s="148" t="str">
        <x:v>Asiakas</x:v>
      </x:c>
      <x:c r="B4" s="148" t="str">
        <x:v>Keikkoja</x:v>
      </x:c>
      <x:c r="C4" s="148" t="str">
        <x:v>Myynti €</x:v>
      </x:c>
      <x:c r="D4" s="148" t="str">
        <x:v>Kulut €</x:v>
      </x:c>
      <x:c r="E4" s="148" t="str">
        <x:v>Kate €</x:v>
      </x:c>
      <x:c r="F4" s="148" t="str">
        <x:v>Kate %</x:v>
      </x:c>
      <x:c r="G4" s="148" t="str">
        <x:v>Loaded km</x:v>
      </x:c>
      <x:c r="H4" s="148" t="str">
        <x:v>Empty km</x:v>
      </x:c>
      <x:c r="I4" s="148" t="str">
        <x:v>Empty %</x:v>
      </x:c>
      <x:c r="J4" s="148" t="str">
        <x:v>On-time %</x:v>
      </x:c>
      <x:c r="K4" s="148" t="str">
        <x:v>Tavoitekate %</x:v>
      </x:c>
      <x:c r="L4" s="148" t="str">
        <x:v>Status</x:v>
      </x:c>
      <x:c r="M4" s="148" t="str">
        <x:v>Toimenpide</x:v>
      </x:c>
      <x:c r="N4" s="148" t="str">
        <x:v>Huomio</x:v>
      </x:c>
    </x:row>
    <x:row r="5">
      <x:c r="A5" s="151" t="str">
        <x:v>Asiakas A</x:v>
      </x:c>
      <x:c r="B5" s="151" t="n">
        <x:v>12</x:v>
      </x:c>
      <x:c r="C5" s="161" t="n">
        <x:v>24000</x:v>
      </x:c>
      <x:c r="D5" s="161" t="n">
        <x:v>19800</x:v>
      </x:c>
      <x:c r="E5" s="164" t="n">
        <x:f>IF(A5="","",C5-D5)</x:f>
        <x:v>4200</x:v>
      </x:c>
      <x:c r="F5" s="158" t="n">
        <x:f>IF(C5=0,"",E5/C5)</x:f>
        <x:v>0.175</x:v>
      </x:c>
      <x:c r="G5" s="151" t="n">
        <x:v>6200</x:v>
      </x:c>
      <x:c r="H5" s="151" t="n">
        <x:v>700</x:v>
      </x:c>
      <x:c r="I5" s="158" t="n">
        <x:f>IF(G5+H5=0,"",H5/(G5+H5))</x:f>
        <x:v>0.10144927536231885</x:v>
      </x:c>
      <x:c r="J5" s="165" t="n">
        <x:v>0.96</x:v>
      </x:c>
      <x:c r="K5" s="165" t="n">
        <x:v>0.16</x:v>
      </x:c>
      <x:c r="L5" s="154" t="str">
        <x:f>IF(A5="","",IF(F5&lt;K5,"Alle tavoitteen",IF(I5&gt;0.18,"Liikaa tyhjää ajoa","OK")))</x:f>
        <x:v>OK</x:v>
      </x:c>
      <x:c r="M5" s="154" t="str">
        <x:f>IF(A5="","",IF(L5="OK","Seuraa","Tarkista hinnoittelu / suunnittelu"))</x:f>
        <x:v>Seuraa</x:v>
      </x:c>
      <x:c r="N5" s="151" t="str"/>
    </x:row>
    <x:row r="6">
      <x:c r="A6" s="151" t="str">
        <x:v>Asiakas B</x:v>
      </x:c>
      <x:c r="B6" s="151" t="n">
        <x:v>8</x:v>
      </x:c>
      <x:c r="C6" s="161" t="n">
        <x:v>13500</x:v>
      </x:c>
      <x:c r="D6" s="161" t="n">
        <x:v>11600</x:v>
      </x:c>
      <x:c r="E6" s="164" t="n">
        <x:f>IF(A6="","",C6-D6)</x:f>
        <x:v>1900</x:v>
      </x:c>
      <x:c r="F6" s="158" t="n">
        <x:f>IF(C6=0,"",E6/C6)</x:f>
        <x:v>0.14074074074074075</x:v>
      </x:c>
      <x:c r="G6" s="151" t="n">
        <x:v>4800</x:v>
      </x:c>
      <x:c r="H6" s="151" t="n">
        <x:v>650</x:v>
      </x:c>
      <x:c r="I6" s="158" t="n">
        <x:f>IF(G6+H6=0,"",H6/(G6+H6))</x:f>
        <x:v>0.11926605504587157</x:v>
      </x:c>
      <x:c r="J6" s="165" t="n">
        <x:v>0.92</x:v>
      </x:c>
      <x:c r="K6" s="165" t="n">
        <x:v>0.15</x:v>
      </x:c>
      <x:c r="L6" s="154" t="str">
        <x:f>IF(A6="","",IF(F6&lt;K6,"Alle tavoitteen",IF(I6&gt;0.18,"Liikaa tyhjää ajoa","OK")))</x:f>
        <x:v>Alle tavoitteen</x:v>
      </x:c>
      <x:c r="M6" s="154" t="str">
        <x:f>IF(A6="","",IF(L6="OK","Seuraa","Tarkista hinnoittelu / suunnittelu"))</x:f>
        <x:v>Tarkista hinnoittelu / suunnittelu</x:v>
      </x:c>
      <x:c r="N6" s="151" t="str"/>
    </x:row>
    <x:row r="7">
      <x:c r="A7" s="151" t="str">
        <x:v>Asiakas C</x:v>
      </x:c>
      <x:c r="B7" s="151" t="n">
        <x:v>5</x:v>
      </x:c>
      <x:c r="C7" s="161" t="n">
        <x:v>6200</x:v>
      </x:c>
      <x:c r="D7" s="161" t="n">
        <x:v>5700</x:v>
      </x:c>
      <x:c r="E7" s="164" t="n">
        <x:f>IF(A7="","",C7-D7)</x:f>
        <x:v>500</x:v>
      </x:c>
      <x:c r="F7" s="158" t="n">
        <x:f>IF(C7=0,"",E7/C7)</x:f>
        <x:v>0.08064516129032258</x:v>
      </x:c>
      <x:c r="G7" s="151" t="n">
        <x:v>2100</x:v>
      </x:c>
      <x:c r="H7" s="151" t="n">
        <x:v>420</x:v>
      </x:c>
      <x:c r="I7" s="158" t="n">
        <x:f>IF(G7+H7=0,"",H7/(G7+H7))</x:f>
        <x:v>0.16666666666666666</x:v>
      </x:c>
      <x:c r="J7" s="165" t="n">
        <x:v>0.84</x:v>
      </x:c>
      <x:c r="K7" s="165" t="n">
        <x:v>0.18</x:v>
      </x:c>
      <x:c r="L7" s="154" t="str">
        <x:f>IF(A7="","",IF(F7&lt;K7,"Alle tavoitteen",IF(I7&gt;0.18,"Liikaa tyhjää ajoa","OK")))</x:f>
        <x:v>Alle tavoitteen</x:v>
      </x:c>
      <x:c r="M7" s="154" t="str">
        <x:f>IF(A7="","",IF(L7="OK","Seuraa","Tarkista hinnoittelu / suunnittelu"))</x:f>
        <x:v>Tarkista hinnoittelu / suunnittelu</x:v>
      </x:c>
      <x:c r="N7" s="151" t="str"/>
    </x:row>
    <x:row r="8">
      <x:c r="A8" s="151" t="str">
        <x:v>Asiakas F</x:v>
      </x:c>
      <x:c r="B8" s="151" t="n">
        <x:v>4</x:v>
      </x:c>
      <x:c r="C8" s="161" t="n">
        <x:v>5400</x:v>
      </x:c>
      <x:c r="D8" s="161" t="n">
        <x:v>4300</x:v>
      </x:c>
      <x:c r="E8" s="164" t="n">
        <x:f>IF(A8="","",C8-D8)</x:f>
        <x:v>1100</x:v>
      </x:c>
      <x:c r="F8" s="158" t="n">
        <x:f>IF(C8=0,"",E8/C8)</x:f>
        <x:v>0.2037037037037037</x:v>
      </x:c>
      <x:c r="G8" s="151" t="n">
        <x:v>1600</x:v>
      </x:c>
      <x:c r="H8" s="151" t="n">
        <x:v>200</x:v>
      </x:c>
      <x:c r="I8" s="158" t="n">
        <x:f>IF(G8+H8=0,"",H8/(G8+H8))</x:f>
        <x:v>0.1111111111111111</x:v>
      </x:c>
      <x:c r="J8" s="165" t="n">
        <x:v>0.95</x:v>
      </x:c>
      <x:c r="K8" s="165" t="n">
        <x:v>0.2</x:v>
      </x:c>
      <x:c r="L8" s="154" t="str">
        <x:f>IF(A8="","",IF(F8&lt;K8,"Alle tavoitteen",IF(I8&gt;0.18,"Liikaa tyhjää ajoa","OK")))</x:f>
        <x:v>OK</x:v>
      </x:c>
      <x:c r="M8" s="154" t="str">
        <x:f>IF(A8="","",IF(L8="OK","Seuraa","Tarkista hinnoittelu / suunnittelu"))</x:f>
        <x:v>Seuraa</x:v>
      </x:c>
      <x:c r="N8" s="151" t="str">
        <x:v>ADR</x:v>
      </x:c>
    </x:row>
    <x:row r="9">
      <x:c r="A9" s="151"/>
      <x:c r="B9" s="151"/>
      <x:c r="C9" s="161"/>
      <x:c r="D9" s="161"/>
      <x:c r="E9" s="164" t="str">
        <x:f>IF(A9="","",C9-D9)</x:f>
      </x:c>
      <x:c r="F9" s="158" t="str">
        <x:f>IF(C9=0,"",E9/C9)</x:f>
      </x:c>
      <x:c r="G9" s="151" t="str">
        <x:f>IF(A9="","",G9)</x:f>
      </x:c>
      <x:c r="H9" s="151" t="str">
        <x:f>IF(A9="","",H9)</x:f>
      </x:c>
      <x:c r="I9" s="158" t="str">
        <x:f>IF(G9+H9=0,"",H9/(G9+H9))</x:f>
      </x:c>
      <x:c r="J9" s="165">
        <x:f>IF(A9="","",J9)</x:f>
      </x:c>
      <x:c r="K9" s="165">
        <x:f>IF(A9="","",K9)</x:f>
      </x:c>
      <x:c r="L9" s="154" t="str">
        <x:f>IF(A9="","",IF(F9&lt;K9,"Alle tavoitteen",IF(I9&gt;0.18,"Liikaa tyhjää ajoa","OK")))</x:f>
      </x:c>
      <x:c r="M9" s="154" t="str">
        <x:f>IF(A9="","",IF(L9="OK","Seuraa","Tarkista hinnoittelu / suunnittelu"))</x:f>
      </x:c>
      <x:c r="N9" s="151"/>
    </x:row>
    <x:row r="10">
      <x:c r="A10" s="151"/>
      <x:c r="B10" s="151"/>
      <x:c r="C10" s="161"/>
      <x:c r="D10" s="161"/>
      <x:c r="E10" s="164" t="str">
        <x:f>IF(A10="","",C10-D10)</x:f>
      </x:c>
      <x:c r="F10" s="158" t="str">
        <x:f>IF(C10=0,"",E10/C10)</x:f>
      </x:c>
      <x:c r="G10" s="151" t="str">
        <x:f>IF(A10="","",G10)</x:f>
      </x:c>
      <x:c r="H10" s="151" t="str">
        <x:f>IF(A10="","",H10)</x:f>
      </x:c>
      <x:c r="I10" s="158" t="str">
        <x:f>IF(G10+H10=0,"",H10/(G10+H10))</x:f>
      </x:c>
      <x:c r="J10" s="165">
        <x:f>IF(A10="","",J10)</x:f>
      </x:c>
      <x:c r="K10" s="165">
        <x:f>IF(A10="","",K10)</x:f>
      </x:c>
      <x:c r="L10" s="154" t="str">
        <x:f>IF(A10="","",IF(F10&lt;K10,"Alle tavoitteen",IF(I10&gt;0.18,"Liikaa tyhjää ajoa","OK")))</x:f>
      </x:c>
      <x:c r="M10" s="154" t="str">
        <x:f>IF(A10="","",IF(L10="OK","Seuraa","Tarkista hinnoittelu / suunnittelu"))</x:f>
      </x:c>
      <x:c r="N10" s="151"/>
    </x:row>
    <x:row r="11">
      <x:c r="A11" s="151"/>
      <x:c r="B11" s="151"/>
      <x:c r="C11" s="161"/>
      <x:c r="D11" s="161"/>
      <x:c r="E11" s="164" t="str">
        <x:f>IF(A11="","",C11-D11)</x:f>
      </x:c>
      <x:c r="F11" s="158" t="str">
        <x:f>IF(C11=0,"",E11/C11)</x:f>
      </x:c>
      <x:c r="G11" s="151" t="str">
        <x:f>IF(A11="","",G11)</x:f>
      </x:c>
      <x:c r="H11" s="151" t="str">
        <x:f>IF(A11="","",H11)</x:f>
      </x:c>
      <x:c r="I11" s="158" t="str">
        <x:f>IF(G11+H11=0,"",H11/(G11+H11))</x:f>
      </x:c>
      <x:c r="J11" s="165">
        <x:f>IF(A11="","",J11)</x:f>
      </x:c>
      <x:c r="K11" s="165">
        <x:f>IF(A11="","",K11)</x:f>
      </x:c>
      <x:c r="L11" s="154" t="str">
        <x:f>IF(A11="","",IF(F11&lt;K11,"Alle tavoitteen",IF(I11&gt;0.18,"Liikaa tyhjää ajoa","OK")))</x:f>
      </x:c>
      <x:c r="M11" s="154" t="str">
        <x:f>IF(A11="","",IF(L11="OK","Seuraa","Tarkista hinnoittelu / suunnittelu"))</x:f>
      </x:c>
      <x:c r="N11" s="151"/>
    </x:row>
    <x:row r="12">
      <x:c r="A12" s="151"/>
      <x:c r="B12" s="151"/>
      <x:c r="C12" s="161"/>
      <x:c r="D12" s="161"/>
      <x:c r="E12" s="164" t="str">
        <x:f>IF(A12="","",C12-D12)</x:f>
      </x:c>
      <x:c r="F12" s="158" t="str">
        <x:f>IF(C12=0,"",E12/C12)</x:f>
      </x:c>
      <x:c r="G12" s="151" t="str">
        <x:f>IF(A12="","",G12)</x:f>
      </x:c>
      <x:c r="H12" s="151" t="str">
        <x:f>IF(A12="","",H12)</x:f>
      </x:c>
      <x:c r="I12" s="158" t="str">
        <x:f>IF(G12+H12=0,"",H12/(G12+H12))</x:f>
      </x:c>
      <x:c r="J12" s="165">
        <x:f>IF(A12="","",J12)</x:f>
      </x:c>
      <x:c r="K12" s="165">
        <x:f>IF(A12="","",K12)</x:f>
      </x:c>
      <x:c r="L12" s="154" t="str">
        <x:f>IF(A12="","",IF(F12&lt;K12,"Alle tavoitteen",IF(I12&gt;0.18,"Liikaa tyhjää ajoa","OK")))</x:f>
      </x:c>
      <x:c r="M12" s="154" t="str">
        <x:f>IF(A12="","",IF(L12="OK","Seuraa","Tarkista hinnoittelu / suunnittelu"))</x:f>
      </x:c>
      <x:c r="N12" s="151"/>
    </x:row>
    <x:row r="13">
      <x:c r="A13" s="151"/>
      <x:c r="B13" s="151"/>
      <x:c r="C13" s="161"/>
      <x:c r="D13" s="161"/>
      <x:c r="E13" s="164" t="str">
        <x:f>IF(A13="","",C13-D13)</x:f>
      </x:c>
      <x:c r="F13" s="158" t="str">
        <x:f>IF(C13=0,"",E13/C13)</x:f>
      </x:c>
      <x:c r="G13" s="151" t="str">
        <x:f>IF(A13="","",G13)</x:f>
      </x:c>
      <x:c r="H13" s="151" t="str">
        <x:f>IF(A13="","",H13)</x:f>
      </x:c>
      <x:c r="I13" s="158" t="str">
        <x:f>IF(G13+H13=0,"",H13/(G13+H13))</x:f>
      </x:c>
      <x:c r="J13" s="165">
        <x:f>IF(A13="","",J13)</x:f>
      </x:c>
      <x:c r="K13" s="165">
        <x:f>IF(A13="","",K13)</x:f>
      </x:c>
      <x:c r="L13" s="154" t="str">
        <x:f>IF(A13="","",IF(F13&lt;K13,"Alle tavoitteen",IF(I13&gt;0.18,"Liikaa tyhjää ajoa","OK")))</x:f>
      </x:c>
      <x:c r="M13" s="154" t="str">
        <x:f>IF(A13="","",IF(L13="OK","Seuraa","Tarkista hinnoittelu / suunnittelu"))</x:f>
      </x:c>
      <x:c r="N13" s="151"/>
    </x:row>
    <x:row r="14">
      <x:c r="A14" s="151"/>
      <x:c r="B14" s="151"/>
      <x:c r="C14" s="161"/>
      <x:c r="D14" s="161"/>
      <x:c r="E14" s="164" t="str">
        <x:f>IF(A14="","",C14-D14)</x:f>
      </x:c>
      <x:c r="F14" s="158" t="str">
        <x:f>IF(C14=0,"",E14/C14)</x:f>
      </x:c>
      <x:c r="G14" s="151" t="str">
        <x:f>IF(A14="","",G14)</x:f>
      </x:c>
      <x:c r="H14" s="151" t="str">
        <x:f>IF(A14="","",H14)</x:f>
      </x:c>
      <x:c r="I14" s="158" t="str">
        <x:f>IF(G14+H14=0,"",H14/(G14+H14))</x:f>
      </x:c>
      <x:c r="J14" s="165">
        <x:f>IF(A14="","",J14)</x:f>
      </x:c>
      <x:c r="K14" s="165">
        <x:f>IF(A14="","",K14)</x:f>
      </x:c>
      <x:c r="L14" s="154" t="str">
        <x:f>IF(A14="","",IF(F14&lt;K14,"Alle tavoitteen",IF(I14&gt;0.18,"Liikaa tyhjää ajoa","OK")))</x:f>
      </x:c>
      <x:c r="M14" s="154" t="str">
        <x:f>IF(A14="","",IF(L14="OK","Seuraa","Tarkista hinnoittelu / suunnittelu"))</x:f>
      </x:c>
      <x:c r="N14" s="151"/>
    </x:row>
    <x:row r="15">
      <x:c r="A15" s="151"/>
      <x:c r="B15" s="151"/>
      <x:c r="C15" s="161"/>
      <x:c r="D15" s="161"/>
      <x:c r="E15" s="164" t="str">
        <x:f>IF(A15="","",C15-D15)</x:f>
      </x:c>
      <x:c r="F15" s="158" t="str">
        <x:f>IF(C15=0,"",E15/C15)</x:f>
      </x:c>
      <x:c r="G15" s="151" t="str">
        <x:f>IF(A15="","",G15)</x:f>
      </x:c>
      <x:c r="H15" s="151" t="str">
        <x:f>IF(A15="","",H15)</x:f>
      </x:c>
      <x:c r="I15" s="158" t="str">
        <x:f>IF(G15+H15=0,"",H15/(G15+H15))</x:f>
      </x:c>
      <x:c r="J15" s="165">
        <x:f>IF(A15="","",J15)</x:f>
      </x:c>
      <x:c r="K15" s="165">
        <x:f>IF(A15="","",K15)</x:f>
      </x:c>
      <x:c r="L15" s="154" t="str">
        <x:f>IF(A15="","",IF(F15&lt;K15,"Alle tavoitteen",IF(I15&gt;0.18,"Liikaa tyhjää ajoa","OK")))</x:f>
      </x:c>
      <x:c r="M15" s="154" t="str">
        <x:f>IF(A15="","",IF(L15="OK","Seuraa","Tarkista hinnoittelu / suunnittelu"))</x:f>
      </x:c>
      <x:c r="N15" s="151"/>
    </x:row>
    <x:row r="16">
      <x:c r="A16" s="151"/>
      <x:c r="B16" s="151"/>
      <x:c r="C16" s="161"/>
      <x:c r="D16" s="161"/>
      <x:c r="E16" s="164" t="str">
        <x:f>IF(A16="","",C16-D16)</x:f>
      </x:c>
      <x:c r="F16" s="158" t="str">
        <x:f>IF(C16=0,"",E16/C16)</x:f>
      </x:c>
      <x:c r="G16" s="151" t="str">
        <x:f>IF(A16="","",G16)</x:f>
      </x:c>
      <x:c r="H16" s="151" t="str">
        <x:f>IF(A16="","",H16)</x:f>
      </x:c>
      <x:c r="I16" s="158" t="str">
        <x:f>IF(G16+H16=0,"",H16/(G16+H16))</x:f>
      </x:c>
      <x:c r="J16" s="165">
        <x:f>IF(A16="","",J16)</x:f>
      </x:c>
      <x:c r="K16" s="165">
        <x:f>IF(A16="","",K16)</x:f>
      </x:c>
      <x:c r="L16" s="154" t="str">
        <x:f>IF(A16="","",IF(F16&lt;K16,"Alle tavoitteen",IF(I16&gt;0.18,"Liikaa tyhjää ajoa","OK")))</x:f>
      </x:c>
      <x:c r="M16" s="154" t="str">
        <x:f>IF(A16="","",IF(L16="OK","Seuraa","Tarkista hinnoittelu / suunnittelu"))</x:f>
      </x:c>
      <x:c r="N16" s="151"/>
    </x:row>
    <x:row r="17">
      <x:c r="A17" s="151"/>
      <x:c r="B17" s="151"/>
      <x:c r="C17" s="161"/>
      <x:c r="D17" s="161"/>
      <x:c r="E17" s="164" t="str">
        <x:f>IF(A17="","",C17-D17)</x:f>
      </x:c>
      <x:c r="F17" s="158" t="str">
        <x:f>IF(C17=0,"",E17/C17)</x:f>
      </x:c>
      <x:c r="G17" s="151" t="str">
        <x:f>IF(A17="","",G17)</x:f>
      </x:c>
      <x:c r="H17" s="151" t="str">
        <x:f>IF(A17="","",H17)</x:f>
      </x:c>
      <x:c r="I17" s="158" t="str">
        <x:f>IF(G17+H17=0,"",H17/(G17+H17))</x:f>
      </x:c>
      <x:c r="J17" s="165">
        <x:f>IF(A17="","",J17)</x:f>
      </x:c>
      <x:c r="K17" s="165">
        <x:f>IF(A17="","",K17)</x:f>
      </x:c>
      <x:c r="L17" s="154" t="str">
        <x:f>IF(A17="","",IF(F17&lt;K17,"Alle tavoitteen",IF(I17&gt;0.18,"Liikaa tyhjää ajoa","OK")))</x:f>
      </x:c>
      <x:c r="M17" s="154" t="str">
        <x:f>IF(A17="","",IF(L17="OK","Seuraa","Tarkista hinnoittelu / suunnittelu"))</x:f>
      </x:c>
      <x:c r="N17" s="151"/>
    </x:row>
    <x:row r="18">
      <x:c r="A18" s="151"/>
      <x:c r="B18" s="151"/>
      <x:c r="C18" s="161"/>
      <x:c r="D18" s="161"/>
      <x:c r="E18" s="164" t="str">
        <x:f>IF(A18="","",C18-D18)</x:f>
      </x:c>
      <x:c r="F18" s="158" t="str">
        <x:f>IF(C18=0,"",E18/C18)</x:f>
      </x:c>
      <x:c r="G18" s="151" t="str">
        <x:f>IF(A18="","",G18)</x:f>
      </x:c>
      <x:c r="H18" s="151" t="str">
        <x:f>IF(A18="","",H18)</x:f>
      </x:c>
      <x:c r="I18" s="158" t="str">
        <x:f>IF(G18+H18=0,"",H18/(G18+H18))</x:f>
      </x:c>
      <x:c r="J18" s="165">
        <x:f>IF(A18="","",J18)</x:f>
      </x:c>
      <x:c r="K18" s="165">
        <x:f>IF(A18="","",K18)</x:f>
      </x:c>
      <x:c r="L18" s="154" t="str">
        <x:f>IF(A18="","",IF(F18&lt;K18,"Alle tavoitteen",IF(I18&gt;0.18,"Liikaa tyhjää ajoa","OK")))</x:f>
      </x:c>
      <x:c r="M18" s="154" t="str">
        <x:f>IF(A18="","",IF(L18="OK","Seuraa","Tarkista hinnoittelu / suunnittelu"))</x:f>
      </x:c>
      <x:c r="N18" s="151"/>
    </x:row>
    <x:row r="19">
      <x:c r="A19" s="151"/>
      <x:c r="B19" s="151"/>
      <x:c r="C19" s="161"/>
      <x:c r="D19" s="161"/>
      <x:c r="E19" s="164" t="str">
        <x:f>IF(A19="","",C19-D19)</x:f>
      </x:c>
      <x:c r="F19" s="158" t="str">
        <x:f>IF(C19=0,"",E19/C19)</x:f>
      </x:c>
      <x:c r="G19" s="151" t="str">
        <x:f>IF(A19="","",G19)</x:f>
      </x:c>
      <x:c r="H19" s="151" t="str">
        <x:f>IF(A19="","",H19)</x:f>
      </x:c>
      <x:c r="I19" s="158" t="str">
        <x:f>IF(G19+H19=0,"",H19/(G19+H19))</x:f>
      </x:c>
      <x:c r="J19" s="165">
        <x:f>IF(A19="","",J19)</x:f>
      </x:c>
      <x:c r="K19" s="165">
        <x:f>IF(A19="","",K19)</x:f>
      </x:c>
      <x:c r="L19" s="154" t="str">
        <x:f>IF(A19="","",IF(F19&lt;K19,"Alle tavoitteen",IF(I19&gt;0.18,"Liikaa tyhjää ajoa","OK")))</x:f>
      </x:c>
      <x:c r="M19" s="154" t="str">
        <x:f>IF(A19="","",IF(L19="OK","Seuraa","Tarkista hinnoittelu / suunnittelu"))</x:f>
      </x:c>
      <x:c r="N19" s="151"/>
    </x:row>
    <x:row r="20">
      <x:c r="A20" s="151"/>
      <x:c r="B20" s="151"/>
      <x:c r="C20" s="161"/>
      <x:c r="D20" s="161"/>
      <x:c r="E20" s="164" t="str">
        <x:f>IF(A20="","",C20-D20)</x:f>
      </x:c>
      <x:c r="F20" s="158" t="str">
        <x:f>IF(C20=0,"",E20/C20)</x:f>
      </x:c>
      <x:c r="G20" s="151" t="str">
        <x:f>IF(A20="","",G20)</x:f>
      </x:c>
      <x:c r="H20" s="151" t="str">
        <x:f>IF(A20="","",H20)</x:f>
      </x:c>
      <x:c r="I20" s="158" t="str">
        <x:f>IF(G20+H20=0,"",H20/(G20+H20))</x:f>
      </x:c>
      <x:c r="J20" s="165">
        <x:f>IF(A20="","",J20)</x:f>
      </x:c>
      <x:c r="K20" s="165">
        <x:f>IF(A20="","",K20)</x:f>
      </x:c>
      <x:c r="L20" s="154" t="str">
        <x:f>IF(A20="","",IF(F20&lt;K20,"Alle tavoitteen",IF(I20&gt;0.18,"Liikaa tyhjää ajoa","OK")))</x:f>
      </x:c>
      <x:c r="M20" s="154" t="str">
        <x:f>IF(A20="","",IF(L20="OK","Seuraa","Tarkista hinnoittelu / suunnittelu"))</x:f>
      </x:c>
      <x:c r="N20" s="151"/>
    </x:row>
    <x:row r="21">
      <x:c r="A21" s="151"/>
      <x:c r="B21" s="151"/>
      <x:c r="C21" s="161"/>
      <x:c r="D21" s="161"/>
      <x:c r="E21" s="164" t="str">
        <x:f>IF(A21="","",C21-D21)</x:f>
      </x:c>
      <x:c r="F21" s="158" t="str">
        <x:f>IF(C21=0,"",E21/C21)</x:f>
      </x:c>
      <x:c r="G21" s="151" t="str">
        <x:f>IF(A21="","",G21)</x:f>
      </x:c>
      <x:c r="H21" s="151" t="str">
        <x:f>IF(A21="","",H21)</x:f>
      </x:c>
      <x:c r="I21" s="158" t="str">
        <x:f>IF(G21+H21=0,"",H21/(G21+H21))</x:f>
      </x:c>
      <x:c r="J21" s="165">
        <x:f>IF(A21="","",J21)</x:f>
      </x:c>
      <x:c r="K21" s="165">
        <x:f>IF(A21="","",K21)</x:f>
      </x:c>
      <x:c r="L21" s="154" t="str">
        <x:f>IF(A21="","",IF(F21&lt;K21,"Alle tavoitteen",IF(I21&gt;0.18,"Liikaa tyhjää ajoa","OK")))</x:f>
      </x:c>
      <x:c r="M21" s="154" t="str">
        <x:f>IF(A21="","",IF(L21="OK","Seuraa","Tarkista hinnoittelu / suunnittelu"))</x:f>
      </x:c>
      <x:c r="N21" s="151"/>
    </x:row>
    <x:row r="22">
      <x:c r="A22" s="151"/>
      <x:c r="B22" s="151"/>
      <x:c r="C22" s="161"/>
      <x:c r="D22" s="161"/>
      <x:c r="E22" s="164" t="str">
        <x:f>IF(A22="","",C22-D22)</x:f>
      </x:c>
      <x:c r="F22" s="158" t="str">
        <x:f>IF(C22=0,"",E22/C22)</x:f>
      </x:c>
      <x:c r="G22" s="151" t="str">
        <x:f>IF(A22="","",G22)</x:f>
      </x:c>
      <x:c r="H22" s="151" t="str">
        <x:f>IF(A22="","",H22)</x:f>
      </x:c>
      <x:c r="I22" s="158" t="str">
        <x:f>IF(G22+H22=0,"",H22/(G22+H22))</x:f>
      </x:c>
      <x:c r="J22" s="165">
        <x:f>IF(A22="","",J22)</x:f>
      </x:c>
      <x:c r="K22" s="165">
        <x:f>IF(A22="","",K22)</x:f>
      </x:c>
      <x:c r="L22" s="154" t="str">
        <x:f>IF(A22="","",IF(F22&lt;K22,"Alle tavoitteen",IF(I22&gt;0.18,"Liikaa tyhjää ajoa","OK")))</x:f>
      </x:c>
      <x:c r="M22" s="154" t="str">
        <x:f>IF(A22="","",IF(L22="OK","Seuraa","Tarkista hinnoittelu / suunnittelu"))</x:f>
      </x:c>
      <x:c r="N22" s="151"/>
    </x:row>
    <x:row r="23">
      <x:c r="A23" s="151"/>
      <x:c r="B23" s="151"/>
      <x:c r="C23" s="161"/>
      <x:c r="D23" s="161"/>
      <x:c r="E23" s="164" t="str">
        <x:f>IF(A23="","",C23-D23)</x:f>
      </x:c>
      <x:c r="F23" s="158" t="str">
        <x:f>IF(C23=0,"",E23/C23)</x:f>
      </x:c>
      <x:c r="G23" s="151" t="str">
        <x:f>IF(A23="","",G23)</x:f>
      </x:c>
      <x:c r="H23" s="151" t="str">
        <x:f>IF(A23="","",H23)</x:f>
      </x:c>
      <x:c r="I23" s="158" t="str">
        <x:f>IF(G23+H23=0,"",H23/(G23+H23))</x:f>
      </x:c>
      <x:c r="J23" s="165">
        <x:f>IF(A23="","",J23)</x:f>
      </x:c>
      <x:c r="K23" s="165">
        <x:f>IF(A23="","",K23)</x:f>
      </x:c>
      <x:c r="L23" s="154" t="str">
        <x:f>IF(A23="","",IF(F23&lt;K23,"Alle tavoitteen",IF(I23&gt;0.18,"Liikaa tyhjää ajoa","OK")))</x:f>
      </x:c>
      <x:c r="M23" s="154" t="str">
        <x:f>IF(A23="","",IF(L23="OK","Seuraa","Tarkista hinnoittelu / suunnittelu"))</x:f>
      </x:c>
      <x:c r="N23" s="151"/>
    </x:row>
    <x:row r="24">
      <x:c r="A24" s="151"/>
      <x:c r="B24" s="151"/>
      <x:c r="C24" s="161"/>
      <x:c r="D24" s="161"/>
      <x:c r="E24" s="164" t="str">
        <x:f>IF(A24="","",C24-D24)</x:f>
      </x:c>
      <x:c r="F24" s="158" t="str">
        <x:f>IF(C24=0,"",E24/C24)</x:f>
      </x:c>
      <x:c r="G24" s="151" t="str">
        <x:f>IF(A24="","",G24)</x:f>
      </x:c>
      <x:c r="H24" s="151" t="str">
        <x:f>IF(A24="","",H24)</x:f>
      </x:c>
      <x:c r="I24" s="158" t="str">
        <x:f>IF(G24+H24=0,"",H24/(G24+H24))</x:f>
      </x:c>
      <x:c r="J24" s="165">
        <x:f>IF(A24="","",J24)</x:f>
      </x:c>
      <x:c r="K24" s="165">
        <x:f>IF(A24="","",K24)</x:f>
      </x:c>
      <x:c r="L24" s="154" t="str">
        <x:f>IF(A24="","",IF(F24&lt;K24,"Alle tavoitteen",IF(I24&gt;0.18,"Liikaa tyhjää ajoa","OK")))</x:f>
      </x:c>
      <x:c r="M24" s="154" t="str">
        <x:f>IF(A24="","",IF(L24="OK","Seuraa","Tarkista hinnoittelu / suunnittelu"))</x:f>
      </x:c>
      <x:c r="N24" s="151"/>
    </x:row>
    <x:row r="25">
      <x:c r="A25" s="151"/>
      <x:c r="B25" s="151"/>
      <x:c r="C25" s="161"/>
      <x:c r="D25" s="161"/>
      <x:c r="E25" s="164" t="str">
        <x:f>IF(A25="","",C25-D25)</x:f>
      </x:c>
      <x:c r="F25" s="158" t="str">
        <x:f>IF(C25=0,"",E25/C25)</x:f>
      </x:c>
      <x:c r="G25" s="151" t="str">
        <x:f>IF(A25="","",G25)</x:f>
      </x:c>
      <x:c r="H25" s="151" t="str">
        <x:f>IF(A25="","",H25)</x:f>
      </x:c>
      <x:c r="I25" s="158" t="str">
        <x:f>IF(G25+H25=0,"",H25/(G25+H25))</x:f>
      </x:c>
      <x:c r="J25" s="165">
        <x:f>IF(A25="","",J25)</x:f>
      </x:c>
      <x:c r="K25" s="165">
        <x:f>IF(A25="","",K25)</x:f>
      </x:c>
      <x:c r="L25" s="154" t="str">
        <x:f>IF(A25="","",IF(F25&lt;K25,"Alle tavoitteen",IF(I25&gt;0.18,"Liikaa tyhjää ajoa","OK")))</x:f>
      </x:c>
      <x:c r="M25" s="154" t="str">
        <x:f>IF(A25="","",IF(L25="OK","Seuraa","Tarkista hinnoittelu / suunnittelu"))</x:f>
      </x:c>
      <x:c r="N25" s="151"/>
    </x:row>
    <x:row r="26">
      <x:c r="A26" s="151"/>
      <x:c r="B26" s="151"/>
      <x:c r="C26" s="161"/>
      <x:c r="D26" s="161"/>
      <x:c r="E26" s="164" t="str">
        <x:f>IF(A26="","",C26-D26)</x:f>
      </x:c>
      <x:c r="F26" s="158" t="str">
        <x:f>IF(C26=0,"",E26/C26)</x:f>
      </x:c>
      <x:c r="G26" s="151" t="str">
        <x:f>IF(A26="","",G26)</x:f>
      </x:c>
      <x:c r="H26" s="151" t="str">
        <x:f>IF(A26="","",H26)</x:f>
      </x:c>
      <x:c r="I26" s="158" t="str">
        <x:f>IF(G26+H26=0,"",H26/(G26+H26))</x:f>
      </x:c>
      <x:c r="J26" s="165">
        <x:f>IF(A26="","",J26)</x:f>
      </x:c>
      <x:c r="K26" s="165">
        <x:f>IF(A26="","",K26)</x:f>
      </x:c>
      <x:c r="L26" s="154" t="str">
        <x:f>IF(A26="","",IF(F26&lt;K26,"Alle tavoitteen",IF(I26&gt;0.18,"Liikaa tyhjää ajoa","OK")))</x:f>
      </x:c>
      <x:c r="M26" s="154" t="str">
        <x:f>IF(A26="","",IF(L26="OK","Seuraa","Tarkista hinnoittelu / suunnittelu"))</x:f>
      </x:c>
      <x:c r="N26" s="151"/>
    </x:row>
    <x:row r="27">
      <x:c r="A27" s="151"/>
      <x:c r="B27" s="151"/>
      <x:c r="C27" s="161"/>
      <x:c r="D27" s="161"/>
      <x:c r="E27" s="164" t="str">
        <x:f>IF(A27="","",C27-D27)</x:f>
      </x:c>
      <x:c r="F27" s="158" t="str">
        <x:f>IF(C27=0,"",E27/C27)</x:f>
      </x:c>
      <x:c r="G27" s="151" t="str">
        <x:f>IF(A27="","",G27)</x:f>
      </x:c>
      <x:c r="H27" s="151" t="str">
        <x:f>IF(A27="","",H27)</x:f>
      </x:c>
      <x:c r="I27" s="158" t="str">
        <x:f>IF(G27+H27=0,"",H27/(G27+H27))</x:f>
      </x:c>
      <x:c r="J27" s="165">
        <x:f>IF(A27="","",J27)</x:f>
      </x:c>
      <x:c r="K27" s="165">
        <x:f>IF(A27="","",K27)</x:f>
      </x:c>
      <x:c r="L27" s="154" t="str">
        <x:f>IF(A27="","",IF(F27&lt;K27,"Alle tavoitteen",IF(I27&gt;0.18,"Liikaa tyhjää ajoa","OK")))</x:f>
      </x:c>
      <x:c r="M27" s="154" t="str">
        <x:f>IF(A27="","",IF(L27="OK","Seuraa","Tarkista hinnoittelu / suunnittelu"))</x:f>
      </x:c>
      <x:c r="N27" s="151"/>
    </x:row>
    <x:row r="28">
      <x:c r="A28" s="151"/>
      <x:c r="B28" s="151"/>
      <x:c r="C28" s="161"/>
      <x:c r="D28" s="161"/>
      <x:c r="E28" s="164" t="str">
        <x:f>IF(A28="","",C28-D28)</x:f>
      </x:c>
      <x:c r="F28" s="158" t="str">
        <x:f>IF(C28=0,"",E28/C28)</x:f>
      </x:c>
      <x:c r="G28" s="151" t="str">
        <x:f>IF(A28="","",G28)</x:f>
      </x:c>
      <x:c r="H28" s="151" t="str">
        <x:f>IF(A28="","",H28)</x:f>
      </x:c>
      <x:c r="I28" s="158" t="str">
        <x:f>IF(G28+H28=0,"",H28/(G28+H28))</x:f>
      </x:c>
      <x:c r="J28" s="165">
        <x:f>IF(A28="","",J28)</x:f>
      </x:c>
      <x:c r="K28" s="165">
        <x:f>IF(A28="","",K28)</x:f>
      </x:c>
      <x:c r="L28" s="154" t="str">
        <x:f>IF(A28="","",IF(F28&lt;K28,"Alle tavoitteen",IF(I28&gt;0.18,"Liikaa tyhjää ajoa","OK")))</x:f>
      </x:c>
      <x:c r="M28" s="154" t="str">
        <x:f>IF(A28="","",IF(L28="OK","Seuraa","Tarkista hinnoittelu / suunnittelu"))</x:f>
      </x:c>
      <x:c r="N28" s="151"/>
    </x:row>
    <x:row r="29">
      <x:c r="A29" s="151"/>
      <x:c r="B29" s="151"/>
      <x:c r="C29" s="161"/>
      <x:c r="D29" s="161"/>
      <x:c r="E29" s="164" t="str">
        <x:f>IF(A29="","",C29-D29)</x:f>
      </x:c>
      <x:c r="F29" s="158" t="str">
        <x:f>IF(C29=0,"",E29/C29)</x:f>
      </x:c>
      <x:c r="G29" s="151" t="str">
        <x:f>IF(A29="","",G29)</x:f>
      </x:c>
      <x:c r="H29" s="151" t="str">
        <x:f>IF(A29="","",H29)</x:f>
      </x:c>
      <x:c r="I29" s="158" t="str">
        <x:f>IF(G29+H29=0,"",H29/(G29+H29))</x:f>
      </x:c>
      <x:c r="J29" s="165">
        <x:f>IF(A29="","",J29)</x:f>
      </x:c>
      <x:c r="K29" s="165">
        <x:f>IF(A29="","",K29)</x:f>
      </x:c>
      <x:c r="L29" s="154" t="str">
        <x:f>IF(A29="","",IF(F29&lt;K29,"Alle tavoitteen",IF(I29&gt;0.18,"Liikaa tyhjää ajoa","OK")))</x:f>
      </x:c>
      <x:c r="M29" s="154" t="str">
        <x:f>IF(A29="","",IF(L29="OK","Seuraa","Tarkista hinnoittelu / suunnittelu"))</x:f>
      </x:c>
      <x:c r="N29" s="151"/>
    </x:row>
    <x:row r="30">
      <x:c r="A30" s="151"/>
      <x:c r="B30" s="151"/>
      <x:c r="C30" s="161"/>
      <x:c r="D30" s="161"/>
      <x:c r="E30" s="164" t="str">
        <x:f>IF(A30="","",C30-D30)</x:f>
      </x:c>
      <x:c r="F30" s="158" t="str">
        <x:f>IF(C30=0,"",E30/C30)</x:f>
      </x:c>
      <x:c r="G30" s="151" t="str">
        <x:f>IF(A30="","",G30)</x:f>
      </x:c>
      <x:c r="H30" s="151" t="str">
        <x:f>IF(A30="","",H30)</x:f>
      </x:c>
      <x:c r="I30" s="158" t="str">
        <x:f>IF(G30+H30=0,"",H30/(G30+H30))</x:f>
      </x:c>
      <x:c r="J30" s="165">
        <x:f>IF(A30="","",J30)</x:f>
      </x:c>
      <x:c r="K30" s="165">
        <x:f>IF(A30="","",K30)</x:f>
      </x:c>
      <x:c r="L30" s="154" t="str">
        <x:f>IF(A30="","",IF(F30&lt;K30,"Alle tavoitteen",IF(I30&gt;0.18,"Liikaa tyhjää ajoa","OK")))</x:f>
      </x:c>
      <x:c r="M30" s="154" t="str">
        <x:f>IF(A30="","",IF(L30="OK","Seuraa","Tarkista hinnoittelu / suunnittelu"))</x:f>
      </x:c>
      <x:c r="N30" s="151"/>
    </x:row>
    <x:row r="31">
      <x:c r="A31" s="151"/>
      <x:c r="B31" s="151"/>
      <x:c r="C31" s="161"/>
      <x:c r="D31" s="161"/>
      <x:c r="E31" s="164" t="str">
        <x:f>IF(A31="","",C31-D31)</x:f>
      </x:c>
      <x:c r="F31" s="158" t="str">
        <x:f>IF(C31=0,"",E31/C31)</x:f>
      </x:c>
      <x:c r="G31" s="151" t="str">
        <x:f>IF(A31="","",G31)</x:f>
      </x:c>
      <x:c r="H31" s="151" t="str">
        <x:f>IF(A31="","",H31)</x:f>
      </x:c>
      <x:c r="I31" s="158" t="str">
        <x:f>IF(G31+H31=0,"",H31/(G31+H31))</x:f>
      </x:c>
      <x:c r="J31" s="165">
        <x:f>IF(A31="","",J31)</x:f>
      </x:c>
      <x:c r="K31" s="165">
        <x:f>IF(A31="","",K31)</x:f>
      </x:c>
      <x:c r="L31" s="154" t="str">
        <x:f>IF(A31="","",IF(F31&lt;K31,"Alle tavoitteen",IF(I31&gt;0.18,"Liikaa tyhjää ajoa","OK")))</x:f>
      </x:c>
      <x:c r="M31" s="154" t="str">
        <x:f>IF(A31="","",IF(L31="OK","Seuraa","Tarkista hinnoittelu / suunnittelu"))</x:f>
      </x:c>
      <x:c r="N31" s="151"/>
    </x:row>
    <x:row r="32">
      <x:c r="A32" s="151"/>
      <x:c r="B32" s="151"/>
      <x:c r="C32" s="161"/>
      <x:c r="D32" s="161"/>
      <x:c r="E32" s="164" t="str">
        <x:f>IF(A32="","",C32-D32)</x:f>
      </x:c>
      <x:c r="F32" s="158" t="str">
        <x:f>IF(C32=0,"",E32/C32)</x:f>
      </x:c>
      <x:c r="G32" s="151" t="str">
        <x:f>IF(A32="","",G32)</x:f>
      </x:c>
      <x:c r="H32" s="151" t="str">
        <x:f>IF(A32="","",H32)</x:f>
      </x:c>
      <x:c r="I32" s="158" t="str">
        <x:f>IF(G32+H32=0,"",H32/(G32+H32))</x:f>
      </x:c>
      <x:c r="J32" s="165">
        <x:f>IF(A32="","",J32)</x:f>
      </x:c>
      <x:c r="K32" s="165">
        <x:f>IF(A32="","",K32)</x:f>
      </x:c>
      <x:c r="L32" s="154" t="str">
        <x:f>IF(A32="","",IF(F32&lt;K32,"Alle tavoitteen",IF(I32&gt;0.18,"Liikaa tyhjää ajoa","OK")))</x:f>
      </x:c>
      <x:c r="M32" s="154" t="str">
        <x:f>IF(A32="","",IF(L32="OK","Seuraa","Tarkista hinnoittelu / suunnittelu"))</x:f>
      </x:c>
      <x:c r="N32" s="151"/>
    </x:row>
    <x:row r="33">
      <x:c r="A33" s="151"/>
      <x:c r="B33" s="151"/>
      <x:c r="C33" s="161"/>
      <x:c r="D33" s="161"/>
      <x:c r="E33" s="164" t="str">
        <x:f>IF(A33="","",C33-D33)</x:f>
      </x:c>
      <x:c r="F33" s="158" t="str">
        <x:f>IF(C33=0,"",E33/C33)</x:f>
      </x:c>
      <x:c r="G33" s="151" t="str">
        <x:f>IF(A33="","",G33)</x:f>
      </x:c>
      <x:c r="H33" s="151" t="str">
        <x:f>IF(A33="","",H33)</x:f>
      </x:c>
      <x:c r="I33" s="158" t="str">
        <x:f>IF(G33+H33=0,"",H33/(G33+H33))</x:f>
      </x:c>
      <x:c r="J33" s="165">
        <x:f>IF(A33="","",J33)</x:f>
      </x:c>
      <x:c r="K33" s="165">
        <x:f>IF(A33="","",K33)</x:f>
      </x:c>
      <x:c r="L33" s="154" t="str">
        <x:f>IF(A33="","",IF(F33&lt;K33,"Alle tavoitteen",IF(I33&gt;0.18,"Liikaa tyhjää ajoa","OK")))</x:f>
      </x:c>
      <x:c r="M33" s="154" t="str">
        <x:f>IF(A33="","",IF(L33="OK","Seuraa","Tarkista hinnoittelu / suunnittelu"))</x:f>
      </x:c>
      <x:c r="N33" s="151"/>
    </x:row>
    <x:row r="34">
      <x:c r="A34" s="151"/>
      <x:c r="B34" s="151"/>
      <x:c r="C34" s="161"/>
      <x:c r="D34" s="161"/>
      <x:c r="E34" s="164" t="str">
        <x:f>IF(A34="","",C34-D34)</x:f>
      </x:c>
      <x:c r="F34" s="158" t="str">
        <x:f>IF(C34=0,"",E34/C34)</x:f>
      </x:c>
      <x:c r="G34" s="151" t="str">
        <x:f>IF(A34="","",G34)</x:f>
      </x:c>
      <x:c r="H34" s="151" t="str">
        <x:f>IF(A34="","",H34)</x:f>
      </x:c>
      <x:c r="I34" s="158" t="str">
        <x:f>IF(G34+H34=0,"",H34/(G34+H34))</x:f>
      </x:c>
      <x:c r="J34" s="165">
        <x:f>IF(A34="","",J34)</x:f>
      </x:c>
      <x:c r="K34" s="165">
        <x:f>IF(A34="","",K34)</x:f>
      </x:c>
      <x:c r="L34" s="154" t="str">
        <x:f>IF(A34="","",IF(F34&lt;K34,"Alle tavoitteen",IF(I34&gt;0.18,"Liikaa tyhjää ajoa","OK")))</x:f>
      </x:c>
      <x:c r="M34" s="154" t="str">
        <x:f>IF(A34="","",IF(L34="OK","Seuraa","Tarkista hinnoittelu / suunnittelu"))</x:f>
      </x:c>
      <x:c r="N34" s="151"/>
    </x:row>
    <x:row r="35">
      <x:c r="A35" s="151"/>
      <x:c r="B35" s="151"/>
      <x:c r="C35" s="161"/>
      <x:c r="D35" s="161"/>
      <x:c r="E35" s="164" t="str">
        <x:f>IF(A35="","",C35-D35)</x:f>
      </x:c>
      <x:c r="F35" s="158" t="str">
        <x:f>IF(C35=0,"",E35/C35)</x:f>
      </x:c>
      <x:c r="G35" s="151" t="str">
        <x:f>IF(A35="","",G35)</x:f>
      </x:c>
      <x:c r="H35" s="151" t="str">
        <x:f>IF(A35="","",H35)</x:f>
      </x:c>
      <x:c r="I35" s="158" t="str">
        <x:f>IF(G35+H35=0,"",H35/(G35+H35))</x:f>
      </x:c>
      <x:c r="J35" s="165">
        <x:f>IF(A35="","",J35)</x:f>
      </x:c>
      <x:c r="K35" s="165">
        <x:f>IF(A35="","",K35)</x:f>
      </x:c>
      <x:c r="L35" s="154" t="str">
        <x:f>IF(A35="","",IF(F35&lt;K35,"Alle tavoitteen",IF(I35&gt;0.18,"Liikaa tyhjää ajoa","OK")))</x:f>
      </x:c>
      <x:c r="M35" s="154" t="str">
        <x:f>IF(A35="","",IF(L35="OK","Seuraa","Tarkista hinnoittelu / suunnittelu"))</x:f>
      </x:c>
      <x:c r="N35" s="151"/>
    </x:row>
    <x:row r="36">
      <x:c r="A36" s="151"/>
      <x:c r="B36" s="151"/>
      <x:c r="C36" s="161"/>
      <x:c r="D36" s="161"/>
      <x:c r="E36" s="164" t="str">
        <x:f>IF(A36="","",C36-D36)</x:f>
      </x:c>
      <x:c r="F36" s="158" t="str">
        <x:f>IF(C36=0,"",E36/C36)</x:f>
      </x:c>
      <x:c r="G36" s="151" t="str">
        <x:f>IF(A36="","",G36)</x:f>
      </x:c>
      <x:c r="H36" s="151" t="str">
        <x:f>IF(A36="","",H36)</x:f>
      </x:c>
      <x:c r="I36" s="158" t="str">
        <x:f>IF(G36+H36=0,"",H36/(G36+H36))</x:f>
      </x:c>
      <x:c r="J36" s="165">
        <x:f>IF(A36="","",J36)</x:f>
      </x:c>
      <x:c r="K36" s="165">
        <x:f>IF(A36="","",K36)</x:f>
      </x:c>
      <x:c r="L36" s="154" t="str">
        <x:f>IF(A36="","",IF(F36&lt;K36,"Alle tavoitteen",IF(I36&gt;0.18,"Liikaa tyhjää ajoa","OK")))</x:f>
      </x:c>
      <x:c r="M36" s="154" t="str">
        <x:f>IF(A36="","",IF(L36="OK","Seuraa","Tarkista hinnoittelu / suunnittelu"))</x:f>
      </x:c>
      <x:c r="N36" s="151"/>
    </x:row>
    <x:row r="37">
      <x:c r="A37" s="151"/>
      <x:c r="B37" s="151"/>
      <x:c r="C37" s="161"/>
      <x:c r="D37" s="161"/>
      <x:c r="E37" s="164" t="str">
        <x:f>IF(A37="","",C37-D37)</x:f>
      </x:c>
      <x:c r="F37" s="158" t="str">
        <x:f>IF(C37=0,"",E37/C37)</x:f>
      </x:c>
      <x:c r="G37" s="151" t="str">
        <x:f>IF(A37="","",G37)</x:f>
      </x:c>
      <x:c r="H37" s="151" t="str">
        <x:f>IF(A37="","",H37)</x:f>
      </x:c>
      <x:c r="I37" s="158" t="str">
        <x:f>IF(G37+H37=0,"",H37/(G37+H37))</x:f>
      </x:c>
      <x:c r="J37" s="165">
        <x:f>IF(A37="","",J37)</x:f>
      </x:c>
      <x:c r="K37" s="165">
        <x:f>IF(A37="","",K37)</x:f>
      </x:c>
      <x:c r="L37" s="154" t="str">
        <x:f>IF(A37="","",IF(F37&lt;K37,"Alle tavoitteen",IF(I37&gt;0.18,"Liikaa tyhjää ajoa","OK")))</x:f>
      </x:c>
      <x:c r="M37" s="154" t="str">
        <x:f>IF(A37="","",IF(L37="OK","Seuraa","Tarkista hinnoittelu / suunnittelu"))</x:f>
      </x:c>
      <x:c r="N37" s="151"/>
    </x:row>
    <x:row r="38">
      <x:c r="A38" s="151"/>
      <x:c r="B38" s="151"/>
      <x:c r="C38" s="161"/>
      <x:c r="D38" s="161"/>
      <x:c r="E38" s="164" t="str">
        <x:f>IF(A38="","",C38-D38)</x:f>
      </x:c>
      <x:c r="F38" s="158" t="str">
        <x:f>IF(C38=0,"",E38/C38)</x:f>
      </x:c>
      <x:c r="G38" s="151" t="str">
        <x:f>IF(A38="","",G38)</x:f>
      </x:c>
      <x:c r="H38" s="151" t="str">
        <x:f>IF(A38="","",H38)</x:f>
      </x:c>
      <x:c r="I38" s="158" t="str">
        <x:f>IF(G38+H38=0,"",H38/(G38+H38))</x:f>
      </x:c>
      <x:c r="J38" s="165">
        <x:f>IF(A38="","",J38)</x:f>
      </x:c>
      <x:c r="K38" s="165">
        <x:f>IF(A38="","",K38)</x:f>
      </x:c>
      <x:c r="L38" s="154" t="str">
        <x:f>IF(A38="","",IF(F38&lt;K38,"Alle tavoitteen",IF(I38&gt;0.18,"Liikaa tyhjää ajoa","OK")))</x:f>
      </x:c>
      <x:c r="M38" s="154" t="str">
        <x:f>IF(A38="","",IF(L38="OK","Seuraa","Tarkista hinnoittelu / suunnittelu"))</x:f>
      </x:c>
      <x:c r="N38" s="151"/>
    </x:row>
    <x:row r="39">
      <x:c r="A39" s="151"/>
      <x:c r="B39" s="151"/>
      <x:c r="C39" s="161"/>
      <x:c r="D39" s="161"/>
      <x:c r="E39" s="164" t="str">
        <x:f>IF(A39="","",C39-D39)</x:f>
      </x:c>
      <x:c r="F39" s="158" t="str">
        <x:f>IF(C39=0,"",E39/C39)</x:f>
      </x:c>
      <x:c r="G39" s="151" t="str">
        <x:f>IF(A39="","",G39)</x:f>
      </x:c>
      <x:c r="H39" s="151" t="str">
        <x:f>IF(A39="","",H39)</x:f>
      </x:c>
      <x:c r="I39" s="158" t="str">
        <x:f>IF(G39+H39=0,"",H39/(G39+H39))</x:f>
      </x:c>
      <x:c r="J39" s="165">
        <x:f>IF(A39="","",J39)</x:f>
      </x:c>
      <x:c r="K39" s="165">
        <x:f>IF(A39="","",K39)</x:f>
      </x:c>
      <x:c r="L39" s="154" t="str">
        <x:f>IF(A39="","",IF(F39&lt;K39,"Alle tavoitteen",IF(I39&gt;0.18,"Liikaa tyhjää ajoa","OK")))</x:f>
      </x:c>
      <x:c r="M39" s="154" t="str">
        <x:f>IF(A39="","",IF(L39="OK","Seuraa","Tarkista hinnoittelu / suunnittelu"))</x:f>
      </x:c>
      <x:c r="N39" s="151"/>
    </x:row>
    <x:row r="40">
      <x:c r="A40" s="151"/>
      <x:c r="B40" s="151"/>
      <x:c r="C40" s="161"/>
      <x:c r="D40" s="161"/>
      <x:c r="E40" s="164" t="str">
        <x:f>IF(A40="","",C40-D40)</x:f>
      </x:c>
      <x:c r="F40" s="158" t="str">
        <x:f>IF(C40=0,"",E40/C40)</x:f>
      </x:c>
      <x:c r="G40" s="151" t="str">
        <x:f>IF(A40="","",G40)</x:f>
      </x:c>
      <x:c r="H40" s="151" t="str">
        <x:f>IF(A40="","",H40)</x:f>
      </x:c>
      <x:c r="I40" s="158" t="str">
        <x:f>IF(G40+H40=0,"",H40/(G40+H40))</x:f>
      </x:c>
      <x:c r="J40" s="165">
        <x:f>IF(A40="","",J40)</x:f>
      </x:c>
      <x:c r="K40" s="165">
        <x:f>IF(A40="","",K40)</x:f>
      </x:c>
      <x:c r="L40" s="154" t="str">
        <x:f>IF(A40="","",IF(F40&lt;K40,"Alle tavoitteen",IF(I40&gt;0.18,"Liikaa tyhjää ajoa","OK")))</x:f>
      </x:c>
      <x:c r="M40" s="154" t="str">
        <x:f>IF(A40="","",IF(L40="OK","Seuraa","Tarkista hinnoittelu / suunnittelu"))</x:f>
      </x:c>
      <x:c r="N40" s="151"/>
    </x:row>
    <x:row r="41">
      <x:c r="A41" s="151"/>
      <x:c r="B41" s="151"/>
      <x:c r="C41" s="161"/>
      <x:c r="D41" s="161"/>
      <x:c r="E41" s="164"/>
      <x:c r="F41" s="158"/>
      <x:c r="G41" s="151"/>
      <x:c r="H41" s="151"/>
      <x:c r="I41" s="158"/>
      <x:c r="J41" s="165"/>
      <x:c r="K41" s="165"/>
      <x:c r="L41" s="154"/>
      <x:c r="M41" s="154"/>
      <x:c r="N41" s="151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b930272e18d4fa0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22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</x:cols>
  <x:sheetData>
    <x:row r="1">
      <x:c r="A1" s="142" t="str">
        <x:v>8. Reittihistoria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Toteutuneet reitit analytiikkaa ja Power BI:tä varten.</x:v>
      </x:c>
    </x:row>
    <x:row r="4">
      <x:c r="A4" s="148" t="str">
        <x:v>Päivä</x:v>
      </x:c>
      <x:c r="B4" s="148" t="str">
        <x:v>Asiakas</x:v>
      </x:c>
      <x:c r="C4" s="148" t="str">
        <x:v>Reitti</x:v>
      </x:c>
      <x:c r="D4" s="148" t="str">
        <x:v>Kalusto</x:v>
      </x:c>
      <x:c r="E4" s="148" t="str">
        <x:v>Carrier</x:v>
      </x:c>
      <x:c r="F4" s="148" t="str">
        <x:v>Loaded km</x:v>
      </x:c>
      <x:c r="G4" s="148" t="str">
        <x:v>Empty km</x:v>
      </x:c>
      <x:c r="H4" s="148" t="str">
        <x:v>Myynti €</x:v>
      </x:c>
      <x:c r="I4" s="148" t="str">
        <x:v>Kulut €</x:v>
      </x:c>
      <x:c r="J4" s="148" t="str">
        <x:v>Kate €</x:v>
      </x:c>
      <x:c r="K4" s="148" t="str">
        <x:v>Kate %</x:v>
      </x:c>
      <x:c r="L4" s="148" t="str">
        <x:v>On-time?</x:v>
      </x:c>
      <x:c r="M4" s="148" t="str">
        <x:v>Poikkeama</x:v>
      </x:c>
      <x:c r="N4" s="148" t="str">
        <x:v>Huomio</x:v>
      </x:c>
    </x:row>
    <x:row r="5">
      <x:c r="A5" s="166" t="n">
        <x:v>46143</x:v>
      </x:c>
      <x:c r="B5" s="151" t="str">
        <x:v>Asiakas A</x:v>
      </x:c>
      <x:c r="C5" s="151" t="str">
        <x:v>Vantaa → Tampere</x:v>
      </x:c>
      <x:c r="D5" s="151" t="str">
        <x:v>Thermo</x:v>
      </x:c>
      <x:c r="E5" s="151" t="str">
        <x:v>Carrier A</x:v>
      </x:c>
      <x:c r="F5" s="151" t="n">
        <x:v>180</x:v>
      </x:c>
      <x:c r="G5" s="151" t="n">
        <x:v>20</x:v>
      </x:c>
      <x:c r="H5" s="161" t="n">
        <x:v>520</x:v>
      </x:c>
      <x:c r="I5" s="161" t="n">
        <x:v>405</x:v>
      </x:c>
      <x:c r="J5" s="164" t="n">
        <x:f>IF(A5="","",H5-I5)</x:f>
        <x:v>115</x:v>
      </x:c>
      <x:c r="K5" s="158" t="n">
        <x:f>IF(H5=0,"",J5/H5)</x:f>
        <x:v>0.22115384615384615</x:v>
      </x:c>
      <x:c r="L5" s="151" t="str">
        <x:v>Kyllä</x:v>
      </x:c>
      <x:c r="M5" s="151" t="str"/>
      <x:c r="N5" s="151" t="str"/>
    </x:row>
    <x:row r="6">
      <x:c r="A6" s="166" t="n">
        <x:v>46144</x:v>
      </x:c>
      <x:c r="B6" s="151" t="str">
        <x:v>Asiakas B</x:v>
      </x:c>
      <x:c r="C6" s="151" t="str">
        <x:v>Vantaa → Oulu</x:v>
      </x:c>
      <x:c r="D6" s="151" t="str">
        <x:v>Umpikaappi</x:v>
      </x:c>
      <x:c r="E6" s="151" t="str">
        <x:v>Carrier B</x:v>
      </x:c>
      <x:c r="F6" s="151" t="n">
        <x:v>600</x:v>
      </x:c>
      <x:c r="G6" s="151" t="n">
        <x:v>80</x:v>
      </x:c>
      <x:c r="H6" s="161" t="n">
        <x:v>1380</x:v>
      </x:c>
      <x:c r="I6" s="161" t="n">
        <x:v>1120</x:v>
      </x:c>
      <x:c r="J6" s="164" t="n">
        <x:f>IF(A6="","",H6-I6)</x:f>
        <x:v>260</x:v>
      </x:c>
      <x:c r="K6" s="158" t="n">
        <x:f>IF(H6=0,"",J6/H6)</x:f>
        <x:v>0.18840579710144928</x:v>
      </x:c>
      <x:c r="L6" s="151" t="str">
        <x:v>Kyllä</x:v>
      </x:c>
      <x:c r="M6" s="151" t="str"/>
      <x:c r="N6" s="151" t="str"/>
    </x:row>
    <x:row r="7">
      <x:c r="A7" s="166" t="n">
        <x:v>46145</x:v>
      </x:c>
      <x:c r="B7" s="151" t="str">
        <x:v>Asiakas C</x:v>
      </x:c>
      <x:c r="C7" s="151" t="str">
        <x:v>Turku → Rauma</x:v>
      </x:c>
      <x:c r="D7" s="151" t="str">
        <x:v>Pressu</x:v>
      </x:c>
      <x:c r="E7" s="151" t="str">
        <x:v>Carrier A</x:v>
      </x:c>
      <x:c r="F7" s="151" t="n">
        <x:v>95</x:v>
      </x:c>
      <x:c r="G7" s="151" t="n">
        <x:v>15</x:v>
      </x:c>
      <x:c r="H7" s="161" t="n">
        <x:v>330</x:v>
      </x:c>
      <x:c r="I7" s="161" t="n">
        <x:v>250</x:v>
      </x:c>
      <x:c r="J7" s="164" t="n">
        <x:f>IF(A7="","",H7-I7)</x:f>
        <x:v>80</x:v>
      </x:c>
      <x:c r="K7" s="158" t="n">
        <x:f>IF(H7=0,"",J7/H7)</x:f>
        <x:v>0.24242424242424243</x:v>
      </x:c>
      <x:c r="L7" s="151" t="str">
        <x:v>Ei</x:v>
      </x:c>
      <x:c r="M7" s="151" t="str">
        <x:v>Myöhäinen purku</x:v>
      </x:c>
      <x:c r="N7" s="151" t="str"/>
    </x:row>
    <x:row r="8">
      <x:c r="A8" s="166" t="n">
        <x:v>46146</x:v>
      </x:c>
      <x:c r="B8" s="151" t="str">
        <x:v>Asiakas F</x:v>
      </x:c>
      <x:c r="C8" s="151" t="str">
        <x:v>Tampere → Pori</x:v>
      </x:c>
      <x:c r="D8" s="151" t="str">
        <x:v>ADR</x:v>
      </x:c>
      <x:c r="E8" s="151" t="str">
        <x:v>Carrier C</x:v>
      </x:c>
      <x:c r="F8" s="151" t="n">
        <x:v>110</x:v>
      </x:c>
      <x:c r="G8" s="151" t="n">
        <x:v>25</x:v>
      </x:c>
      <x:c r="H8" s="161" t="n">
        <x:v>430</x:v>
      </x:c>
      <x:c r="I8" s="161" t="n">
        <x:v>330</x:v>
      </x:c>
      <x:c r="J8" s="164" t="n">
        <x:f>IF(A8="","",H8-I8)</x:f>
        <x:v>100</x:v>
      </x:c>
      <x:c r="K8" s="158" t="n">
        <x:f>IF(H8=0,"",J8/H8)</x:f>
        <x:v>0.23255813953488372</x:v>
      </x:c>
      <x:c r="L8" s="151" t="str">
        <x:v>Kyllä</x:v>
      </x:c>
      <x:c r="M8" s="151" t="str"/>
      <x:c r="N8" s="151" t="str"/>
    </x:row>
    <x:row r="9">
      <x:c r="A9" s="166"/>
      <x:c r="B9" s="151"/>
      <x:c r="C9" s="151"/>
      <x:c r="D9" s="151"/>
      <x:c r="E9" s="151"/>
      <x:c r="F9" s="151"/>
      <x:c r="G9" s="151"/>
      <x:c r="H9" s="161"/>
      <x:c r="I9" s="161"/>
      <x:c r="J9" s="164" t="str">
        <x:f>IF(A9="","",H9-I9)</x:f>
      </x:c>
      <x:c r="K9" s="158" t="str">
        <x:f>IF(H9=0,"",J9/H9)</x:f>
      </x:c>
      <x:c r="L9" s="151"/>
      <x:c r="M9" s="151"/>
      <x:c r="N9" s="151"/>
    </x:row>
    <x:row r="10">
      <x:c r="A10" s="166"/>
      <x:c r="B10" s="151"/>
      <x:c r="C10" s="151"/>
      <x:c r="D10" s="151"/>
      <x:c r="E10" s="151"/>
      <x:c r="F10" s="151"/>
      <x:c r="G10" s="151"/>
      <x:c r="H10" s="161"/>
      <x:c r="I10" s="161"/>
      <x:c r="J10" s="164" t="str">
        <x:f>IF(A10="","",H10-I10)</x:f>
      </x:c>
      <x:c r="K10" s="158" t="str">
        <x:f>IF(H10=0,"",J10/H10)</x:f>
      </x:c>
      <x:c r="L10" s="151"/>
      <x:c r="M10" s="151"/>
      <x:c r="N10" s="151"/>
    </x:row>
    <x:row r="11">
      <x:c r="A11" s="166"/>
      <x:c r="B11" s="151"/>
      <x:c r="C11" s="151"/>
      <x:c r="D11" s="151"/>
      <x:c r="E11" s="151"/>
      <x:c r="F11" s="151"/>
      <x:c r="G11" s="151"/>
      <x:c r="H11" s="161"/>
      <x:c r="I11" s="161"/>
      <x:c r="J11" s="164" t="str">
        <x:f>IF(A11="","",H11-I11)</x:f>
      </x:c>
      <x:c r="K11" s="158" t="str">
        <x:f>IF(H11=0,"",J11/H11)</x:f>
      </x:c>
      <x:c r="L11" s="151"/>
      <x:c r="M11" s="151"/>
      <x:c r="N11" s="151"/>
    </x:row>
    <x:row r="12">
      <x:c r="A12" s="166"/>
      <x:c r="B12" s="151"/>
      <x:c r="C12" s="151"/>
      <x:c r="D12" s="151"/>
      <x:c r="E12" s="151"/>
      <x:c r="F12" s="151"/>
      <x:c r="G12" s="151"/>
      <x:c r="H12" s="161"/>
      <x:c r="I12" s="161"/>
      <x:c r="J12" s="164" t="str">
        <x:f>IF(A12="","",H12-I12)</x:f>
      </x:c>
      <x:c r="K12" s="158" t="str">
        <x:f>IF(H12=0,"",J12/H12)</x:f>
      </x:c>
      <x:c r="L12" s="151"/>
      <x:c r="M12" s="151"/>
      <x:c r="N12" s="151"/>
    </x:row>
    <x:row r="13">
      <x:c r="A13" s="166"/>
      <x:c r="B13" s="151"/>
      <x:c r="C13" s="151"/>
      <x:c r="D13" s="151"/>
      <x:c r="E13" s="151"/>
      <x:c r="F13" s="151"/>
      <x:c r="G13" s="151"/>
      <x:c r="H13" s="161"/>
      <x:c r="I13" s="161"/>
      <x:c r="J13" s="164" t="str">
        <x:f>IF(A13="","",H13-I13)</x:f>
      </x:c>
      <x:c r="K13" s="158" t="str">
        <x:f>IF(H13=0,"",J13/H13)</x:f>
      </x:c>
      <x:c r="L13" s="151"/>
      <x:c r="M13" s="151"/>
      <x:c r="N13" s="151"/>
    </x:row>
    <x:row r="14">
      <x:c r="A14" s="166"/>
      <x:c r="B14" s="151"/>
      <x:c r="C14" s="151"/>
      <x:c r="D14" s="151"/>
      <x:c r="E14" s="151"/>
      <x:c r="F14" s="151"/>
      <x:c r="G14" s="151"/>
      <x:c r="H14" s="161"/>
      <x:c r="I14" s="161"/>
      <x:c r="J14" s="164" t="str">
        <x:f>IF(A14="","",H14-I14)</x:f>
      </x:c>
      <x:c r="K14" s="158" t="str">
        <x:f>IF(H14=0,"",J14/H14)</x:f>
      </x:c>
      <x:c r="L14" s="151"/>
      <x:c r="M14" s="151"/>
      <x:c r="N14" s="151"/>
    </x:row>
    <x:row r="15">
      <x:c r="A15" s="166"/>
      <x:c r="B15" s="151"/>
      <x:c r="C15" s="151"/>
      <x:c r="D15" s="151"/>
      <x:c r="E15" s="151"/>
      <x:c r="F15" s="151"/>
      <x:c r="G15" s="151"/>
      <x:c r="H15" s="161"/>
      <x:c r="I15" s="161"/>
      <x:c r="J15" s="164" t="str">
        <x:f>IF(A15="","",H15-I15)</x:f>
      </x:c>
      <x:c r="K15" s="158" t="str">
        <x:f>IF(H15=0,"",J15/H15)</x:f>
      </x:c>
      <x:c r="L15" s="151"/>
      <x:c r="M15" s="151"/>
      <x:c r="N15" s="151"/>
    </x:row>
    <x:row r="16">
      <x:c r="A16" s="166"/>
      <x:c r="B16" s="151"/>
      <x:c r="C16" s="151"/>
      <x:c r="D16" s="151"/>
      <x:c r="E16" s="151"/>
      <x:c r="F16" s="151"/>
      <x:c r="G16" s="151"/>
      <x:c r="H16" s="161"/>
      <x:c r="I16" s="161"/>
      <x:c r="J16" s="164" t="str">
        <x:f>IF(A16="","",H16-I16)</x:f>
      </x:c>
      <x:c r="K16" s="158" t="str">
        <x:f>IF(H16=0,"",J16/H16)</x:f>
      </x:c>
      <x:c r="L16" s="151"/>
      <x:c r="M16" s="151"/>
      <x:c r="N16" s="151"/>
    </x:row>
    <x:row r="17">
      <x:c r="A17" s="166"/>
      <x:c r="B17" s="151"/>
      <x:c r="C17" s="151"/>
      <x:c r="D17" s="151"/>
      <x:c r="E17" s="151"/>
      <x:c r="F17" s="151"/>
      <x:c r="G17" s="151"/>
      <x:c r="H17" s="161"/>
      <x:c r="I17" s="161"/>
      <x:c r="J17" s="164" t="str">
        <x:f>IF(A17="","",H17-I17)</x:f>
      </x:c>
      <x:c r="K17" s="158" t="str">
        <x:f>IF(H17=0,"",J17/H17)</x:f>
      </x:c>
      <x:c r="L17" s="151"/>
      <x:c r="M17" s="151"/>
      <x:c r="N17" s="151"/>
    </x:row>
    <x:row r="18">
      <x:c r="A18" s="166"/>
      <x:c r="B18" s="151"/>
      <x:c r="C18" s="151"/>
      <x:c r="D18" s="151"/>
      <x:c r="E18" s="151"/>
      <x:c r="F18" s="151"/>
      <x:c r="G18" s="151"/>
      <x:c r="H18" s="161"/>
      <x:c r="I18" s="161"/>
      <x:c r="J18" s="164" t="str">
        <x:f>IF(A18="","",H18-I18)</x:f>
      </x:c>
      <x:c r="K18" s="158" t="str">
        <x:f>IF(H18=0,"",J18/H18)</x:f>
      </x:c>
      <x:c r="L18" s="151"/>
      <x:c r="M18" s="151"/>
      <x:c r="N18" s="151"/>
    </x:row>
    <x:row r="19">
      <x:c r="A19" s="166"/>
      <x:c r="B19" s="151"/>
      <x:c r="C19" s="151"/>
      <x:c r="D19" s="151"/>
      <x:c r="E19" s="151"/>
      <x:c r="F19" s="151"/>
      <x:c r="G19" s="151"/>
      <x:c r="H19" s="161"/>
      <x:c r="I19" s="161"/>
      <x:c r="J19" s="164" t="str">
        <x:f>IF(A19="","",H19-I19)</x:f>
      </x:c>
      <x:c r="K19" s="158" t="str">
        <x:f>IF(H19=0,"",J19/H19)</x:f>
      </x:c>
      <x:c r="L19" s="151"/>
      <x:c r="M19" s="151"/>
      <x:c r="N19" s="151"/>
    </x:row>
    <x:row r="20">
      <x:c r="A20" s="166"/>
      <x:c r="B20" s="151"/>
      <x:c r="C20" s="151"/>
      <x:c r="D20" s="151"/>
      <x:c r="E20" s="151"/>
      <x:c r="F20" s="151"/>
      <x:c r="G20" s="151"/>
      <x:c r="H20" s="161"/>
      <x:c r="I20" s="161"/>
      <x:c r="J20" s="164" t="str">
        <x:f>IF(A20="","",H20-I20)</x:f>
      </x:c>
      <x:c r="K20" s="158" t="str">
        <x:f>IF(H20=0,"",J20/H20)</x:f>
      </x:c>
      <x:c r="L20" s="151"/>
      <x:c r="M20" s="151"/>
      <x:c r="N20" s="151"/>
    </x:row>
    <x:row r="21">
      <x:c r="A21" s="166"/>
      <x:c r="B21" s="151"/>
      <x:c r="C21" s="151"/>
      <x:c r="D21" s="151"/>
      <x:c r="E21" s="151"/>
      <x:c r="F21" s="151"/>
      <x:c r="G21" s="151"/>
      <x:c r="H21" s="161"/>
      <x:c r="I21" s="161"/>
      <x:c r="J21" s="164" t="str">
        <x:f>IF(A21="","",H21-I21)</x:f>
      </x:c>
      <x:c r="K21" s="158" t="str">
        <x:f>IF(H21=0,"",J21/H21)</x:f>
      </x:c>
      <x:c r="L21" s="151"/>
      <x:c r="M21" s="151"/>
      <x:c r="N21" s="151"/>
    </x:row>
    <x:row r="22">
      <x:c r="A22" s="166"/>
      <x:c r="B22" s="151"/>
      <x:c r="C22" s="151"/>
      <x:c r="D22" s="151"/>
      <x:c r="E22" s="151"/>
      <x:c r="F22" s="151"/>
      <x:c r="G22" s="151"/>
      <x:c r="H22" s="161"/>
      <x:c r="I22" s="161"/>
      <x:c r="J22" s="164" t="str">
        <x:f>IF(A22="","",H22-I22)</x:f>
      </x:c>
      <x:c r="K22" s="158" t="str">
        <x:f>IF(H22=0,"",J22/H22)</x:f>
      </x:c>
      <x:c r="L22" s="151"/>
      <x:c r="M22" s="151"/>
      <x:c r="N22" s="151"/>
    </x:row>
    <x:row r="23">
      <x:c r="A23" s="166"/>
      <x:c r="B23" s="151"/>
      <x:c r="C23" s="151"/>
      <x:c r="D23" s="151"/>
      <x:c r="E23" s="151"/>
      <x:c r="F23" s="151"/>
      <x:c r="G23" s="151"/>
      <x:c r="H23" s="161"/>
      <x:c r="I23" s="161"/>
      <x:c r="J23" s="164" t="str">
        <x:f>IF(A23="","",H23-I23)</x:f>
      </x:c>
      <x:c r="K23" s="158" t="str">
        <x:f>IF(H23=0,"",J23/H23)</x:f>
      </x:c>
      <x:c r="L23" s="151"/>
      <x:c r="M23" s="151"/>
      <x:c r="N23" s="151"/>
    </x:row>
    <x:row r="24">
      <x:c r="A24" s="166"/>
      <x:c r="B24" s="151"/>
      <x:c r="C24" s="151"/>
      <x:c r="D24" s="151"/>
      <x:c r="E24" s="151"/>
      <x:c r="F24" s="151"/>
      <x:c r="G24" s="151"/>
      <x:c r="H24" s="161"/>
      <x:c r="I24" s="161"/>
      <x:c r="J24" s="164" t="str">
        <x:f>IF(A24="","",H24-I24)</x:f>
      </x:c>
      <x:c r="K24" s="158" t="str">
        <x:f>IF(H24=0,"",J24/H24)</x:f>
      </x:c>
      <x:c r="L24" s="151"/>
      <x:c r="M24" s="151"/>
      <x:c r="N24" s="151"/>
    </x:row>
    <x:row r="25">
      <x:c r="A25" s="166"/>
      <x:c r="B25" s="151"/>
      <x:c r="C25" s="151"/>
      <x:c r="D25" s="151"/>
      <x:c r="E25" s="151"/>
      <x:c r="F25" s="151"/>
      <x:c r="G25" s="151"/>
      <x:c r="H25" s="161"/>
      <x:c r="I25" s="161"/>
      <x:c r="J25" s="164" t="str">
        <x:f>IF(A25="","",H25-I25)</x:f>
      </x:c>
      <x:c r="K25" s="158" t="str">
        <x:f>IF(H25=0,"",J25/H25)</x:f>
      </x:c>
      <x:c r="L25" s="151"/>
      <x:c r="M25" s="151"/>
      <x:c r="N25" s="151"/>
    </x:row>
    <x:row r="26">
      <x:c r="A26" s="166"/>
      <x:c r="B26" s="151"/>
      <x:c r="C26" s="151"/>
      <x:c r="D26" s="151"/>
      <x:c r="E26" s="151"/>
      <x:c r="F26" s="151"/>
      <x:c r="G26" s="151"/>
      <x:c r="H26" s="161"/>
      <x:c r="I26" s="161"/>
      <x:c r="J26" s="164" t="str">
        <x:f>IF(A26="","",H26-I26)</x:f>
      </x:c>
      <x:c r="K26" s="158" t="str">
        <x:f>IF(H26=0,"",J26/H26)</x:f>
      </x:c>
      <x:c r="L26" s="151"/>
      <x:c r="M26" s="151"/>
      <x:c r="N26" s="151"/>
    </x:row>
    <x:row r="27">
      <x:c r="A27" s="166"/>
      <x:c r="B27" s="151"/>
      <x:c r="C27" s="151"/>
      <x:c r="D27" s="151"/>
      <x:c r="E27" s="151"/>
      <x:c r="F27" s="151"/>
      <x:c r="G27" s="151"/>
      <x:c r="H27" s="161"/>
      <x:c r="I27" s="161"/>
      <x:c r="J27" s="164" t="str">
        <x:f>IF(A27="","",H27-I27)</x:f>
      </x:c>
      <x:c r="K27" s="158" t="str">
        <x:f>IF(H27=0,"",J27/H27)</x:f>
      </x:c>
      <x:c r="L27" s="151"/>
      <x:c r="M27" s="151"/>
      <x:c r="N27" s="151"/>
    </x:row>
    <x:row r="28">
      <x:c r="A28" s="166"/>
      <x:c r="B28" s="151"/>
      <x:c r="C28" s="151"/>
      <x:c r="D28" s="151"/>
      <x:c r="E28" s="151"/>
      <x:c r="F28" s="151"/>
      <x:c r="G28" s="151"/>
      <x:c r="H28" s="161"/>
      <x:c r="I28" s="161"/>
      <x:c r="J28" s="164" t="str">
        <x:f>IF(A28="","",H28-I28)</x:f>
      </x:c>
      <x:c r="K28" s="158" t="str">
        <x:f>IF(H28=0,"",J28/H28)</x:f>
      </x:c>
      <x:c r="L28" s="151"/>
      <x:c r="M28" s="151"/>
      <x:c r="N28" s="151"/>
    </x:row>
    <x:row r="29">
      <x:c r="A29" s="166"/>
      <x:c r="B29" s="151"/>
      <x:c r="C29" s="151"/>
      <x:c r="D29" s="151"/>
      <x:c r="E29" s="151"/>
      <x:c r="F29" s="151"/>
      <x:c r="G29" s="151"/>
      <x:c r="H29" s="161"/>
      <x:c r="I29" s="161"/>
      <x:c r="J29" s="164" t="str">
        <x:f>IF(A29="","",H29-I29)</x:f>
      </x:c>
      <x:c r="K29" s="158" t="str">
        <x:f>IF(H29=0,"",J29/H29)</x:f>
      </x:c>
      <x:c r="L29" s="151"/>
      <x:c r="M29" s="151"/>
      <x:c r="N29" s="151"/>
    </x:row>
    <x:row r="30">
      <x:c r="A30" s="166"/>
      <x:c r="B30" s="151"/>
      <x:c r="C30" s="151"/>
      <x:c r="D30" s="151"/>
      <x:c r="E30" s="151"/>
      <x:c r="F30" s="151"/>
      <x:c r="G30" s="151"/>
      <x:c r="H30" s="161"/>
      <x:c r="I30" s="161"/>
      <x:c r="J30" s="164" t="str">
        <x:f>IF(A30="","",H30-I30)</x:f>
      </x:c>
      <x:c r="K30" s="158" t="str">
        <x:f>IF(H30=0,"",J30/H30)</x:f>
      </x:c>
      <x:c r="L30" s="151"/>
      <x:c r="M30" s="151"/>
      <x:c r="N30" s="151"/>
    </x:row>
    <x:row r="31">
      <x:c r="A31" s="166"/>
      <x:c r="B31" s="151"/>
      <x:c r="C31" s="151"/>
      <x:c r="D31" s="151"/>
      <x:c r="E31" s="151"/>
      <x:c r="F31" s="151"/>
      <x:c r="G31" s="151"/>
      <x:c r="H31" s="161"/>
      <x:c r="I31" s="161"/>
      <x:c r="J31" s="164" t="str">
        <x:f>IF(A31="","",H31-I31)</x:f>
      </x:c>
      <x:c r="K31" s="158" t="str">
        <x:f>IF(H31=0,"",J31/H31)</x:f>
      </x:c>
      <x:c r="L31" s="151"/>
      <x:c r="M31" s="151"/>
      <x:c r="N31" s="151"/>
    </x:row>
    <x:row r="32">
      <x:c r="A32" s="166"/>
      <x:c r="B32" s="151"/>
      <x:c r="C32" s="151"/>
      <x:c r="D32" s="151"/>
      <x:c r="E32" s="151"/>
      <x:c r="F32" s="151"/>
      <x:c r="G32" s="151"/>
      <x:c r="H32" s="161"/>
      <x:c r="I32" s="161"/>
      <x:c r="J32" s="164" t="str">
        <x:f>IF(A32="","",H32-I32)</x:f>
      </x:c>
      <x:c r="K32" s="158" t="str">
        <x:f>IF(H32=0,"",J32/H32)</x:f>
      </x:c>
      <x:c r="L32" s="151"/>
      <x:c r="M32" s="151"/>
      <x:c r="N32" s="151"/>
    </x:row>
    <x:row r="33">
      <x:c r="A33" s="166"/>
      <x:c r="B33" s="151"/>
      <x:c r="C33" s="151"/>
      <x:c r="D33" s="151"/>
      <x:c r="E33" s="151"/>
      <x:c r="F33" s="151"/>
      <x:c r="G33" s="151"/>
      <x:c r="H33" s="161"/>
      <x:c r="I33" s="161"/>
      <x:c r="J33" s="164" t="str">
        <x:f>IF(A33="","",H33-I33)</x:f>
      </x:c>
      <x:c r="K33" s="158" t="str">
        <x:f>IF(H33=0,"",J33/H33)</x:f>
      </x:c>
      <x:c r="L33" s="151"/>
      <x:c r="M33" s="151"/>
      <x:c r="N33" s="151"/>
    </x:row>
    <x:row r="34">
      <x:c r="A34" s="166"/>
      <x:c r="B34" s="151"/>
      <x:c r="C34" s="151"/>
      <x:c r="D34" s="151"/>
      <x:c r="E34" s="151"/>
      <x:c r="F34" s="151"/>
      <x:c r="G34" s="151"/>
      <x:c r="H34" s="161"/>
      <x:c r="I34" s="161"/>
      <x:c r="J34" s="164" t="str">
        <x:f>IF(A34="","",H34-I34)</x:f>
      </x:c>
      <x:c r="K34" s="158" t="str">
        <x:f>IF(H34=0,"",J34/H34)</x:f>
      </x:c>
      <x:c r="L34" s="151"/>
      <x:c r="M34" s="151"/>
      <x:c r="N34" s="151"/>
    </x:row>
    <x:row r="35">
      <x:c r="A35" s="166"/>
      <x:c r="B35" s="151"/>
      <x:c r="C35" s="151"/>
      <x:c r="D35" s="151"/>
      <x:c r="E35" s="151"/>
      <x:c r="F35" s="151"/>
      <x:c r="G35" s="151"/>
      <x:c r="H35" s="161"/>
      <x:c r="I35" s="161"/>
      <x:c r="J35" s="164" t="str">
        <x:f>IF(A35="","",H35-I35)</x:f>
      </x:c>
      <x:c r="K35" s="158" t="str">
        <x:f>IF(H35=0,"",J35/H35)</x:f>
      </x:c>
      <x:c r="L35" s="151"/>
      <x:c r="M35" s="151"/>
      <x:c r="N35" s="151"/>
    </x:row>
    <x:row r="36">
      <x:c r="A36" s="166"/>
      <x:c r="B36" s="151"/>
      <x:c r="C36" s="151"/>
      <x:c r="D36" s="151"/>
      <x:c r="E36" s="151"/>
      <x:c r="F36" s="151"/>
      <x:c r="G36" s="151"/>
      <x:c r="H36" s="161"/>
      <x:c r="I36" s="161"/>
      <x:c r="J36" s="164" t="str">
        <x:f>IF(A36="","",H36-I36)</x:f>
      </x:c>
      <x:c r="K36" s="158" t="str">
        <x:f>IF(H36=0,"",J36/H36)</x:f>
      </x:c>
      <x:c r="L36" s="151"/>
      <x:c r="M36" s="151"/>
      <x:c r="N36" s="151"/>
    </x:row>
    <x:row r="37">
      <x:c r="A37" s="166"/>
      <x:c r="B37" s="151"/>
      <x:c r="C37" s="151"/>
      <x:c r="D37" s="151"/>
      <x:c r="E37" s="151"/>
      <x:c r="F37" s="151"/>
      <x:c r="G37" s="151"/>
      <x:c r="H37" s="161"/>
      <x:c r="I37" s="161"/>
      <x:c r="J37" s="164" t="str">
        <x:f>IF(A37="","",H37-I37)</x:f>
      </x:c>
      <x:c r="K37" s="158" t="str">
        <x:f>IF(H37=0,"",J37/H37)</x:f>
      </x:c>
      <x:c r="L37" s="151"/>
      <x:c r="M37" s="151"/>
      <x:c r="N37" s="151"/>
    </x:row>
    <x:row r="38">
      <x:c r="A38" s="166"/>
      <x:c r="B38" s="151"/>
      <x:c r="C38" s="151"/>
      <x:c r="D38" s="151"/>
      <x:c r="E38" s="151"/>
      <x:c r="F38" s="151"/>
      <x:c r="G38" s="151"/>
      <x:c r="H38" s="161"/>
      <x:c r="I38" s="161"/>
      <x:c r="J38" s="164" t="str">
        <x:f>IF(A38="","",H38-I38)</x:f>
      </x:c>
      <x:c r="K38" s="158" t="str">
        <x:f>IF(H38=0,"",J38/H38)</x:f>
      </x:c>
      <x:c r="L38" s="151"/>
      <x:c r="M38" s="151"/>
      <x:c r="N38" s="151"/>
    </x:row>
    <x:row r="39">
      <x:c r="A39" s="166"/>
      <x:c r="B39" s="151"/>
      <x:c r="C39" s="151"/>
      <x:c r="D39" s="151"/>
      <x:c r="E39" s="151"/>
      <x:c r="F39" s="151"/>
      <x:c r="G39" s="151"/>
      <x:c r="H39" s="161"/>
      <x:c r="I39" s="161"/>
      <x:c r="J39" s="164" t="str">
        <x:f>IF(A39="","",H39-I39)</x:f>
      </x:c>
      <x:c r="K39" s="158" t="str">
        <x:f>IF(H39=0,"",J39/H39)</x:f>
      </x:c>
      <x:c r="L39" s="151"/>
      <x:c r="M39" s="151"/>
      <x:c r="N39" s="151"/>
    </x:row>
    <x:row r="40">
      <x:c r="A40" s="166"/>
      <x:c r="B40" s="151"/>
      <x:c r="C40" s="151"/>
      <x:c r="D40" s="151"/>
      <x:c r="E40" s="151"/>
      <x:c r="F40" s="151"/>
      <x:c r="G40" s="151"/>
      <x:c r="H40" s="161"/>
      <x:c r="I40" s="161"/>
      <x:c r="J40" s="164" t="str">
        <x:f>IF(A40="","",H40-I40)</x:f>
      </x:c>
      <x:c r="K40" s="158" t="str">
        <x:f>IF(H40=0,"",J40/H40)</x:f>
      </x:c>
      <x:c r="L40" s="151"/>
      <x:c r="M40" s="151"/>
      <x:c r="N40" s="151"/>
    </x:row>
    <x:row r="41">
      <x:c r="A41" s="166"/>
      <x:c r="B41" s="151"/>
      <x:c r="C41" s="151"/>
      <x:c r="D41" s="151"/>
      <x:c r="E41" s="151"/>
      <x:c r="F41" s="151"/>
      <x:c r="G41" s="151"/>
      <x:c r="H41" s="161"/>
      <x:c r="I41" s="161"/>
      <x:c r="J41" s="164" t="str">
        <x:f>IF(A41="","",H41-I41)</x:f>
      </x:c>
      <x:c r="K41" s="158" t="str">
        <x:f>IF(H41=0,"",J41/H41)</x:f>
      </x:c>
      <x:c r="L41" s="151"/>
      <x:c r="M41" s="151"/>
      <x:c r="N41" s="151"/>
    </x:row>
    <x:row r="42">
      <x:c r="A42" s="166"/>
      <x:c r="B42" s="151"/>
      <x:c r="C42" s="151"/>
      <x:c r="D42" s="151"/>
      <x:c r="E42" s="151"/>
      <x:c r="F42" s="151"/>
      <x:c r="G42" s="151"/>
      <x:c r="H42" s="161"/>
      <x:c r="I42" s="161"/>
      <x:c r="J42" s="164" t="str">
        <x:f>IF(A42="","",H42-I42)</x:f>
      </x:c>
      <x:c r="K42" s="158" t="str">
        <x:f>IF(H42=0,"",J42/H42)</x:f>
      </x:c>
      <x:c r="L42" s="151"/>
      <x:c r="M42" s="151"/>
      <x:c r="N42" s="151"/>
    </x:row>
    <x:row r="43">
      <x:c r="A43" s="166"/>
      <x:c r="B43" s="151"/>
      <x:c r="C43" s="151"/>
      <x:c r="D43" s="151"/>
      <x:c r="E43" s="151"/>
      <x:c r="F43" s="151"/>
      <x:c r="G43" s="151"/>
      <x:c r="H43" s="161"/>
      <x:c r="I43" s="161"/>
      <x:c r="J43" s="164" t="str">
        <x:f>IF(A43="","",H43-I43)</x:f>
      </x:c>
      <x:c r="K43" s="158" t="str">
        <x:f>IF(H43=0,"",J43/H43)</x:f>
      </x:c>
      <x:c r="L43" s="151"/>
      <x:c r="M43" s="151"/>
      <x:c r="N43" s="151"/>
    </x:row>
    <x:row r="44">
      <x:c r="A44" s="166"/>
      <x:c r="B44" s="151"/>
      <x:c r="C44" s="151"/>
      <x:c r="D44" s="151"/>
      <x:c r="E44" s="151"/>
      <x:c r="F44" s="151"/>
      <x:c r="G44" s="151"/>
      <x:c r="H44" s="161"/>
      <x:c r="I44" s="161"/>
      <x:c r="J44" s="164" t="str">
        <x:f>IF(A44="","",H44-I44)</x:f>
      </x:c>
      <x:c r="K44" s="158" t="str">
        <x:f>IF(H44=0,"",J44/H44)</x:f>
      </x:c>
      <x:c r="L44" s="151"/>
      <x:c r="M44" s="151"/>
      <x:c r="N44" s="151"/>
    </x:row>
    <x:row r="45">
      <x:c r="A45" s="166"/>
      <x:c r="B45" s="151"/>
      <x:c r="C45" s="151"/>
      <x:c r="D45" s="151"/>
      <x:c r="E45" s="151"/>
      <x:c r="F45" s="151"/>
      <x:c r="G45" s="151"/>
      <x:c r="H45" s="161"/>
      <x:c r="I45" s="161"/>
      <x:c r="J45" s="164" t="str">
        <x:f>IF(A45="","",H45-I45)</x:f>
      </x:c>
      <x:c r="K45" s="158" t="str">
        <x:f>IF(H45=0,"",J45/H45)</x:f>
      </x:c>
      <x:c r="L45" s="151"/>
      <x:c r="M45" s="151"/>
      <x:c r="N45" s="151"/>
    </x:row>
    <x:row r="46">
      <x:c r="A46" s="166"/>
      <x:c r="B46" s="151"/>
      <x:c r="C46" s="151"/>
      <x:c r="D46" s="151"/>
      <x:c r="E46" s="151"/>
      <x:c r="F46" s="151"/>
      <x:c r="G46" s="151"/>
      <x:c r="H46" s="161"/>
      <x:c r="I46" s="161"/>
      <x:c r="J46" s="164" t="str">
        <x:f>IF(A46="","",H46-I46)</x:f>
      </x:c>
      <x:c r="K46" s="158" t="str">
        <x:f>IF(H46=0,"",J46/H46)</x:f>
      </x:c>
      <x:c r="L46" s="151"/>
      <x:c r="M46" s="151"/>
      <x:c r="N46" s="151"/>
    </x:row>
    <x:row r="47">
      <x:c r="A47" s="166"/>
      <x:c r="B47" s="151"/>
      <x:c r="C47" s="151"/>
      <x:c r="D47" s="151"/>
      <x:c r="E47" s="151"/>
      <x:c r="F47" s="151"/>
      <x:c r="G47" s="151"/>
      <x:c r="H47" s="161"/>
      <x:c r="I47" s="161"/>
      <x:c r="J47" s="164" t="str">
        <x:f>IF(A47="","",H47-I47)</x:f>
      </x:c>
      <x:c r="K47" s="158" t="str">
        <x:f>IF(H47=0,"",J47/H47)</x:f>
      </x:c>
      <x:c r="L47" s="151"/>
      <x:c r="M47" s="151"/>
      <x:c r="N47" s="151"/>
    </x:row>
    <x:row r="48">
      <x:c r="A48" s="166"/>
      <x:c r="B48" s="151"/>
      <x:c r="C48" s="151"/>
      <x:c r="D48" s="151"/>
      <x:c r="E48" s="151"/>
      <x:c r="F48" s="151"/>
      <x:c r="G48" s="151"/>
      <x:c r="H48" s="161"/>
      <x:c r="I48" s="161"/>
      <x:c r="J48" s="164" t="str">
        <x:f>IF(A48="","",H48-I48)</x:f>
      </x:c>
      <x:c r="K48" s="158" t="str">
        <x:f>IF(H48=0,"",J48/H48)</x:f>
      </x:c>
      <x:c r="L48" s="151"/>
      <x:c r="M48" s="151"/>
      <x:c r="N48" s="151"/>
    </x:row>
    <x:row r="49">
      <x:c r="A49" s="166"/>
      <x:c r="B49" s="151"/>
      <x:c r="C49" s="151"/>
      <x:c r="D49" s="151"/>
      <x:c r="E49" s="151"/>
      <x:c r="F49" s="151"/>
      <x:c r="G49" s="151"/>
      <x:c r="H49" s="161"/>
      <x:c r="I49" s="161"/>
      <x:c r="J49" s="164" t="str">
        <x:f>IF(A49="","",H49-I49)</x:f>
      </x:c>
      <x:c r="K49" s="158" t="str">
        <x:f>IF(H49=0,"",J49/H49)</x:f>
      </x:c>
      <x:c r="L49" s="151"/>
      <x:c r="M49" s="151"/>
      <x:c r="N49" s="151"/>
    </x:row>
    <x:row r="50">
      <x:c r="A50" s="166"/>
      <x:c r="B50" s="151"/>
      <x:c r="C50" s="151"/>
      <x:c r="D50" s="151"/>
      <x:c r="E50" s="151"/>
      <x:c r="F50" s="151"/>
      <x:c r="G50" s="151"/>
      <x:c r="H50" s="161"/>
      <x:c r="I50" s="161"/>
      <x:c r="J50" s="164" t="str">
        <x:f>IF(A50="","",H50-I50)</x:f>
      </x:c>
      <x:c r="K50" s="158" t="str">
        <x:f>IF(H50=0,"",J50/H50)</x:f>
      </x:c>
      <x:c r="L50" s="151"/>
      <x:c r="M50" s="151"/>
      <x:c r="N50" s="151"/>
    </x:row>
    <x:row r="51">
      <x:c r="A51" s="166"/>
      <x:c r="B51" s="151"/>
      <x:c r="C51" s="151"/>
      <x:c r="D51" s="151"/>
      <x:c r="E51" s="151"/>
      <x:c r="F51" s="151"/>
      <x:c r="G51" s="151"/>
      <x:c r="H51" s="161"/>
      <x:c r="I51" s="161"/>
      <x:c r="J51" s="164" t="str">
        <x:f>IF(A51="","",H51-I51)</x:f>
      </x:c>
      <x:c r="K51" s="158" t="str">
        <x:f>IF(H51=0,"",J51/H51)</x:f>
      </x:c>
      <x:c r="L51" s="151"/>
      <x:c r="M51" s="151"/>
      <x:c r="N51" s="151"/>
    </x:row>
    <x:row r="52">
      <x:c r="A52" s="166"/>
      <x:c r="B52" s="151"/>
      <x:c r="C52" s="151"/>
      <x:c r="D52" s="151"/>
      <x:c r="E52" s="151"/>
      <x:c r="F52" s="151"/>
      <x:c r="G52" s="151"/>
      <x:c r="H52" s="161"/>
      <x:c r="I52" s="161"/>
      <x:c r="J52" s="164" t="str">
        <x:f>IF(A52="","",H52-I52)</x:f>
      </x:c>
      <x:c r="K52" s="158" t="str">
        <x:f>IF(H52=0,"",J52/H52)</x:f>
      </x:c>
      <x:c r="L52" s="151"/>
      <x:c r="M52" s="151"/>
      <x:c r="N52" s="151"/>
    </x:row>
    <x:row r="53">
      <x:c r="A53" s="166"/>
      <x:c r="B53" s="151"/>
      <x:c r="C53" s="151"/>
      <x:c r="D53" s="151"/>
      <x:c r="E53" s="151"/>
      <x:c r="F53" s="151"/>
      <x:c r="G53" s="151"/>
      <x:c r="H53" s="161"/>
      <x:c r="I53" s="161"/>
      <x:c r="J53" s="164" t="str">
        <x:f>IF(A53="","",H53-I53)</x:f>
      </x:c>
      <x:c r="K53" s="158" t="str">
        <x:f>IF(H53=0,"",J53/H53)</x:f>
      </x:c>
      <x:c r="L53" s="151"/>
      <x:c r="M53" s="151"/>
      <x:c r="N53" s="151"/>
    </x:row>
    <x:row r="54">
      <x:c r="A54" s="166"/>
      <x:c r="B54" s="151"/>
      <x:c r="C54" s="151"/>
      <x:c r="D54" s="151"/>
      <x:c r="E54" s="151"/>
      <x:c r="F54" s="151"/>
      <x:c r="G54" s="151"/>
      <x:c r="H54" s="161"/>
      <x:c r="I54" s="161"/>
      <x:c r="J54" s="164" t="str">
        <x:f>IF(A54="","",H54-I54)</x:f>
      </x:c>
      <x:c r="K54" s="158" t="str">
        <x:f>IF(H54=0,"",J54/H54)</x:f>
      </x:c>
      <x:c r="L54" s="151"/>
      <x:c r="M54" s="151"/>
      <x:c r="N54" s="151"/>
    </x:row>
    <x:row r="55">
      <x:c r="A55" s="166"/>
      <x:c r="B55" s="151"/>
      <x:c r="C55" s="151"/>
      <x:c r="D55" s="151"/>
      <x:c r="E55" s="151"/>
      <x:c r="F55" s="151"/>
      <x:c r="G55" s="151"/>
      <x:c r="H55" s="161"/>
      <x:c r="I55" s="161"/>
      <x:c r="J55" s="164" t="str">
        <x:f>IF(A55="","",H55-I55)</x:f>
      </x:c>
      <x:c r="K55" s="158" t="str">
        <x:f>IF(H55=0,"",J55/H55)</x:f>
      </x:c>
      <x:c r="L55" s="151"/>
      <x:c r="M55" s="151"/>
      <x:c r="N55" s="151"/>
    </x:row>
    <x:row r="56">
      <x:c r="A56" s="166"/>
      <x:c r="B56" s="151"/>
      <x:c r="C56" s="151"/>
      <x:c r="D56" s="151"/>
      <x:c r="E56" s="151"/>
      <x:c r="F56" s="151"/>
      <x:c r="G56" s="151"/>
      <x:c r="H56" s="161"/>
      <x:c r="I56" s="161"/>
      <x:c r="J56" s="164" t="str">
        <x:f>IF(A56="","",H56-I56)</x:f>
      </x:c>
      <x:c r="K56" s="158" t="str">
        <x:f>IF(H56=0,"",J56/H56)</x:f>
      </x:c>
      <x:c r="L56" s="151"/>
      <x:c r="M56" s="151"/>
      <x:c r="N56" s="151"/>
    </x:row>
    <x:row r="57">
      <x:c r="A57" s="166"/>
      <x:c r="B57" s="151"/>
      <x:c r="C57" s="151"/>
      <x:c r="D57" s="151"/>
      <x:c r="E57" s="151"/>
      <x:c r="F57" s="151"/>
      <x:c r="G57" s="151"/>
      <x:c r="H57" s="161"/>
      <x:c r="I57" s="161"/>
      <x:c r="J57" s="164" t="str">
        <x:f>IF(A57="","",H57-I57)</x:f>
      </x:c>
      <x:c r="K57" s="158" t="str">
        <x:f>IF(H57=0,"",J57/H57)</x:f>
      </x:c>
      <x:c r="L57" s="151"/>
      <x:c r="M57" s="151"/>
      <x:c r="N57" s="151"/>
    </x:row>
    <x:row r="58">
      <x:c r="A58" s="166"/>
      <x:c r="B58" s="151"/>
      <x:c r="C58" s="151"/>
      <x:c r="D58" s="151"/>
      <x:c r="E58" s="151"/>
      <x:c r="F58" s="151"/>
      <x:c r="G58" s="151"/>
      <x:c r="H58" s="161"/>
      <x:c r="I58" s="161"/>
      <x:c r="J58" s="164" t="str">
        <x:f>IF(A58="","",H58-I58)</x:f>
      </x:c>
      <x:c r="K58" s="158" t="str">
        <x:f>IF(H58=0,"",J58/H58)</x:f>
      </x:c>
      <x:c r="L58" s="151"/>
      <x:c r="M58" s="151"/>
      <x:c r="N58" s="151"/>
    </x:row>
    <x:row r="59">
      <x:c r="A59" s="166"/>
      <x:c r="B59" s="151"/>
      <x:c r="C59" s="151"/>
      <x:c r="D59" s="151"/>
      <x:c r="E59" s="151"/>
      <x:c r="F59" s="151"/>
      <x:c r="G59" s="151"/>
      <x:c r="H59" s="161"/>
      <x:c r="I59" s="161"/>
      <x:c r="J59" s="164" t="str">
        <x:f>IF(A59="","",H59-I59)</x:f>
      </x:c>
      <x:c r="K59" s="158" t="str">
        <x:f>IF(H59=0,"",J59/H59)</x:f>
      </x:c>
      <x:c r="L59" s="151"/>
      <x:c r="M59" s="151"/>
      <x:c r="N59" s="151"/>
    </x:row>
    <x:row r="60">
      <x:c r="A60" s="166"/>
      <x:c r="B60" s="151"/>
      <x:c r="C60" s="151"/>
      <x:c r="D60" s="151"/>
      <x:c r="E60" s="151"/>
      <x:c r="F60" s="151"/>
      <x:c r="G60" s="151"/>
      <x:c r="H60" s="161"/>
      <x:c r="I60" s="161"/>
      <x:c r="J60" s="164" t="str">
        <x:f>IF(A60="","",H60-I60)</x:f>
      </x:c>
      <x:c r="K60" s="158" t="str">
        <x:f>IF(H60=0,"",J60/H60)</x:f>
      </x:c>
      <x:c r="L60" s="151"/>
      <x:c r="M60" s="151"/>
      <x:c r="N60" s="151"/>
    </x:row>
    <x:row r="61">
      <x:c r="A61" s="166"/>
      <x:c r="B61" s="151"/>
      <x:c r="C61" s="151"/>
      <x:c r="D61" s="151"/>
      <x:c r="E61" s="151"/>
      <x:c r="F61" s="151"/>
      <x:c r="G61" s="151"/>
      <x:c r="H61" s="161"/>
      <x:c r="I61" s="161"/>
      <x:c r="J61" s="164" t="str">
        <x:f>IF(A61="","",H61-I61)</x:f>
      </x:c>
      <x:c r="K61" s="158" t="str">
        <x:f>IF(H61=0,"",J61/H61)</x:f>
      </x:c>
      <x:c r="L61" s="151"/>
      <x:c r="M61" s="151"/>
      <x:c r="N61" s="151"/>
    </x:row>
    <x:row r="62">
      <x:c r="A62" s="166"/>
      <x:c r="B62" s="151"/>
      <x:c r="C62" s="151"/>
      <x:c r="D62" s="151"/>
      <x:c r="E62" s="151"/>
      <x:c r="F62" s="151"/>
      <x:c r="G62" s="151"/>
      <x:c r="H62" s="161"/>
      <x:c r="I62" s="161"/>
      <x:c r="J62" s="164" t="str">
        <x:f>IF(A62="","",H62-I62)</x:f>
      </x:c>
      <x:c r="K62" s="158" t="str">
        <x:f>IF(H62=0,"",J62/H62)</x:f>
      </x:c>
      <x:c r="L62" s="151"/>
      <x:c r="M62" s="151"/>
      <x:c r="N62" s="151"/>
    </x:row>
    <x:row r="63">
      <x:c r="A63" s="166"/>
      <x:c r="B63" s="151"/>
      <x:c r="C63" s="151"/>
      <x:c r="D63" s="151"/>
      <x:c r="E63" s="151"/>
      <x:c r="F63" s="151"/>
      <x:c r="G63" s="151"/>
      <x:c r="H63" s="161"/>
      <x:c r="I63" s="161"/>
      <x:c r="J63" s="164" t="str">
        <x:f>IF(A63="","",H63-I63)</x:f>
      </x:c>
      <x:c r="K63" s="158" t="str">
        <x:f>IF(H63=0,"",J63/H63)</x:f>
      </x:c>
      <x:c r="L63" s="151"/>
      <x:c r="M63" s="151"/>
      <x:c r="N63" s="151"/>
    </x:row>
    <x:row r="64">
      <x:c r="A64" s="166"/>
      <x:c r="B64" s="151"/>
      <x:c r="C64" s="151"/>
      <x:c r="D64" s="151"/>
      <x:c r="E64" s="151"/>
      <x:c r="F64" s="151"/>
      <x:c r="G64" s="151"/>
      <x:c r="H64" s="161"/>
      <x:c r="I64" s="161"/>
      <x:c r="J64" s="164" t="str">
        <x:f>IF(A64="","",H64-I64)</x:f>
      </x:c>
      <x:c r="K64" s="158" t="str">
        <x:f>IF(H64=0,"",J64/H64)</x:f>
      </x:c>
      <x:c r="L64" s="151"/>
      <x:c r="M64" s="151"/>
      <x:c r="N64" s="151"/>
    </x:row>
    <x:row r="65">
      <x:c r="A65" s="166"/>
      <x:c r="B65" s="151"/>
      <x:c r="C65" s="151"/>
      <x:c r="D65" s="151"/>
      <x:c r="E65" s="151"/>
      <x:c r="F65" s="151"/>
      <x:c r="G65" s="151"/>
      <x:c r="H65" s="161"/>
      <x:c r="I65" s="161"/>
      <x:c r="J65" s="164" t="str">
        <x:f>IF(A65="","",H65-I65)</x:f>
      </x:c>
      <x:c r="K65" s="158" t="str">
        <x:f>IF(H65=0,"",J65/H65)</x:f>
      </x:c>
      <x:c r="L65" s="151"/>
      <x:c r="M65" s="151"/>
      <x:c r="N65" s="151"/>
    </x:row>
    <x:row r="66">
      <x:c r="A66" s="166"/>
      <x:c r="B66" s="151"/>
      <x:c r="C66" s="151"/>
      <x:c r="D66" s="151"/>
      <x:c r="E66" s="151"/>
      <x:c r="F66" s="151"/>
      <x:c r="G66" s="151"/>
      <x:c r="H66" s="161"/>
      <x:c r="I66" s="161"/>
      <x:c r="J66" s="164" t="str">
        <x:f>IF(A66="","",H66-I66)</x:f>
      </x:c>
      <x:c r="K66" s="158" t="str">
        <x:f>IF(H66=0,"",J66/H66)</x:f>
      </x:c>
      <x:c r="L66" s="151"/>
      <x:c r="M66" s="151"/>
      <x:c r="N66" s="151"/>
    </x:row>
    <x:row r="67">
      <x:c r="A67" s="166"/>
      <x:c r="B67" s="151"/>
      <x:c r="C67" s="151"/>
      <x:c r="D67" s="151"/>
      <x:c r="E67" s="151"/>
      <x:c r="F67" s="151"/>
      <x:c r="G67" s="151"/>
      <x:c r="H67" s="161"/>
      <x:c r="I67" s="161"/>
      <x:c r="J67" s="164" t="str">
        <x:f>IF(A67="","",H67-I67)</x:f>
      </x:c>
      <x:c r="K67" s="158" t="str">
        <x:f>IF(H67=0,"",J67/H67)</x:f>
      </x:c>
      <x:c r="L67" s="151"/>
      <x:c r="M67" s="151"/>
      <x:c r="N67" s="151"/>
    </x:row>
    <x:row r="68">
      <x:c r="A68" s="166"/>
      <x:c r="B68" s="151"/>
      <x:c r="C68" s="151"/>
      <x:c r="D68" s="151"/>
      <x:c r="E68" s="151"/>
      <x:c r="F68" s="151"/>
      <x:c r="G68" s="151"/>
      <x:c r="H68" s="161"/>
      <x:c r="I68" s="161"/>
      <x:c r="J68" s="164" t="str">
        <x:f>IF(A68="","",H68-I68)</x:f>
      </x:c>
      <x:c r="K68" s="158" t="str">
        <x:f>IF(H68=0,"",J68/H68)</x:f>
      </x:c>
      <x:c r="L68" s="151"/>
      <x:c r="M68" s="151"/>
      <x:c r="N68" s="151"/>
    </x:row>
    <x:row r="69">
      <x:c r="A69" s="166"/>
      <x:c r="B69" s="151"/>
      <x:c r="C69" s="151"/>
      <x:c r="D69" s="151"/>
      <x:c r="E69" s="151"/>
      <x:c r="F69" s="151"/>
      <x:c r="G69" s="151"/>
      <x:c r="H69" s="161"/>
      <x:c r="I69" s="161"/>
      <x:c r="J69" s="164" t="str">
        <x:f>IF(A69="","",H69-I69)</x:f>
      </x:c>
      <x:c r="K69" s="158" t="str">
        <x:f>IF(H69=0,"",J69/H69)</x:f>
      </x:c>
      <x:c r="L69" s="151"/>
      <x:c r="M69" s="151"/>
      <x:c r="N69" s="151"/>
    </x:row>
    <x:row r="70">
      <x:c r="A70" s="166"/>
      <x:c r="B70" s="151"/>
      <x:c r="C70" s="151"/>
      <x:c r="D70" s="151"/>
      <x:c r="E70" s="151"/>
      <x:c r="F70" s="151"/>
      <x:c r="G70" s="151"/>
      <x:c r="H70" s="161"/>
      <x:c r="I70" s="161"/>
      <x:c r="J70" s="164" t="str">
        <x:f>IF(A70="","",H70-I70)</x:f>
      </x:c>
      <x:c r="K70" s="158" t="str">
        <x:f>IF(H70=0,"",J70/H70)</x:f>
      </x:c>
      <x:c r="L70" s="151"/>
      <x:c r="M70" s="151"/>
      <x:c r="N70" s="151"/>
    </x:row>
    <x:row r="71">
      <x:c r="A71" s="166"/>
      <x:c r="B71" s="151"/>
      <x:c r="C71" s="151"/>
      <x:c r="D71" s="151"/>
      <x:c r="E71" s="151"/>
      <x:c r="F71" s="151"/>
      <x:c r="G71" s="151"/>
      <x:c r="H71" s="161"/>
      <x:c r="I71" s="161"/>
      <x:c r="J71" s="164" t="str">
        <x:f>IF(A71="","",H71-I71)</x:f>
      </x:c>
      <x:c r="K71" s="158" t="str">
        <x:f>IF(H71=0,"",J71/H71)</x:f>
      </x:c>
      <x:c r="L71" s="151"/>
      <x:c r="M71" s="151"/>
      <x:c r="N71" s="151"/>
    </x:row>
    <x:row r="72">
      <x:c r="A72" s="166"/>
      <x:c r="B72" s="151"/>
      <x:c r="C72" s="151"/>
      <x:c r="D72" s="151"/>
      <x:c r="E72" s="151"/>
      <x:c r="F72" s="151"/>
      <x:c r="G72" s="151"/>
      <x:c r="H72" s="161"/>
      <x:c r="I72" s="161"/>
      <x:c r="J72" s="164" t="str">
        <x:f>IF(A72="","",H72-I72)</x:f>
      </x:c>
      <x:c r="K72" s="158" t="str">
        <x:f>IF(H72=0,"",J72/H72)</x:f>
      </x:c>
      <x:c r="L72" s="151"/>
      <x:c r="M72" s="151"/>
      <x:c r="N72" s="151"/>
    </x:row>
    <x:row r="73">
      <x:c r="A73" s="166"/>
      <x:c r="B73" s="151"/>
      <x:c r="C73" s="151"/>
      <x:c r="D73" s="151"/>
      <x:c r="E73" s="151"/>
      <x:c r="F73" s="151"/>
      <x:c r="G73" s="151"/>
      <x:c r="H73" s="161"/>
      <x:c r="I73" s="161"/>
      <x:c r="J73" s="164" t="str">
        <x:f>IF(A73="","",H73-I73)</x:f>
      </x:c>
      <x:c r="K73" s="158" t="str">
        <x:f>IF(H73=0,"",J73/H73)</x:f>
      </x:c>
      <x:c r="L73" s="151"/>
      <x:c r="M73" s="151"/>
      <x:c r="N73" s="151"/>
    </x:row>
    <x:row r="74">
      <x:c r="A74" s="166"/>
      <x:c r="B74" s="151"/>
      <x:c r="C74" s="151"/>
      <x:c r="D74" s="151"/>
      <x:c r="E74" s="151"/>
      <x:c r="F74" s="151"/>
      <x:c r="G74" s="151"/>
      <x:c r="H74" s="161"/>
      <x:c r="I74" s="161"/>
      <x:c r="J74" s="164" t="str">
        <x:f>IF(A74="","",H74-I74)</x:f>
      </x:c>
      <x:c r="K74" s="158" t="str">
        <x:f>IF(H74=0,"",J74/H74)</x:f>
      </x:c>
      <x:c r="L74" s="151"/>
      <x:c r="M74" s="151"/>
      <x:c r="N74" s="151"/>
    </x:row>
    <x:row r="75">
      <x:c r="A75" s="166"/>
      <x:c r="B75" s="151"/>
      <x:c r="C75" s="151"/>
      <x:c r="D75" s="151"/>
      <x:c r="E75" s="151"/>
      <x:c r="F75" s="151"/>
      <x:c r="G75" s="151"/>
      <x:c r="H75" s="161"/>
      <x:c r="I75" s="161"/>
      <x:c r="J75" s="164" t="str">
        <x:f>IF(A75="","",H75-I75)</x:f>
      </x:c>
      <x:c r="K75" s="158" t="str">
        <x:f>IF(H75=0,"",J75/H75)</x:f>
      </x:c>
      <x:c r="L75" s="151"/>
      <x:c r="M75" s="151"/>
      <x:c r="N75" s="151"/>
    </x:row>
    <x:row r="76">
      <x:c r="A76" s="166"/>
      <x:c r="B76" s="151"/>
      <x:c r="C76" s="151"/>
      <x:c r="D76" s="151"/>
      <x:c r="E76" s="151"/>
      <x:c r="F76" s="151"/>
      <x:c r="G76" s="151"/>
      <x:c r="H76" s="161"/>
      <x:c r="I76" s="161"/>
      <x:c r="J76" s="164" t="str">
        <x:f>IF(A76="","",H76-I76)</x:f>
      </x:c>
      <x:c r="K76" s="158" t="str">
        <x:f>IF(H76=0,"",J76/H76)</x:f>
      </x:c>
      <x:c r="L76" s="151"/>
      <x:c r="M76" s="151"/>
      <x:c r="N76" s="151"/>
    </x:row>
    <x:row r="77">
      <x:c r="A77" s="166"/>
      <x:c r="B77" s="151"/>
      <x:c r="C77" s="151"/>
      <x:c r="D77" s="151"/>
      <x:c r="E77" s="151"/>
      <x:c r="F77" s="151"/>
      <x:c r="G77" s="151"/>
      <x:c r="H77" s="161"/>
      <x:c r="I77" s="161"/>
      <x:c r="J77" s="164" t="str">
        <x:f>IF(A77="","",H77-I77)</x:f>
      </x:c>
      <x:c r="K77" s="158" t="str">
        <x:f>IF(H77=0,"",J77/H77)</x:f>
      </x:c>
      <x:c r="L77" s="151"/>
      <x:c r="M77" s="151"/>
      <x:c r="N77" s="151"/>
    </x:row>
    <x:row r="78">
      <x:c r="A78" s="166"/>
      <x:c r="B78" s="151"/>
      <x:c r="C78" s="151"/>
      <x:c r="D78" s="151"/>
      <x:c r="E78" s="151"/>
      <x:c r="F78" s="151"/>
      <x:c r="G78" s="151"/>
      <x:c r="H78" s="161"/>
      <x:c r="I78" s="161"/>
      <x:c r="J78" s="164" t="str">
        <x:f>IF(A78="","",H78-I78)</x:f>
      </x:c>
      <x:c r="K78" s="158" t="str">
        <x:f>IF(H78=0,"",J78/H78)</x:f>
      </x:c>
      <x:c r="L78" s="151"/>
      <x:c r="M78" s="151"/>
      <x:c r="N78" s="151"/>
    </x:row>
    <x:row r="79">
      <x:c r="A79" s="166"/>
      <x:c r="B79" s="151"/>
      <x:c r="C79" s="151"/>
      <x:c r="D79" s="151"/>
      <x:c r="E79" s="151"/>
      <x:c r="F79" s="151"/>
      <x:c r="G79" s="151"/>
      <x:c r="H79" s="161"/>
      <x:c r="I79" s="161"/>
      <x:c r="J79" s="164" t="str">
        <x:f>IF(A79="","",H79-I79)</x:f>
      </x:c>
      <x:c r="K79" s="158" t="str">
        <x:f>IF(H79=0,"",J79/H79)</x:f>
      </x:c>
      <x:c r="L79" s="151"/>
      <x:c r="M79" s="151"/>
      <x:c r="N79" s="151"/>
    </x:row>
    <x:row r="80">
      <x:c r="A80" s="166"/>
      <x:c r="B80" s="151"/>
      <x:c r="C80" s="151"/>
      <x:c r="D80" s="151"/>
      <x:c r="E80" s="151"/>
      <x:c r="F80" s="151"/>
      <x:c r="G80" s="151"/>
      <x:c r="H80" s="161"/>
      <x:c r="I80" s="161"/>
      <x:c r="J80" s="164" t="str">
        <x:f>IF(A80="","",H80-I80)</x:f>
      </x:c>
      <x:c r="K80" s="158" t="str">
        <x:f>IF(H80=0,"",J80/H80)</x:f>
      </x:c>
      <x:c r="L80" s="151"/>
      <x:c r="M80" s="151"/>
      <x:c r="N80" s="151"/>
    </x:row>
    <x:row r="81">
      <x:c r="A81" s="166"/>
      <x:c r="B81" s="151"/>
      <x:c r="C81" s="151"/>
      <x:c r="D81" s="151"/>
      <x:c r="E81" s="151"/>
      <x:c r="F81" s="151"/>
      <x:c r="G81" s="151"/>
      <x:c r="H81" s="161"/>
      <x:c r="I81" s="161"/>
      <x:c r="J81" s="164" t="str">
        <x:f>IF(A81="","",H81-I81)</x:f>
      </x:c>
      <x:c r="K81" s="158" t="str">
        <x:f>IF(H81=0,"",J81/H81)</x:f>
      </x:c>
      <x:c r="L81" s="151"/>
      <x:c r="M81" s="151"/>
      <x:c r="N81" s="151"/>
    </x:row>
    <x:row r="82">
      <x:c r="A82" s="166"/>
      <x:c r="B82" s="151"/>
      <x:c r="C82" s="151"/>
      <x:c r="D82" s="151"/>
      <x:c r="E82" s="151"/>
      <x:c r="F82" s="151"/>
      <x:c r="G82" s="151"/>
      <x:c r="H82" s="161"/>
      <x:c r="I82" s="161"/>
      <x:c r="J82" s="164" t="str">
        <x:f>IF(A82="","",H82-I82)</x:f>
      </x:c>
      <x:c r="K82" s="158" t="str">
        <x:f>IF(H82=0,"",J82/H82)</x:f>
      </x:c>
      <x:c r="L82" s="151"/>
      <x:c r="M82" s="151"/>
      <x:c r="N82" s="151"/>
    </x:row>
    <x:row r="83">
      <x:c r="A83" s="166"/>
      <x:c r="B83" s="151"/>
      <x:c r="C83" s="151"/>
      <x:c r="D83" s="151"/>
      <x:c r="E83" s="151"/>
      <x:c r="F83" s="151"/>
      <x:c r="G83" s="151"/>
      <x:c r="H83" s="161"/>
      <x:c r="I83" s="161"/>
      <x:c r="J83" s="164" t="str">
        <x:f>IF(A83="","",H83-I83)</x:f>
      </x:c>
      <x:c r="K83" s="158" t="str">
        <x:f>IF(H83=0,"",J83/H83)</x:f>
      </x:c>
      <x:c r="L83" s="151"/>
      <x:c r="M83" s="151"/>
      <x:c r="N83" s="151"/>
    </x:row>
    <x:row r="84">
      <x:c r="A84" s="166"/>
      <x:c r="B84" s="151"/>
      <x:c r="C84" s="151"/>
      <x:c r="D84" s="151"/>
      <x:c r="E84" s="151"/>
      <x:c r="F84" s="151"/>
      <x:c r="G84" s="151"/>
      <x:c r="H84" s="161"/>
      <x:c r="I84" s="161"/>
      <x:c r="J84" s="164" t="str">
        <x:f>IF(A84="","",H84-I84)</x:f>
      </x:c>
      <x:c r="K84" s="158" t="str">
        <x:f>IF(H84=0,"",J84/H84)</x:f>
      </x:c>
      <x:c r="L84" s="151"/>
      <x:c r="M84" s="151"/>
      <x:c r="N84" s="151"/>
    </x:row>
    <x:row r="85">
      <x:c r="A85" s="166"/>
      <x:c r="B85" s="151"/>
      <x:c r="C85" s="151"/>
      <x:c r="D85" s="151"/>
      <x:c r="E85" s="151"/>
      <x:c r="F85" s="151"/>
      <x:c r="G85" s="151"/>
      <x:c r="H85" s="161"/>
      <x:c r="I85" s="161"/>
      <x:c r="J85" s="164" t="str">
        <x:f>IF(A85="","",H85-I85)</x:f>
      </x:c>
      <x:c r="K85" s="158" t="str">
        <x:f>IF(H85=0,"",J85/H85)</x:f>
      </x:c>
      <x:c r="L85" s="151"/>
      <x:c r="M85" s="151"/>
      <x:c r="N85" s="151"/>
    </x:row>
    <x:row r="86">
      <x:c r="A86" s="166"/>
      <x:c r="B86" s="151"/>
      <x:c r="C86" s="151"/>
      <x:c r="D86" s="151"/>
      <x:c r="E86" s="151"/>
      <x:c r="F86" s="151"/>
      <x:c r="G86" s="151"/>
      <x:c r="H86" s="161"/>
      <x:c r="I86" s="161"/>
      <x:c r="J86" s="164" t="str">
        <x:f>IF(A86="","",H86-I86)</x:f>
      </x:c>
      <x:c r="K86" s="158" t="str">
        <x:f>IF(H86=0,"",J86/H86)</x:f>
      </x:c>
      <x:c r="L86" s="151"/>
      <x:c r="M86" s="151"/>
      <x:c r="N86" s="151"/>
    </x:row>
    <x:row r="87">
      <x:c r="A87" s="166"/>
      <x:c r="B87" s="151"/>
      <x:c r="C87" s="151"/>
      <x:c r="D87" s="151"/>
      <x:c r="E87" s="151"/>
      <x:c r="F87" s="151"/>
      <x:c r="G87" s="151"/>
      <x:c r="H87" s="161"/>
      <x:c r="I87" s="161"/>
      <x:c r="J87" s="164" t="str">
        <x:f>IF(A87="","",H87-I87)</x:f>
      </x:c>
      <x:c r="K87" s="158" t="str">
        <x:f>IF(H87=0,"",J87/H87)</x:f>
      </x:c>
      <x:c r="L87" s="151"/>
      <x:c r="M87" s="151"/>
      <x:c r="N87" s="151"/>
    </x:row>
    <x:row r="88">
      <x:c r="A88" s="166"/>
      <x:c r="B88" s="151"/>
      <x:c r="C88" s="151"/>
      <x:c r="D88" s="151"/>
      <x:c r="E88" s="151"/>
      <x:c r="F88" s="151"/>
      <x:c r="G88" s="151"/>
      <x:c r="H88" s="161"/>
      <x:c r="I88" s="161"/>
      <x:c r="J88" s="164" t="str">
        <x:f>IF(A88="","",H88-I88)</x:f>
      </x:c>
      <x:c r="K88" s="158" t="str">
        <x:f>IF(H88=0,"",J88/H88)</x:f>
      </x:c>
      <x:c r="L88" s="151"/>
      <x:c r="M88" s="151"/>
      <x:c r="N88" s="151"/>
    </x:row>
    <x:row r="89">
      <x:c r="A89" s="166"/>
      <x:c r="B89" s="151"/>
      <x:c r="C89" s="151"/>
      <x:c r="D89" s="151"/>
      <x:c r="E89" s="151"/>
      <x:c r="F89" s="151"/>
      <x:c r="G89" s="151"/>
      <x:c r="H89" s="161"/>
      <x:c r="I89" s="161"/>
      <x:c r="J89" s="164" t="str">
        <x:f>IF(A89="","",H89-I89)</x:f>
      </x:c>
      <x:c r="K89" s="158" t="str">
        <x:f>IF(H89=0,"",J89/H89)</x:f>
      </x:c>
      <x:c r="L89" s="151"/>
      <x:c r="M89" s="151"/>
      <x:c r="N89" s="151"/>
    </x:row>
    <x:row r="90">
      <x:c r="A90" s="166"/>
      <x:c r="B90" s="151"/>
      <x:c r="C90" s="151"/>
      <x:c r="D90" s="151"/>
      <x:c r="E90" s="151"/>
      <x:c r="F90" s="151"/>
      <x:c r="G90" s="151"/>
      <x:c r="H90" s="161"/>
      <x:c r="I90" s="161"/>
      <x:c r="J90" s="164" t="str">
        <x:f>IF(A90="","",H90-I90)</x:f>
      </x:c>
      <x:c r="K90" s="158" t="str">
        <x:f>IF(H90=0,"",J90/H90)</x:f>
      </x:c>
      <x:c r="L90" s="151"/>
      <x:c r="M90" s="151"/>
      <x:c r="N90" s="151"/>
    </x:row>
    <x:row r="91">
      <x:c r="A91" s="166"/>
      <x:c r="B91" s="151"/>
      <x:c r="C91" s="151"/>
      <x:c r="D91" s="151"/>
      <x:c r="E91" s="151"/>
      <x:c r="F91" s="151"/>
      <x:c r="G91" s="151"/>
      <x:c r="H91" s="161"/>
      <x:c r="I91" s="161"/>
      <x:c r="J91" s="164" t="str">
        <x:f>IF(A91="","",H91-I91)</x:f>
      </x:c>
      <x:c r="K91" s="158" t="str">
        <x:f>IF(H91=0,"",J91/H91)</x:f>
      </x:c>
      <x:c r="L91" s="151"/>
      <x:c r="M91" s="151"/>
      <x:c r="N91" s="151"/>
    </x:row>
    <x:row r="92">
      <x:c r="A92" s="166"/>
      <x:c r="B92" s="151"/>
      <x:c r="C92" s="151"/>
      <x:c r="D92" s="151"/>
      <x:c r="E92" s="151"/>
      <x:c r="F92" s="151"/>
      <x:c r="G92" s="151"/>
      <x:c r="H92" s="161"/>
      <x:c r="I92" s="161"/>
      <x:c r="J92" s="164" t="str">
        <x:f>IF(A92="","",H92-I92)</x:f>
      </x:c>
      <x:c r="K92" s="158" t="str">
        <x:f>IF(H92=0,"",J92/H92)</x:f>
      </x:c>
      <x:c r="L92" s="151"/>
      <x:c r="M92" s="151"/>
      <x:c r="N92" s="151"/>
    </x:row>
    <x:row r="93">
      <x:c r="A93" s="166"/>
      <x:c r="B93" s="151"/>
      <x:c r="C93" s="151"/>
      <x:c r="D93" s="151"/>
      <x:c r="E93" s="151"/>
      <x:c r="F93" s="151"/>
      <x:c r="G93" s="151"/>
      <x:c r="H93" s="161"/>
      <x:c r="I93" s="161"/>
      <x:c r="J93" s="164" t="str">
        <x:f>IF(A93="","",H93-I93)</x:f>
      </x:c>
      <x:c r="K93" s="158" t="str">
        <x:f>IF(H93=0,"",J93/H93)</x:f>
      </x:c>
      <x:c r="L93" s="151"/>
      <x:c r="M93" s="151"/>
      <x:c r="N93" s="151"/>
    </x:row>
    <x:row r="94">
      <x:c r="A94" s="166"/>
      <x:c r="B94" s="151"/>
      <x:c r="C94" s="151"/>
      <x:c r="D94" s="151"/>
      <x:c r="E94" s="151"/>
      <x:c r="F94" s="151"/>
      <x:c r="G94" s="151"/>
      <x:c r="H94" s="161"/>
      <x:c r="I94" s="161"/>
      <x:c r="J94" s="164" t="str">
        <x:f>IF(A94="","",H94-I94)</x:f>
      </x:c>
      <x:c r="K94" s="158" t="str">
        <x:f>IF(H94=0,"",J94/H94)</x:f>
      </x:c>
      <x:c r="L94" s="151"/>
      <x:c r="M94" s="151"/>
      <x:c r="N94" s="151"/>
    </x:row>
    <x:row r="95">
      <x:c r="A95" s="166"/>
      <x:c r="B95" s="151"/>
      <x:c r="C95" s="151"/>
      <x:c r="D95" s="151"/>
      <x:c r="E95" s="151"/>
      <x:c r="F95" s="151"/>
      <x:c r="G95" s="151"/>
      <x:c r="H95" s="161"/>
      <x:c r="I95" s="161"/>
      <x:c r="J95" s="164" t="str">
        <x:f>IF(A95="","",H95-I95)</x:f>
      </x:c>
      <x:c r="K95" s="158" t="str">
        <x:f>IF(H95=0,"",J95/H95)</x:f>
      </x:c>
      <x:c r="L95" s="151"/>
      <x:c r="M95" s="151"/>
      <x:c r="N95" s="151"/>
    </x:row>
    <x:row r="96">
      <x:c r="A96" s="166"/>
      <x:c r="B96" s="151"/>
      <x:c r="C96" s="151"/>
      <x:c r="D96" s="151"/>
      <x:c r="E96" s="151"/>
      <x:c r="F96" s="151"/>
      <x:c r="G96" s="151"/>
      <x:c r="H96" s="161"/>
      <x:c r="I96" s="161"/>
      <x:c r="J96" s="164" t="str">
        <x:f>IF(A96="","",H96-I96)</x:f>
      </x:c>
      <x:c r="K96" s="158" t="str">
        <x:f>IF(H96=0,"",J96/H96)</x:f>
      </x:c>
      <x:c r="L96" s="151"/>
      <x:c r="M96" s="151"/>
      <x:c r="N96" s="151"/>
    </x:row>
    <x:row r="97">
      <x:c r="A97" s="166"/>
      <x:c r="B97" s="151"/>
      <x:c r="C97" s="151"/>
      <x:c r="D97" s="151"/>
      <x:c r="E97" s="151"/>
      <x:c r="F97" s="151"/>
      <x:c r="G97" s="151"/>
      <x:c r="H97" s="161"/>
      <x:c r="I97" s="161"/>
      <x:c r="J97" s="164" t="str">
        <x:f>IF(A97="","",H97-I97)</x:f>
      </x:c>
      <x:c r="K97" s="158" t="str">
        <x:f>IF(H97=0,"",J97/H97)</x:f>
      </x:c>
      <x:c r="L97" s="151"/>
      <x:c r="M97" s="151"/>
      <x:c r="N97" s="151"/>
    </x:row>
    <x:row r="98">
      <x:c r="A98" s="166"/>
      <x:c r="B98" s="151"/>
      <x:c r="C98" s="151"/>
      <x:c r="D98" s="151"/>
      <x:c r="E98" s="151"/>
      <x:c r="F98" s="151"/>
      <x:c r="G98" s="151"/>
      <x:c r="H98" s="161"/>
      <x:c r="I98" s="161"/>
      <x:c r="J98" s="164" t="str">
        <x:f>IF(A98="","",H98-I98)</x:f>
      </x:c>
      <x:c r="K98" s="158" t="str">
        <x:f>IF(H98=0,"",J98/H98)</x:f>
      </x:c>
      <x:c r="L98" s="151"/>
      <x:c r="M98" s="151"/>
      <x:c r="N98" s="151"/>
    </x:row>
    <x:row r="99">
      <x:c r="A99" s="166"/>
      <x:c r="B99" s="151"/>
      <x:c r="C99" s="151"/>
      <x:c r="D99" s="151"/>
      <x:c r="E99" s="151"/>
      <x:c r="F99" s="151"/>
      <x:c r="G99" s="151"/>
      <x:c r="H99" s="161"/>
      <x:c r="I99" s="161"/>
      <x:c r="J99" s="164" t="str">
        <x:f>IF(A99="","",H99-I99)</x:f>
      </x:c>
      <x:c r="K99" s="158" t="str">
        <x:f>IF(H99=0,"",J99/H99)</x:f>
      </x:c>
      <x:c r="L99" s="151"/>
      <x:c r="M99" s="151"/>
      <x:c r="N99" s="151"/>
    </x:row>
    <x:row r="100">
      <x:c r="A100" s="166"/>
      <x:c r="B100" s="151"/>
      <x:c r="C100" s="151"/>
      <x:c r="D100" s="151"/>
      <x:c r="E100" s="151"/>
      <x:c r="F100" s="151"/>
      <x:c r="G100" s="151"/>
      <x:c r="H100" s="161"/>
      <x:c r="I100" s="161"/>
      <x:c r="J100" s="164" t="str">
        <x:f>IF(A100="","",H100-I100)</x:f>
      </x:c>
      <x:c r="K100" s="158" t="str">
        <x:f>IF(H100=0,"",J100/H100)</x:f>
      </x:c>
      <x:c r="L100" s="151"/>
      <x:c r="M100" s="151"/>
      <x:c r="N100" s="151"/>
    </x:row>
    <x:row r="101">
      <x:c r="A101" s="166"/>
      <x:c r="B101" s="151"/>
      <x:c r="C101" s="151"/>
      <x:c r="D101" s="151"/>
      <x:c r="E101" s="151"/>
      <x:c r="F101" s="151"/>
      <x:c r="G101" s="151"/>
      <x:c r="H101" s="161"/>
      <x:c r="I101" s="161"/>
      <x:c r="J101" s="164"/>
      <x:c r="K101" s="158"/>
      <x:c r="L101" s="151"/>
      <x:c r="M101" s="151"/>
      <x:c r="N101" s="151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1fb853cfe8754204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</x:cols>
  <x:sheetData>
    <x:row r="1">
      <x:c r="A1" s="142" t="str">
        <x:v>9. Automaattiset riskivaroitukset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Punainen/keltainen/OK-varoitukset ajoajasta, täyttöasteesta, katteesta, tyhjästä ajosta, ETAsta ja kapasiteetista.</x:v>
      </x:c>
    </x:row>
    <x:row r="4">
      <x:c r="A4" s="148" t="str">
        <x:v>Keikka</x:v>
      </x:c>
      <x:c r="B4" s="148" t="str">
        <x:v>Reitti</x:v>
      </x:c>
      <x:c r="C4" s="148" t="str">
        <x:v>Ajoaika h</x:v>
      </x:c>
      <x:c r="D4" s="148" t="str">
        <x:v>Täyttöaste</x:v>
      </x:c>
      <x:c r="E4" s="148" t="str">
        <x:v>Kate %</x:v>
      </x:c>
      <x:c r="F4" s="148" t="str">
        <x:v>Empty %</x:v>
      </x:c>
      <x:c r="G4" s="148" t="str">
        <x:v>ETA status</x:v>
      </x:c>
      <x:c r="H4" s="148" t="str">
        <x:v>Riskipisteet</x:v>
      </x:c>
      <x:c r="I4" s="148" t="str">
        <x:v>Ajo varoitus</x:v>
      </x:c>
      <x:c r="J4" s="148" t="str">
        <x:v>Täyttö varoitus</x:v>
      </x:c>
      <x:c r="K4" s="148" t="str">
        <x:v>Kate varoitus</x:v>
      </x:c>
      <x:c r="L4" s="148" t="str">
        <x:v>Empty varoitus</x:v>
      </x:c>
      <x:c r="M4" s="148" t="str">
        <x:v>Kokonaisstatus</x:v>
      </x:c>
      <x:c r="N4" s="148" t="str">
        <x:v>Toimenpide</x:v>
      </x:c>
    </x:row>
    <x:row r="5">
      <x:c r="A5" s="151" t="str">
        <x:v>K-001</x:v>
      </x:c>
      <x:c r="B5" s="151" t="str">
        <x:v>Vantaa → Tampere → Pori</x:v>
      </x:c>
      <x:c r="C5" s="151" t="n">
        <x:v>3.9</x:v>
      </x:c>
      <x:c r="D5" s="167" t="n">
        <x:v>0.55</x:v>
      </x:c>
      <x:c r="E5" s="167" t="n">
        <x:v>0.18</x:v>
      </x:c>
      <x:c r="F5" s="167" t="n">
        <x:v>0.12</x:v>
      </x:c>
      <x:c r="G5" s="151" t="str">
        <x:v>Ajoissa</x:v>
      </x:c>
      <x:c r="H5" s="151" t="n">
        <x:v>2</x:v>
      </x:c>
      <x:c r="I5" s="154" t="str">
        <x:f>IF(A5="","",IF(C5&gt;10,"Punainen",IF(C5&gt;9,"Keltainen","OK")))</x:f>
        <x:v>OK</x:v>
      </x:c>
      <x:c r="J5" s="154" t="str">
        <x:f>IF(A5="","",IF(D5&lt;0.7,"Keltainen",IF(D5&gt;0.95,"Keltainen","OK")))</x:f>
        <x:v>Keltainen</x:v>
      </x:c>
      <x:c r="K5" s="154" t="str">
        <x:f>IF(A5="","",IF(E5&lt;0.12,"Punainen",IF(E5&lt;0.15,"Keltainen","OK")))</x:f>
        <x:v>OK</x:v>
      </x:c>
      <x:c r="L5" s="154" t="str">
        <x:f>IF(A5="","",IF(F5&gt;0.18,"Punainen",IF(F5&gt;0.15,"Keltainen","OK")))</x:f>
        <x:v>OK</x:v>
      </x:c>
      <x:c r="M5" s="154" t="str">
        <x:f>IF(A5="","",IF(OR(I5="Punainen",K5="Punainen",L5="Punainen",G5="Myöhässä",H5&gt;=6),"Punainen",IF(OR(I5="Keltainen",J5="Keltainen",K5="Keltainen",L5="Keltainen"),"Keltainen","OK")))</x:f>
        <x:v>Keltainen</x:v>
      </x:c>
      <x:c r="N5" s="154" t="str">
        <x:f>IF(A5="","",IF(M5="Punainen","Tarkista ennen ajoon vapautusta",IF(M5="Keltainen","Seuraa / varmista","OK")))</x:f>
        <x:v>Seuraa / varmista</x:v>
      </x:c>
    </x:row>
    <x:row r="6">
      <x:c r="A6" s="151" t="str">
        <x:v>K-002</x:v>
      </x:c>
      <x:c r="B6" s="151" t="str">
        <x:v>Vantaa → Oulu</x:v>
      </x:c>
      <x:c r="C6" s="151" t="n">
        <x:v>8</x:v>
      </x:c>
      <x:c r="D6" s="167" t="n">
        <x:v>0.91</x:v>
      </x:c>
      <x:c r="E6" s="167" t="n">
        <x:v>0.16</x:v>
      </x:c>
      <x:c r="F6" s="167" t="n">
        <x:v>0.19</x:v>
      </x:c>
      <x:c r="G6" s="151" t="str">
        <x:v>Ajoissa</x:v>
      </x:c>
      <x:c r="H6" s="151" t="n">
        <x:v>4</x:v>
      </x:c>
      <x:c r="I6" s="154" t="str">
        <x:f>IF(A6="","",IF(C6&gt;10,"Punainen",IF(C6&gt;9,"Keltainen","OK")))</x:f>
        <x:v>OK</x:v>
      </x:c>
      <x:c r="J6" s="154" t="str">
        <x:f>IF(A6="","",IF(D6&lt;0.7,"Keltainen",IF(D6&gt;0.95,"Keltainen","OK")))</x:f>
        <x:v>OK</x:v>
      </x:c>
      <x:c r="K6" s="154" t="str">
        <x:f>IF(A6="","",IF(E6&lt;0.12,"Punainen",IF(E6&lt;0.15,"Keltainen","OK")))</x:f>
        <x:v>OK</x:v>
      </x:c>
      <x:c r="L6" s="154" t="str">
        <x:f>IF(A6="","",IF(F6&gt;0.18,"Punainen",IF(F6&gt;0.15,"Keltainen","OK")))</x:f>
        <x:v>Punainen</x:v>
      </x:c>
      <x:c r="M6" s="154" t="str">
        <x:f>IF(A6="","",IF(OR(I6="Punainen",K6="Punainen",L6="Punainen",G6="Myöhässä",H6&gt;=6),"Punainen",IF(OR(I6="Keltainen",J6="Keltainen",K6="Keltainen",L6="Keltainen"),"Keltainen","OK")))</x:f>
        <x:v>Punainen</x:v>
      </x:c>
      <x:c r="N6" s="154" t="str">
        <x:f>IF(A6="","",IF(M6="Punainen","Tarkista ennen ajoon vapautusta",IF(M6="Keltainen","Seuraa / varmista","OK")))</x:f>
        <x:v>Tarkista ennen ajoon vapautusta</x:v>
      </x:c>
    </x:row>
    <x:row r="7">
      <x:c r="A7" s="151" t="str">
        <x:v>K-003</x:v>
      </x:c>
      <x:c r="B7" s="151" t="str">
        <x:v>Vantaa → Hollanti</x:v>
      </x:c>
      <x:c r="C7" s="151" t="n">
        <x:v>10.5</x:v>
      </x:c>
      <x:c r="D7" s="167" t="n">
        <x:v>0.72</x:v>
      </x:c>
      <x:c r="E7" s="167" t="n">
        <x:v>0.11</x:v>
      </x:c>
      <x:c r="F7" s="167" t="n">
        <x:v>0.22</x:v>
      </x:c>
      <x:c r="G7" s="151" t="str">
        <x:v>Myöhässä</x:v>
      </x:c>
      <x:c r="H7" s="151" t="n">
        <x:v>6</x:v>
      </x:c>
      <x:c r="I7" s="154" t="str">
        <x:f>IF(A7="","",IF(C7&gt;10,"Punainen",IF(C7&gt;9,"Keltainen","OK")))</x:f>
        <x:v>Punainen</x:v>
      </x:c>
      <x:c r="J7" s="154" t="str">
        <x:f>IF(A7="","",IF(D7&lt;0.7,"Keltainen",IF(D7&gt;0.95,"Keltainen","OK")))</x:f>
        <x:v>OK</x:v>
      </x:c>
      <x:c r="K7" s="154" t="str">
        <x:f>IF(A7="","",IF(E7&lt;0.12,"Punainen",IF(E7&lt;0.15,"Keltainen","OK")))</x:f>
        <x:v>Punainen</x:v>
      </x:c>
      <x:c r="L7" s="154" t="str">
        <x:f>IF(A7="","",IF(F7&gt;0.18,"Punainen",IF(F7&gt;0.15,"Keltainen","OK")))</x:f>
        <x:v>Punainen</x:v>
      </x:c>
      <x:c r="M7" s="154" t="str">
        <x:f>IF(A7="","",IF(OR(I7="Punainen",K7="Punainen",L7="Punainen",G7="Myöhässä",H7&gt;=6),"Punainen",IF(OR(I7="Keltainen",J7="Keltainen",K7="Keltainen",L7="Keltainen"),"Keltainen","OK")))</x:f>
        <x:v>Punainen</x:v>
      </x:c>
      <x:c r="N7" s="154" t="str">
        <x:f>IF(A7="","",IF(M7="Punainen","Tarkista ennen ajoon vapautusta",IF(M7="Keltainen","Seuraa / varmista","OK")))</x:f>
        <x:v>Tarkista ennen ajoon vapautusta</x:v>
      </x:c>
    </x:row>
    <x:row r="8">
      <x:c r="A8" s="151"/>
      <x:c r="B8" s="151"/>
      <x:c r="C8" s="151"/>
      <x:c r="D8" s="167"/>
      <x:c r="E8" s="167"/>
      <x:c r="F8" s="167"/>
      <x:c r="G8" s="151"/>
      <x:c r="H8" s="151"/>
      <x:c r="I8" s="154" t="str">
        <x:f>IF(A8="","",IF(C8&gt;10,"Punainen",IF(C8&gt;9,"Keltainen","OK")))</x:f>
      </x:c>
      <x:c r="J8" s="154" t="str">
        <x:f>IF(A8="","",IF(D8&lt;0.7,"Keltainen",IF(D8&gt;0.95,"Keltainen","OK")))</x:f>
      </x:c>
      <x:c r="K8" s="154" t="str">
        <x:f>IF(A8="","",IF(E8&lt;0.12,"Punainen",IF(E8&lt;0.15,"Keltainen","OK")))</x:f>
      </x:c>
      <x:c r="L8" s="154" t="str">
        <x:f>IF(A8="","",IF(F8&gt;0.18,"Punainen",IF(F8&gt;0.15,"Keltainen","OK")))</x:f>
      </x:c>
      <x:c r="M8" s="154" t="str">
        <x:f>IF(A8="","",IF(OR(I8="Punainen",K8="Punainen",L8="Punainen",G8="Myöhässä",H8&gt;=6),"Punainen",IF(OR(I8="Keltainen",J8="Keltainen",K8="Keltainen",L8="Keltainen"),"Keltainen","OK")))</x:f>
      </x:c>
      <x:c r="N8" s="154" t="str">
        <x:f>IF(A8="","",IF(M8="Punainen","Tarkista ennen ajoon vapautusta",IF(M8="Keltainen","Seuraa / varmista","OK")))</x:f>
      </x:c>
    </x:row>
    <x:row r="9">
      <x:c r="A9" s="151"/>
      <x:c r="B9" s="151"/>
      <x:c r="C9" s="151"/>
      <x:c r="D9" s="167"/>
      <x:c r="E9" s="167"/>
      <x:c r="F9" s="167"/>
      <x:c r="G9" s="151"/>
      <x:c r="H9" s="151"/>
      <x:c r="I9" s="154" t="str">
        <x:f>IF(A9="","",IF(C9&gt;10,"Punainen",IF(C9&gt;9,"Keltainen","OK")))</x:f>
      </x:c>
      <x:c r="J9" s="154" t="str">
        <x:f>IF(A9="","",IF(D9&lt;0.7,"Keltainen",IF(D9&gt;0.95,"Keltainen","OK")))</x:f>
      </x:c>
      <x:c r="K9" s="154" t="str">
        <x:f>IF(A9="","",IF(E9&lt;0.12,"Punainen",IF(E9&lt;0.15,"Keltainen","OK")))</x:f>
      </x:c>
      <x:c r="L9" s="154" t="str">
        <x:f>IF(A9="","",IF(F9&gt;0.18,"Punainen",IF(F9&gt;0.15,"Keltainen","OK")))</x:f>
      </x:c>
      <x:c r="M9" s="154" t="str">
        <x:f>IF(A9="","",IF(OR(I9="Punainen",K9="Punainen",L9="Punainen",G9="Myöhässä",H9&gt;=6),"Punainen",IF(OR(I9="Keltainen",J9="Keltainen",K9="Keltainen",L9="Keltainen"),"Keltainen","OK")))</x:f>
      </x:c>
      <x:c r="N9" s="154" t="str">
        <x:f>IF(A9="","",IF(M9="Punainen","Tarkista ennen ajoon vapautusta",IF(M9="Keltainen","Seuraa / varmista","OK")))</x:f>
      </x:c>
    </x:row>
    <x:row r="10">
      <x:c r="A10" s="151"/>
      <x:c r="B10" s="151"/>
      <x:c r="C10" s="151"/>
      <x:c r="D10" s="167"/>
      <x:c r="E10" s="167"/>
      <x:c r="F10" s="167"/>
      <x:c r="G10" s="151"/>
      <x:c r="H10" s="151"/>
      <x:c r="I10" s="154" t="str">
        <x:f>IF(A10="","",IF(C10&gt;10,"Punainen",IF(C10&gt;9,"Keltainen","OK")))</x:f>
      </x:c>
      <x:c r="J10" s="154" t="str">
        <x:f>IF(A10="","",IF(D10&lt;0.7,"Keltainen",IF(D10&gt;0.95,"Keltainen","OK")))</x:f>
      </x:c>
      <x:c r="K10" s="154" t="str">
        <x:f>IF(A10="","",IF(E10&lt;0.12,"Punainen",IF(E10&lt;0.15,"Keltainen","OK")))</x:f>
      </x:c>
      <x:c r="L10" s="154" t="str">
        <x:f>IF(A10="","",IF(F10&gt;0.18,"Punainen",IF(F10&gt;0.15,"Keltainen","OK")))</x:f>
      </x:c>
      <x:c r="M10" s="154" t="str">
        <x:f>IF(A10="","",IF(OR(I10="Punainen",K10="Punainen",L10="Punainen",G10="Myöhässä",H10&gt;=6),"Punainen",IF(OR(I10="Keltainen",J10="Keltainen",K10="Keltainen",L10="Keltainen"),"Keltainen","OK")))</x:f>
      </x:c>
      <x:c r="N10" s="154" t="str">
        <x:f>IF(A10="","",IF(M10="Punainen","Tarkista ennen ajoon vapautusta",IF(M10="Keltainen","Seuraa / varmista","OK")))</x:f>
      </x:c>
    </x:row>
    <x:row r="11">
      <x:c r="A11" s="151"/>
      <x:c r="B11" s="151"/>
      <x:c r="C11" s="151"/>
      <x:c r="D11" s="167"/>
      <x:c r="E11" s="167"/>
      <x:c r="F11" s="167"/>
      <x:c r="G11" s="151"/>
      <x:c r="H11" s="151"/>
      <x:c r="I11" s="154" t="str">
        <x:f>IF(A11="","",IF(C11&gt;10,"Punainen",IF(C11&gt;9,"Keltainen","OK")))</x:f>
      </x:c>
      <x:c r="J11" s="154" t="str">
        <x:f>IF(A11="","",IF(D11&lt;0.7,"Keltainen",IF(D11&gt;0.95,"Keltainen","OK")))</x:f>
      </x:c>
      <x:c r="K11" s="154" t="str">
        <x:f>IF(A11="","",IF(E11&lt;0.12,"Punainen",IF(E11&lt;0.15,"Keltainen","OK")))</x:f>
      </x:c>
      <x:c r="L11" s="154" t="str">
        <x:f>IF(A11="","",IF(F11&gt;0.18,"Punainen",IF(F11&gt;0.15,"Keltainen","OK")))</x:f>
      </x:c>
      <x:c r="M11" s="154" t="str">
        <x:f>IF(A11="","",IF(OR(I11="Punainen",K11="Punainen",L11="Punainen",G11="Myöhässä",H11&gt;=6),"Punainen",IF(OR(I11="Keltainen",J11="Keltainen",K11="Keltainen",L11="Keltainen"),"Keltainen","OK")))</x:f>
      </x:c>
      <x:c r="N11" s="154" t="str">
        <x:f>IF(A11="","",IF(M11="Punainen","Tarkista ennen ajoon vapautusta",IF(M11="Keltainen","Seuraa / varmista","OK")))</x:f>
      </x:c>
    </x:row>
    <x:row r="12">
      <x:c r="A12" s="151"/>
      <x:c r="B12" s="151"/>
      <x:c r="C12" s="151"/>
      <x:c r="D12" s="167"/>
      <x:c r="E12" s="167"/>
      <x:c r="F12" s="167"/>
      <x:c r="G12" s="151"/>
      <x:c r="H12" s="151"/>
      <x:c r="I12" s="154" t="str">
        <x:f>IF(A12="","",IF(C12&gt;10,"Punainen",IF(C12&gt;9,"Keltainen","OK")))</x:f>
      </x:c>
      <x:c r="J12" s="154" t="str">
        <x:f>IF(A12="","",IF(D12&lt;0.7,"Keltainen",IF(D12&gt;0.95,"Keltainen","OK")))</x:f>
      </x:c>
      <x:c r="K12" s="154" t="str">
        <x:f>IF(A12="","",IF(E12&lt;0.12,"Punainen",IF(E12&lt;0.15,"Keltainen","OK")))</x:f>
      </x:c>
      <x:c r="L12" s="154" t="str">
        <x:f>IF(A12="","",IF(F12&gt;0.18,"Punainen",IF(F12&gt;0.15,"Keltainen","OK")))</x:f>
      </x:c>
      <x:c r="M12" s="154" t="str">
        <x:f>IF(A12="","",IF(OR(I12="Punainen",K12="Punainen",L12="Punainen",G12="Myöhässä",H12&gt;=6),"Punainen",IF(OR(I12="Keltainen",J12="Keltainen",K12="Keltainen",L12="Keltainen"),"Keltainen","OK")))</x:f>
      </x:c>
      <x:c r="N12" s="154" t="str">
        <x:f>IF(A12="","",IF(M12="Punainen","Tarkista ennen ajoon vapautusta",IF(M12="Keltainen","Seuraa / varmista","OK")))</x:f>
      </x:c>
    </x:row>
    <x:row r="13">
      <x:c r="A13" s="151"/>
      <x:c r="B13" s="151"/>
      <x:c r="C13" s="151"/>
      <x:c r="D13" s="167"/>
      <x:c r="E13" s="167"/>
      <x:c r="F13" s="167"/>
      <x:c r="G13" s="151"/>
      <x:c r="H13" s="151"/>
      <x:c r="I13" s="154" t="str">
        <x:f>IF(A13="","",IF(C13&gt;10,"Punainen",IF(C13&gt;9,"Keltainen","OK")))</x:f>
      </x:c>
      <x:c r="J13" s="154" t="str">
        <x:f>IF(A13="","",IF(D13&lt;0.7,"Keltainen",IF(D13&gt;0.95,"Keltainen","OK")))</x:f>
      </x:c>
      <x:c r="K13" s="154" t="str">
        <x:f>IF(A13="","",IF(E13&lt;0.12,"Punainen",IF(E13&lt;0.15,"Keltainen","OK")))</x:f>
      </x:c>
      <x:c r="L13" s="154" t="str">
        <x:f>IF(A13="","",IF(F13&gt;0.18,"Punainen",IF(F13&gt;0.15,"Keltainen","OK")))</x:f>
      </x:c>
      <x:c r="M13" s="154" t="str">
        <x:f>IF(A13="","",IF(OR(I13="Punainen",K13="Punainen",L13="Punainen",G13="Myöhässä",H13&gt;=6),"Punainen",IF(OR(I13="Keltainen",J13="Keltainen",K13="Keltainen",L13="Keltainen"),"Keltainen","OK")))</x:f>
      </x:c>
      <x:c r="N13" s="154" t="str">
        <x:f>IF(A13="","",IF(M13="Punainen","Tarkista ennen ajoon vapautusta",IF(M13="Keltainen","Seuraa / varmista","OK")))</x:f>
      </x:c>
    </x:row>
    <x:row r="14">
      <x:c r="A14" s="151"/>
      <x:c r="B14" s="151"/>
      <x:c r="C14" s="151"/>
      <x:c r="D14" s="167"/>
      <x:c r="E14" s="167"/>
      <x:c r="F14" s="167"/>
      <x:c r="G14" s="151"/>
      <x:c r="H14" s="151"/>
      <x:c r="I14" s="154" t="str">
        <x:f>IF(A14="","",IF(C14&gt;10,"Punainen",IF(C14&gt;9,"Keltainen","OK")))</x:f>
      </x:c>
      <x:c r="J14" s="154" t="str">
        <x:f>IF(A14="","",IF(D14&lt;0.7,"Keltainen",IF(D14&gt;0.95,"Keltainen","OK")))</x:f>
      </x:c>
      <x:c r="K14" s="154" t="str">
        <x:f>IF(A14="","",IF(E14&lt;0.12,"Punainen",IF(E14&lt;0.15,"Keltainen","OK")))</x:f>
      </x:c>
      <x:c r="L14" s="154" t="str">
        <x:f>IF(A14="","",IF(F14&gt;0.18,"Punainen",IF(F14&gt;0.15,"Keltainen","OK")))</x:f>
      </x:c>
      <x:c r="M14" s="154" t="str">
        <x:f>IF(A14="","",IF(OR(I14="Punainen",K14="Punainen",L14="Punainen",G14="Myöhässä",H14&gt;=6),"Punainen",IF(OR(I14="Keltainen",J14="Keltainen",K14="Keltainen",L14="Keltainen"),"Keltainen","OK")))</x:f>
      </x:c>
      <x:c r="N14" s="154" t="str">
        <x:f>IF(A14="","",IF(M14="Punainen","Tarkista ennen ajoon vapautusta",IF(M14="Keltainen","Seuraa / varmista","OK")))</x:f>
      </x:c>
    </x:row>
    <x:row r="15">
      <x:c r="A15" s="151"/>
      <x:c r="B15" s="151"/>
      <x:c r="C15" s="151"/>
      <x:c r="D15" s="167"/>
      <x:c r="E15" s="167"/>
      <x:c r="F15" s="167"/>
      <x:c r="G15" s="151"/>
      <x:c r="H15" s="151"/>
      <x:c r="I15" s="154" t="str">
        <x:f>IF(A15="","",IF(C15&gt;10,"Punainen",IF(C15&gt;9,"Keltainen","OK")))</x:f>
      </x:c>
      <x:c r="J15" s="154" t="str">
        <x:f>IF(A15="","",IF(D15&lt;0.7,"Keltainen",IF(D15&gt;0.95,"Keltainen","OK")))</x:f>
      </x:c>
      <x:c r="K15" s="154" t="str">
        <x:f>IF(A15="","",IF(E15&lt;0.12,"Punainen",IF(E15&lt;0.15,"Keltainen","OK")))</x:f>
      </x:c>
      <x:c r="L15" s="154" t="str">
        <x:f>IF(A15="","",IF(F15&gt;0.18,"Punainen",IF(F15&gt;0.15,"Keltainen","OK")))</x:f>
      </x:c>
      <x:c r="M15" s="154" t="str">
        <x:f>IF(A15="","",IF(OR(I15="Punainen",K15="Punainen",L15="Punainen",G15="Myöhässä",H15&gt;=6),"Punainen",IF(OR(I15="Keltainen",J15="Keltainen",K15="Keltainen",L15="Keltainen"),"Keltainen","OK")))</x:f>
      </x:c>
      <x:c r="N15" s="154" t="str">
        <x:f>IF(A15="","",IF(M15="Punainen","Tarkista ennen ajoon vapautusta",IF(M15="Keltainen","Seuraa / varmista","OK")))</x:f>
      </x:c>
    </x:row>
    <x:row r="16">
      <x:c r="A16" s="151"/>
      <x:c r="B16" s="151"/>
      <x:c r="C16" s="151"/>
      <x:c r="D16" s="167"/>
      <x:c r="E16" s="167"/>
      <x:c r="F16" s="167"/>
      <x:c r="G16" s="151"/>
      <x:c r="H16" s="151"/>
      <x:c r="I16" s="154" t="str">
        <x:f>IF(A16="","",IF(C16&gt;10,"Punainen",IF(C16&gt;9,"Keltainen","OK")))</x:f>
      </x:c>
      <x:c r="J16" s="154" t="str">
        <x:f>IF(A16="","",IF(D16&lt;0.7,"Keltainen",IF(D16&gt;0.95,"Keltainen","OK")))</x:f>
      </x:c>
      <x:c r="K16" s="154" t="str">
        <x:f>IF(A16="","",IF(E16&lt;0.12,"Punainen",IF(E16&lt;0.15,"Keltainen","OK")))</x:f>
      </x:c>
      <x:c r="L16" s="154" t="str">
        <x:f>IF(A16="","",IF(F16&gt;0.18,"Punainen",IF(F16&gt;0.15,"Keltainen","OK")))</x:f>
      </x:c>
      <x:c r="M16" s="154" t="str">
        <x:f>IF(A16="","",IF(OR(I16="Punainen",K16="Punainen",L16="Punainen",G16="Myöhässä",H16&gt;=6),"Punainen",IF(OR(I16="Keltainen",J16="Keltainen",K16="Keltainen",L16="Keltainen"),"Keltainen","OK")))</x:f>
      </x:c>
      <x:c r="N16" s="154" t="str">
        <x:f>IF(A16="","",IF(M16="Punainen","Tarkista ennen ajoon vapautusta",IF(M16="Keltainen","Seuraa / varmista","OK")))</x:f>
      </x:c>
    </x:row>
    <x:row r="17">
      <x:c r="A17" s="151"/>
      <x:c r="B17" s="151"/>
      <x:c r="C17" s="151"/>
      <x:c r="D17" s="167"/>
      <x:c r="E17" s="167"/>
      <x:c r="F17" s="167"/>
      <x:c r="G17" s="151"/>
      <x:c r="H17" s="151"/>
      <x:c r="I17" s="154" t="str">
        <x:f>IF(A17="","",IF(C17&gt;10,"Punainen",IF(C17&gt;9,"Keltainen","OK")))</x:f>
      </x:c>
      <x:c r="J17" s="154" t="str">
        <x:f>IF(A17="","",IF(D17&lt;0.7,"Keltainen",IF(D17&gt;0.95,"Keltainen","OK")))</x:f>
      </x:c>
      <x:c r="K17" s="154" t="str">
        <x:f>IF(A17="","",IF(E17&lt;0.12,"Punainen",IF(E17&lt;0.15,"Keltainen","OK")))</x:f>
      </x:c>
      <x:c r="L17" s="154" t="str">
        <x:f>IF(A17="","",IF(F17&gt;0.18,"Punainen",IF(F17&gt;0.15,"Keltainen","OK")))</x:f>
      </x:c>
      <x:c r="M17" s="154" t="str">
        <x:f>IF(A17="","",IF(OR(I17="Punainen",K17="Punainen",L17="Punainen",G17="Myöhässä",H17&gt;=6),"Punainen",IF(OR(I17="Keltainen",J17="Keltainen",K17="Keltainen",L17="Keltainen"),"Keltainen","OK")))</x:f>
      </x:c>
      <x:c r="N17" s="154" t="str">
        <x:f>IF(A17="","",IF(M17="Punainen","Tarkista ennen ajoon vapautusta",IF(M17="Keltainen","Seuraa / varmista","OK")))</x:f>
      </x:c>
    </x:row>
    <x:row r="18">
      <x:c r="A18" s="151"/>
      <x:c r="B18" s="151"/>
      <x:c r="C18" s="151"/>
      <x:c r="D18" s="167"/>
      <x:c r="E18" s="167"/>
      <x:c r="F18" s="167"/>
      <x:c r="G18" s="151"/>
      <x:c r="H18" s="151"/>
      <x:c r="I18" s="154" t="str">
        <x:f>IF(A18="","",IF(C18&gt;10,"Punainen",IF(C18&gt;9,"Keltainen","OK")))</x:f>
      </x:c>
      <x:c r="J18" s="154" t="str">
        <x:f>IF(A18="","",IF(D18&lt;0.7,"Keltainen",IF(D18&gt;0.95,"Keltainen","OK")))</x:f>
      </x:c>
      <x:c r="K18" s="154" t="str">
        <x:f>IF(A18="","",IF(E18&lt;0.12,"Punainen",IF(E18&lt;0.15,"Keltainen","OK")))</x:f>
      </x:c>
      <x:c r="L18" s="154" t="str">
        <x:f>IF(A18="","",IF(F18&gt;0.18,"Punainen",IF(F18&gt;0.15,"Keltainen","OK")))</x:f>
      </x:c>
      <x:c r="M18" s="154" t="str">
        <x:f>IF(A18="","",IF(OR(I18="Punainen",K18="Punainen",L18="Punainen",G18="Myöhässä",H18&gt;=6),"Punainen",IF(OR(I18="Keltainen",J18="Keltainen",K18="Keltainen",L18="Keltainen"),"Keltainen","OK")))</x:f>
      </x:c>
      <x:c r="N18" s="154" t="str">
        <x:f>IF(A18="","",IF(M18="Punainen","Tarkista ennen ajoon vapautusta",IF(M18="Keltainen","Seuraa / varmista","OK")))</x:f>
      </x:c>
    </x:row>
    <x:row r="19">
      <x:c r="A19" s="151"/>
      <x:c r="B19" s="151"/>
      <x:c r="C19" s="151"/>
      <x:c r="D19" s="167"/>
      <x:c r="E19" s="167"/>
      <x:c r="F19" s="167"/>
      <x:c r="G19" s="151"/>
      <x:c r="H19" s="151"/>
      <x:c r="I19" s="154" t="str">
        <x:f>IF(A19="","",IF(C19&gt;10,"Punainen",IF(C19&gt;9,"Keltainen","OK")))</x:f>
      </x:c>
      <x:c r="J19" s="154" t="str">
        <x:f>IF(A19="","",IF(D19&lt;0.7,"Keltainen",IF(D19&gt;0.95,"Keltainen","OK")))</x:f>
      </x:c>
      <x:c r="K19" s="154" t="str">
        <x:f>IF(A19="","",IF(E19&lt;0.12,"Punainen",IF(E19&lt;0.15,"Keltainen","OK")))</x:f>
      </x:c>
      <x:c r="L19" s="154" t="str">
        <x:f>IF(A19="","",IF(F19&gt;0.18,"Punainen",IF(F19&gt;0.15,"Keltainen","OK")))</x:f>
      </x:c>
      <x:c r="M19" s="154" t="str">
        <x:f>IF(A19="","",IF(OR(I19="Punainen",K19="Punainen",L19="Punainen",G19="Myöhässä",H19&gt;=6),"Punainen",IF(OR(I19="Keltainen",J19="Keltainen",K19="Keltainen",L19="Keltainen"),"Keltainen","OK")))</x:f>
      </x:c>
      <x:c r="N19" s="154" t="str">
        <x:f>IF(A19="","",IF(M19="Punainen","Tarkista ennen ajoon vapautusta",IF(M19="Keltainen","Seuraa / varmista","OK")))</x:f>
      </x:c>
    </x:row>
    <x:row r="20">
      <x:c r="A20" s="151"/>
      <x:c r="B20" s="151"/>
      <x:c r="C20" s="151"/>
      <x:c r="D20" s="167"/>
      <x:c r="E20" s="167"/>
      <x:c r="F20" s="167"/>
      <x:c r="G20" s="151"/>
      <x:c r="H20" s="151"/>
      <x:c r="I20" s="154" t="str">
        <x:f>IF(A20="","",IF(C20&gt;10,"Punainen",IF(C20&gt;9,"Keltainen","OK")))</x:f>
      </x:c>
      <x:c r="J20" s="154" t="str">
        <x:f>IF(A20="","",IF(D20&lt;0.7,"Keltainen",IF(D20&gt;0.95,"Keltainen","OK")))</x:f>
      </x:c>
      <x:c r="K20" s="154" t="str">
        <x:f>IF(A20="","",IF(E20&lt;0.12,"Punainen",IF(E20&lt;0.15,"Keltainen","OK")))</x:f>
      </x:c>
      <x:c r="L20" s="154" t="str">
        <x:f>IF(A20="","",IF(F20&gt;0.18,"Punainen",IF(F20&gt;0.15,"Keltainen","OK")))</x:f>
      </x:c>
      <x:c r="M20" s="154" t="str">
        <x:f>IF(A20="","",IF(OR(I20="Punainen",K20="Punainen",L20="Punainen",G20="Myöhässä",H20&gt;=6),"Punainen",IF(OR(I20="Keltainen",J20="Keltainen",K20="Keltainen",L20="Keltainen"),"Keltainen","OK")))</x:f>
      </x:c>
      <x:c r="N20" s="154" t="str">
        <x:f>IF(A20="","",IF(M20="Punainen","Tarkista ennen ajoon vapautusta",IF(M20="Keltainen","Seuraa / varmista","OK")))</x:f>
      </x:c>
    </x:row>
    <x:row r="21">
      <x:c r="A21" s="151"/>
      <x:c r="B21" s="151"/>
      <x:c r="C21" s="151"/>
      <x:c r="D21" s="167"/>
      <x:c r="E21" s="167"/>
      <x:c r="F21" s="167"/>
      <x:c r="G21" s="151"/>
      <x:c r="H21" s="151"/>
      <x:c r="I21" s="154" t="str">
        <x:f>IF(A21="","",IF(C21&gt;10,"Punainen",IF(C21&gt;9,"Keltainen","OK")))</x:f>
      </x:c>
      <x:c r="J21" s="154" t="str">
        <x:f>IF(A21="","",IF(D21&lt;0.7,"Keltainen",IF(D21&gt;0.95,"Keltainen","OK")))</x:f>
      </x:c>
      <x:c r="K21" s="154" t="str">
        <x:f>IF(A21="","",IF(E21&lt;0.12,"Punainen",IF(E21&lt;0.15,"Keltainen","OK")))</x:f>
      </x:c>
      <x:c r="L21" s="154" t="str">
        <x:f>IF(A21="","",IF(F21&gt;0.18,"Punainen",IF(F21&gt;0.15,"Keltainen","OK")))</x:f>
      </x:c>
      <x:c r="M21" s="154" t="str">
        <x:f>IF(A21="","",IF(OR(I21="Punainen",K21="Punainen",L21="Punainen",G21="Myöhässä",H21&gt;=6),"Punainen",IF(OR(I21="Keltainen",J21="Keltainen",K21="Keltainen",L21="Keltainen"),"Keltainen","OK")))</x:f>
      </x:c>
      <x:c r="N21" s="154" t="str">
        <x:f>IF(A21="","",IF(M21="Punainen","Tarkista ennen ajoon vapautusta",IF(M21="Keltainen","Seuraa / varmista","OK")))</x:f>
      </x:c>
    </x:row>
    <x:row r="22">
      <x:c r="A22" s="151"/>
      <x:c r="B22" s="151"/>
      <x:c r="C22" s="151"/>
      <x:c r="D22" s="167"/>
      <x:c r="E22" s="167"/>
      <x:c r="F22" s="167"/>
      <x:c r="G22" s="151"/>
      <x:c r="H22" s="151"/>
      <x:c r="I22" s="154" t="str">
        <x:f>IF(A22="","",IF(C22&gt;10,"Punainen",IF(C22&gt;9,"Keltainen","OK")))</x:f>
      </x:c>
      <x:c r="J22" s="154" t="str">
        <x:f>IF(A22="","",IF(D22&lt;0.7,"Keltainen",IF(D22&gt;0.95,"Keltainen","OK")))</x:f>
      </x:c>
      <x:c r="K22" s="154" t="str">
        <x:f>IF(A22="","",IF(E22&lt;0.12,"Punainen",IF(E22&lt;0.15,"Keltainen","OK")))</x:f>
      </x:c>
      <x:c r="L22" s="154" t="str">
        <x:f>IF(A22="","",IF(F22&gt;0.18,"Punainen",IF(F22&gt;0.15,"Keltainen","OK")))</x:f>
      </x:c>
      <x:c r="M22" s="154" t="str">
        <x:f>IF(A22="","",IF(OR(I22="Punainen",K22="Punainen",L22="Punainen",G22="Myöhässä",H22&gt;=6),"Punainen",IF(OR(I22="Keltainen",J22="Keltainen",K22="Keltainen",L22="Keltainen"),"Keltainen","OK")))</x:f>
      </x:c>
      <x:c r="N22" s="154" t="str">
        <x:f>IF(A22="","",IF(M22="Punainen","Tarkista ennen ajoon vapautusta",IF(M22="Keltainen","Seuraa / varmista","OK")))</x:f>
      </x:c>
    </x:row>
    <x:row r="23">
      <x:c r="A23" s="151"/>
      <x:c r="B23" s="151"/>
      <x:c r="C23" s="151"/>
      <x:c r="D23" s="167"/>
      <x:c r="E23" s="167"/>
      <x:c r="F23" s="167"/>
      <x:c r="G23" s="151"/>
      <x:c r="H23" s="151"/>
      <x:c r="I23" s="154" t="str">
        <x:f>IF(A23="","",IF(C23&gt;10,"Punainen",IF(C23&gt;9,"Keltainen","OK")))</x:f>
      </x:c>
      <x:c r="J23" s="154" t="str">
        <x:f>IF(A23="","",IF(D23&lt;0.7,"Keltainen",IF(D23&gt;0.95,"Keltainen","OK")))</x:f>
      </x:c>
      <x:c r="K23" s="154" t="str">
        <x:f>IF(A23="","",IF(E23&lt;0.12,"Punainen",IF(E23&lt;0.15,"Keltainen","OK")))</x:f>
      </x:c>
      <x:c r="L23" s="154" t="str">
        <x:f>IF(A23="","",IF(F23&gt;0.18,"Punainen",IF(F23&gt;0.15,"Keltainen","OK")))</x:f>
      </x:c>
      <x:c r="M23" s="154" t="str">
        <x:f>IF(A23="","",IF(OR(I23="Punainen",K23="Punainen",L23="Punainen",G23="Myöhässä",H23&gt;=6),"Punainen",IF(OR(I23="Keltainen",J23="Keltainen",K23="Keltainen",L23="Keltainen"),"Keltainen","OK")))</x:f>
      </x:c>
      <x:c r="N23" s="154" t="str">
        <x:f>IF(A23="","",IF(M23="Punainen","Tarkista ennen ajoon vapautusta",IF(M23="Keltainen","Seuraa / varmista","OK")))</x:f>
      </x:c>
    </x:row>
    <x:row r="24">
      <x:c r="A24" s="151"/>
      <x:c r="B24" s="151"/>
      <x:c r="C24" s="151"/>
      <x:c r="D24" s="167"/>
      <x:c r="E24" s="167"/>
      <x:c r="F24" s="167"/>
      <x:c r="G24" s="151"/>
      <x:c r="H24" s="151"/>
      <x:c r="I24" s="154" t="str">
        <x:f>IF(A24="","",IF(C24&gt;10,"Punainen",IF(C24&gt;9,"Keltainen","OK")))</x:f>
      </x:c>
      <x:c r="J24" s="154" t="str">
        <x:f>IF(A24="","",IF(D24&lt;0.7,"Keltainen",IF(D24&gt;0.95,"Keltainen","OK")))</x:f>
      </x:c>
      <x:c r="K24" s="154" t="str">
        <x:f>IF(A24="","",IF(E24&lt;0.12,"Punainen",IF(E24&lt;0.15,"Keltainen","OK")))</x:f>
      </x:c>
      <x:c r="L24" s="154" t="str">
        <x:f>IF(A24="","",IF(F24&gt;0.18,"Punainen",IF(F24&gt;0.15,"Keltainen","OK")))</x:f>
      </x:c>
      <x:c r="M24" s="154" t="str">
        <x:f>IF(A24="","",IF(OR(I24="Punainen",K24="Punainen",L24="Punainen",G24="Myöhässä",H24&gt;=6),"Punainen",IF(OR(I24="Keltainen",J24="Keltainen",K24="Keltainen",L24="Keltainen"),"Keltainen","OK")))</x:f>
      </x:c>
      <x:c r="N24" s="154" t="str">
        <x:f>IF(A24="","",IF(M24="Punainen","Tarkista ennen ajoon vapautusta",IF(M24="Keltainen","Seuraa / varmista","OK")))</x:f>
      </x:c>
    </x:row>
    <x:row r="25">
      <x:c r="A25" s="151"/>
      <x:c r="B25" s="151"/>
      <x:c r="C25" s="151"/>
      <x:c r="D25" s="167"/>
      <x:c r="E25" s="167"/>
      <x:c r="F25" s="167"/>
      <x:c r="G25" s="151"/>
      <x:c r="H25" s="151"/>
      <x:c r="I25" s="154" t="str">
        <x:f>IF(A25="","",IF(C25&gt;10,"Punainen",IF(C25&gt;9,"Keltainen","OK")))</x:f>
      </x:c>
      <x:c r="J25" s="154" t="str">
        <x:f>IF(A25="","",IF(D25&lt;0.7,"Keltainen",IF(D25&gt;0.95,"Keltainen","OK")))</x:f>
      </x:c>
      <x:c r="K25" s="154" t="str">
        <x:f>IF(A25="","",IF(E25&lt;0.12,"Punainen",IF(E25&lt;0.15,"Keltainen","OK")))</x:f>
      </x:c>
      <x:c r="L25" s="154" t="str">
        <x:f>IF(A25="","",IF(F25&gt;0.18,"Punainen",IF(F25&gt;0.15,"Keltainen","OK")))</x:f>
      </x:c>
      <x:c r="M25" s="154" t="str">
        <x:f>IF(A25="","",IF(OR(I25="Punainen",K25="Punainen",L25="Punainen",G25="Myöhässä",H25&gt;=6),"Punainen",IF(OR(I25="Keltainen",J25="Keltainen",K25="Keltainen",L25="Keltainen"),"Keltainen","OK")))</x:f>
      </x:c>
      <x:c r="N25" s="154" t="str">
        <x:f>IF(A25="","",IF(M25="Punainen","Tarkista ennen ajoon vapautusta",IF(M25="Keltainen","Seuraa / varmista","OK")))</x:f>
      </x:c>
    </x:row>
    <x:row r="26">
      <x:c r="A26" s="151"/>
      <x:c r="B26" s="151"/>
      <x:c r="C26" s="151"/>
      <x:c r="D26" s="167"/>
      <x:c r="E26" s="167"/>
      <x:c r="F26" s="167"/>
      <x:c r="G26" s="151"/>
      <x:c r="H26" s="151"/>
      <x:c r="I26" s="154" t="str">
        <x:f>IF(A26="","",IF(C26&gt;10,"Punainen",IF(C26&gt;9,"Keltainen","OK")))</x:f>
      </x:c>
      <x:c r="J26" s="154" t="str">
        <x:f>IF(A26="","",IF(D26&lt;0.7,"Keltainen",IF(D26&gt;0.95,"Keltainen","OK")))</x:f>
      </x:c>
      <x:c r="K26" s="154" t="str">
        <x:f>IF(A26="","",IF(E26&lt;0.12,"Punainen",IF(E26&lt;0.15,"Keltainen","OK")))</x:f>
      </x:c>
      <x:c r="L26" s="154" t="str">
        <x:f>IF(A26="","",IF(F26&gt;0.18,"Punainen",IF(F26&gt;0.15,"Keltainen","OK")))</x:f>
      </x:c>
      <x:c r="M26" s="154" t="str">
        <x:f>IF(A26="","",IF(OR(I26="Punainen",K26="Punainen",L26="Punainen",G26="Myöhässä",H26&gt;=6),"Punainen",IF(OR(I26="Keltainen",J26="Keltainen",K26="Keltainen",L26="Keltainen"),"Keltainen","OK")))</x:f>
      </x:c>
      <x:c r="N26" s="154" t="str">
        <x:f>IF(A26="","",IF(M26="Punainen","Tarkista ennen ajoon vapautusta",IF(M26="Keltainen","Seuraa / varmista","OK")))</x:f>
      </x:c>
    </x:row>
    <x:row r="27">
      <x:c r="A27" s="151"/>
      <x:c r="B27" s="151"/>
      <x:c r="C27" s="151"/>
      <x:c r="D27" s="167"/>
      <x:c r="E27" s="167"/>
      <x:c r="F27" s="167"/>
      <x:c r="G27" s="151"/>
      <x:c r="H27" s="151"/>
      <x:c r="I27" s="154" t="str">
        <x:f>IF(A27="","",IF(C27&gt;10,"Punainen",IF(C27&gt;9,"Keltainen","OK")))</x:f>
      </x:c>
      <x:c r="J27" s="154" t="str">
        <x:f>IF(A27="","",IF(D27&lt;0.7,"Keltainen",IF(D27&gt;0.95,"Keltainen","OK")))</x:f>
      </x:c>
      <x:c r="K27" s="154" t="str">
        <x:f>IF(A27="","",IF(E27&lt;0.12,"Punainen",IF(E27&lt;0.15,"Keltainen","OK")))</x:f>
      </x:c>
      <x:c r="L27" s="154" t="str">
        <x:f>IF(A27="","",IF(F27&gt;0.18,"Punainen",IF(F27&gt;0.15,"Keltainen","OK")))</x:f>
      </x:c>
      <x:c r="M27" s="154" t="str">
        <x:f>IF(A27="","",IF(OR(I27="Punainen",K27="Punainen",L27="Punainen",G27="Myöhässä",H27&gt;=6),"Punainen",IF(OR(I27="Keltainen",J27="Keltainen",K27="Keltainen",L27="Keltainen"),"Keltainen","OK")))</x:f>
      </x:c>
      <x:c r="N27" s="154" t="str">
        <x:f>IF(A27="","",IF(M27="Punainen","Tarkista ennen ajoon vapautusta",IF(M27="Keltainen","Seuraa / varmista","OK")))</x:f>
      </x:c>
    </x:row>
    <x:row r="28">
      <x:c r="A28" s="151"/>
      <x:c r="B28" s="151"/>
      <x:c r="C28" s="151"/>
      <x:c r="D28" s="167"/>
      <x:c r="E28" s="167"/>
      <x:c r="F28" s="167"/>
      <x:c r="G28" s="151"/>
      <x:c r="H28" s="151"/>
      <x:c r="I28" s="154" t="str">
        <x:f>IF(A28="","",IF(C28&gt;10,"Punainen",IF(C28&gt;9,"Keltainen","OK")))</x:f>
      </x:c>
      <x:c r="J28" s="154" t="str">
        <x:f>IF(A28="","",IF(D28&lt;0.7,"Keltainen",IF(D28&gt;0.95,"Keltainen","OK")))</x:f>
      </x:c>
      <x:c r="K28" s="154" t="str">
        <x:f>IF(A28="","",IF(E28&lt;0.12,"Punainen",IF(E28&lt;0.15,"Keltainen","OK")))</x:f>
      </x:c>
      <x:c r="L28" s="154" t="str">
        <x:f>IF(A28="","",IF(F28&gt;0.18,"Punainen",IF(F28&gt;0.15,"Keltainen","OK")))</x:f>
      </x:c>
      <x:c r="M28" s="154" t="str">
        <x:f>IF(A28="","",IF(OR(I28="Punainen",K28="Punainen",L28="Punainen",G28="Myöhässä",H28&gt;=6),"Punainen",IF(OR(I28="Keltainen",J28="Keltainen",K28="Keltainen",L28="Keltainen"),"Keltainen","OK")))</x:f>
      </x:c>
      <x:c r="N28" s="154" t="str">
        <x:f>IF(A28="","",IF(M28="Punainen","Tarkista ennen ajoon vapautusta",IF(M28="Keltainen","Seuraa / varmista","OK")))</x:f>
      </x:c>
    </x:row>
    <x:row r="29">
      <x:c r="A29" s="151"/>
      <x:c r="B29" s="151"/>
      <x:c r="C29" s="151"/>
      <x:c r="D29" s="167"/>
      <x:c r="E29" s="167"/>
      <x:c r="F29" s="167"/>
      <x:c r="G29" s="151"/>
      <x:c r="H29" s="151"/>
      <x:c r="I29" s="154" t="str">
        <x:f>IF(A29="","",IF(C29&gt;10,"Punainen",IF(C29&gt;9,"Keltainen","OK")))</x:f>
      </x:c>
      <x:c r="J29" s="154" t="str">
        <x:f>IF(A29="","",IF(D29&lt;0.7,"Keltainen",IF(D29&gt;0.95,"Keltainen","OK")))</x:f>
      </x:c>
      <x:c r="K29" s="154" t="str">
        <x:f>IF(A29="","",IF(E29&lt;0.12,"Punainen",IF(E29&lt;0.15,"Keltainen","OK")))</x:f>
      </x:c>
      <x:c r="L29" s="154" t="str">
        <x:f>IF(A29="","",IF(F29&gt;0.18,"Punainen",IF(F29&gt;0.15,"Keltainen","OK")))</x:f>
      </x:c>
      <x:c r="M29" s="154" t="str">
        <x:f>IF(A29="","",IF(OR(I29="Punainen",K29="Punainen",L29="Punainen",G29="Myöhässä",H29&gt;=6),"Punainen",IF(OR(I29="Keltainen",J29="Keltainen",K29="Keltainen",L29="Keltainen"),"Keltainen","OK")))</x:f>
      </x:c>
      <x:c r="N29" s="154" t="str">
        <x:f>IF(A29="","",IF(M29="Punainen","Tarkista ennen ajoon vapautusta",IF(M29="Keltainen","Seuraa / varmista","OK")))</x:f>
      </x:c>
    </x:row>
    <x:row r="30">
      <x:c r="A30" s="151"/>
      <x:c r="B30" s="151"/>
      <x:c r="C30" s="151"/>
      <x:c r="D30" s="167"/>
      <x:c r="E30" s="167"/>
      <x:c r="F30" s="167"/>
      <x:c r="G30" s="151"/>
      <x:c r="H30" s="151"/>
      <x:c r="I30" s="154" t="str">
        <x:f>IF(A30="","",IF(C30&gt;10,"Punainen",IF(C30&gt;9,"Keltainen","OK")))</x:f>
      </x:c>
      <x:c r="J30" s="154" t="str">
        <x:f>IF(A30="","",IF(D30&lt;0.7,"Keltainen",IF(D30&gt;0.95,"Keltainen","OK")))</x:f>
      </x:c>
      <x:c r="K30" s="154" t="str">
        <x:f>IF(A30="","",IF(E30&lt;0.12,"Punainen",IF(E30&lt;0.15,"Keltainen","OK")))</x:f>
      </x:c>
      <x:c r="L30" s="154" t="str">
        <x:f>IF(A30="","",IF(F30&gt;0.18,"Punainen",IF(F30&gt;0.15,"Keltainen","OK")))</x:f>
      </x:c>
      <x:c r="M30" s="154" t="str">
        <x:f>IF(A30="","",IF(OR(I30="Punainen",K30="Punainen",L30="Punainen",G30="Myöhässä",H30&gt;=6),"Punainen",IF(OR(I30="Keltainen",J30="Keltainen",K30="Keltainen",L30="Keltainen"),"Keltainen","OK")))</x:f>
      </x:c>
      <x:c r="N30" s="154" t="str">
        <x:f>IF(A30="","",IF(M30="Punainen","Tarkista ennen ajoon vapautusta",IF(M30="Keltainen","Seuraa / varmista","OK")))</x:f>
      </x:c>
    </x:row>
    <x:row r="31">
      <x:c r="A31" s="151"/>
      <x:c r="B31" s="151"/>
      <x:c r="C31" s="151"/>
      <x:c r="D31" s="167"/>
      <x:c r="E31" s="167"/>
      <x:c r="F31" s="167"/>
      <x:c r="G31" s="151"/>
      <x:c r="H31" s="151"/>
      <x:c r="I31" s="154" t="str">
        <x:f>IF(A31="","",IF(C31&gt;10,"Punainen",IF(C31&gt;9,"Keltainen","OK")))</x:f>
      </x:c>
      <x:c r="J31" s="154" t="str">
        <x:f>IF(A31="","",IF(D31&lt;0.7,"Keltainen",IF(D31&gt;0.95,"Keltainen","OK")))</x:f>
      </x:c>
      <x:c r="K31" s="154" t="str">
        <x:f>IF(A31="","",IF(E31&lt;0.12,"Punainen",IF(E31&lt;0.15,"Keltainen","OK")))</x:f>
      </x:c>
      <x:c r="L31" s="154" t="str">
        <x:f>IF(A31="","",IF(F31&gt;0.18,"Punainen",IF(F31&gt;0.15,"Keltainen","OK")))</x:f>
      </x:c>
      <x:c r="M31" s="154" t="str">
        <x:f>IF(A31="","",IF(OR(I31="Punainen",K31="Punainen",L31="Punainen",G31="Myöhässä",H31&gt;=6),"Punainen",IF(OR(I31="Keltainen",J31="Keltainen",K31="Keltainen",L31="Keltainen"),"Keltainen","OK")))</x:f>
      </x:c>
      <x:c r="N31" s="154" t="str">
        <x:f>IF(A31="","",IF(M31="Punainen","Tarkista ennen ajoon vapautusta",IF(M31="Keltainen","Seuraa / varmista","OK")))</x:f>
      </x:c>
    </x:row>
    <x:row r="32">
      <x:c r="A32" s="151"/>
      <x:c r="B32" s="151"/>
      <x:c r="C32" s="151"/>
      <x:c r="D32" s="167"/>
      <x:c r="E32" s="167"/>
      <x:c r="F32" s="167"/>
      <x:c r="G32" s="151"/>
      <x:c r="H32" s="151"/>
      <x:c r="I32" s="154" t="str">
        <x:f>IF(A32="","",IF(C32&gt;10,"Punainen",IF(C32&gt;9,"Keltainen","OK")))</x:f>
      </x:c>
      <x:c r="J32" s="154" t="str">
        <x:f>IF(A32="","",IF(D32&lt;0.7,"Keltainen",IF(D32&gt;0.95,"Keltainen","OK")))</x:f>
      </x:c>
      <x:c r="K32" s="154" t="str">
        <x:f>IF(A32="","",IF(E32&lt;0.12,"Punainen",IF(E32&lt;0.15,"Keltainen","OK")))</x:f>
      </x:c>
      <x:c r="L32" s="154" t="str">
        <x:f>IF(A32="","",IF(F32&gt;0.18,"Punainen",IF(F32&gt;0.15,"Keltainen","OK")))</x:f>
      </x:c>
      <x:c r="M32" s="154" t="str">
        <x:f>IF(A32="","",IF(OR(I32="Punainen",K32="Punainen",L32="Punainen",G32="Myöhässä",H32&gt;=6),"Punainen",IF(OR(I32="Keltainen",J32="Keltainen",K32="Keltainen",L32="Keltainen"),"Keltainen","OK")))</x:f>
      </x:c>
      <x:c r="N32" s="154" t="str">
        <x:f>IF(A32="","",IF(M32="Punainen","Tarkista ennen ajoon vapautusta",IF(M32="Keltainen","Seuraa / varmista","OK")))</x:f>
      </x:c>
    </x:row>
    <x:row r="33">
      <x:c r="A33" s="151"/>
      <x:c r="B33" s="151"/>
      <x:c r="C33" s="151"/>
      <x:c r="D33" s="167"/>
      <x:c r="E33" s="167"/>
      <x:c r="F33" s="167"/>
      <x:c r="G33" s="151"/>
      <x:c r="H33" s="151"/>
      <x:c r="I33" s="154" t="str">
        <x:f>IF(A33="","",IF(C33&gt;10,"Punainen",IF(C33&gt;9,"Keltainen","OK")))</x:f>
      </x:c>
      <x:c r="J33" s="154" t="str">
        <x:f>IF(A33="","",IF(D33&lt;0.7,"Keltainen",IF(D33&gt;0.95,"Keltainen","OK")))</x:f>
      </x:c>
      <x:c r="K33" s="154" t="str">
        <x:f>IF(A33="","",IF(E33&lt;0.12,"Punainen",IF(E33&lt;0.15,"Keltainen","OK")))</x:f>
      </x:c>
      <x:c r="L33" s="154" t="str">
        <x:f>IF(A33="","",IF(F33&gt;0.18,"Punainen",IF(F33&gt;0.15,"Keltainen","OK")))</x:f>
      </x:c>
      <x:c r="M33" s="154" t="str">
        <x:f>IF(A33="","",IF(OR(I33="Punainen",K33="Punainen",L33="Punainen",G33="Myöhässä",H33&gt;=6),"Punainen",IF(OR(I33="Keltainen",J33="Keltainen",K33="Keltainen",L33="Keltainen"),"Keltainen","OK")))</x:f>
      </x:c>
      <x:c r="N33" s="154" t="str">
        <x:f>IF(A33="","",IF(M33="Punainen","Tarkista ennen ajoon vapautusta",IF(M33="Keltainen","Seuraa / varmista","OK")))</x:f>
      </x:c>
    </x:row>
    <x:row r="34">
      <x:c r="A34" s="151"/>
      <x:c r="B34" s="151"/>
      <x:c r="C34" s="151"/>
      <x:c r="D34" s="167"/>
      <x:c r="E34" s="167"/>
      <x:c r="F34" s="167"/>
      <x:c r="G34" s="151"/>
      <x:c r="H34" s="151"/>
      <x:c r="I34" s="154" t="str">
        <x:f>IF(A34="","",IF(C34&gt;10,"Punainen",IF(C34&gt;9,"Keltainen","OK")))</x:f>
      </x:c>
      <x:c r="J34" s="154" t="str">
        <x:f>IF(A34="","",IF(D34&lt;0.7,"Keltainen",IF(D34&gt;0.95,"Keltainen","OK")))</x:f>
      </x:c>
      <x:c r="K34" s="154" t="str">
        <x:f>IF(A34="","",IF(E34&lt;0.12,"Punainen",IF(E34&lt;0.15,"Keltainen","OK")))</x:f>
      </x:c>
      <x:c r="L34" s="154" t="str">
        <x:f>IF(A34="","",IF(F34&gt;0.18,"Punainen",IF(F34&gt;0.15,"Keltainen","OK")))</x:f>
      </x:c>
      <x:c r="M34" s="154" t="str">
        <x:f>IF(A34="","",IF(OR(I34="Punainen",K34="Punainen",L34="Punainen",G34="Myöhässä",H34&gt;=6),"Punainen",IF(OR(I34="Keltainen",J34="Keltainen",K34="Keltainen",L34="Keltainen"),"Keltainen","OK")))</x:f>
      </x:c>
      <x:c r="N34" s="154" t="str">
        <x:f>IF(A34="","",IF(M34="Punainen","Tarkista ennen ajoon vapautusta",IF(M34="Keltainen","Seuraa / varmista","OK")))</x:f>
      </x:c>
    </x:row>
    <x:row r="35">
      <x:c r="A35" s="151"/>
      <x:c r="B35" s="151"/>
      <x:c r="C35" s="151"/>
      <x:c r="D35" s="167"/>
      <x:c r="E35" s="167"/>
      <x:c r="F35" s="167"/>
      <x:c r="G35" s="151"/>
      <x:c r="H35" s="151"/>
      <x:c r="I35" s="154" t="str">
        <x:f>IF(A35="","",IF(C35&gt;10,"Punainen",IF(C35&gt;9,"Keltainen","OK")))</x:f>
      </x:c>
      <x:c r="J35" s="154" t="str">
        <x:f>IF(A35="","",IF(D35&lt;0.7,"Keltainen",IF(D35&gt;0.95,"Keltainen","OK")))</x:f>
      </x:c>
      <x:c r="K35" s="154" t="str">
        <x:f>IF(A35="","",IF(E35&lt;0.12,"Punainen",IF(E35&lt;0.15,"Keltainen","OK")))</x:f>
      </x:c>
      <x:c r="L35" s="154" t="str">
        <x:f>IF(A35="","",IF(F35&gt;0.18,"Punainen",IF(F35&gt;0.15,"Keltainen","OK")))</x:f>
      </x:c>
      <x:c r="M35" s="154" t="str">
        <x:f>IF(A35="","",IF(OR(I35="Punainen",K35="Punainen",L35="Punainen",G35="Myöhässä",H35&gt;=6),"Punainen",IF(OR(I35="Keltainen",J35="Keltainen",K35="Keltainen",L35="Keltainen"),"Keltainen","OK")))</x:f>
      </x:c>
      <x:c r="N35" s="154" t="str">
        <x:f>IF(A35="","",IF(M35="Punainen","Tarkista ennen ajoon vapautusta",IF(M35="Keltainen","Seuraa / varmista","OK")))</x:f>
      </x:c>
    </x:row>
    <x:row r="36">
      <x:c r="A36" s="151"/>
      <x:c r="B36" s="151"/>
      <x:c r="C36" s="151"/>
      <x:c r="D36" s="167"/>
      <x:c r="E36" s="167"/>
      <x:c r="F36" s="167"/>
      <x:c r="G36" s="151"/>
      <x:c r="H36" s="151"/>
      <x:c r="I36" s="154" t="str">
        <x:f>IF(A36="","",IF(C36&gt;10,"Punainen",IF(C36&gt;9,"Keltainen","OK")))</x:f>
      </x:c>
      <x:c r="J36" s="154" t="str">
        <x:f>IF(A36="","",IF(D36&lt;0.7,"Keltainen",IF(D36&gt;0.95,"Keltainen","OK")))</x:f>
      </x:c>
      <x:c r="K36" s="154" t="str">
        <x:f>IF(A36="","",IF(E36&lt;0.12,"Punainen",IF(E36&lt;0.15,"Keltainen","OK")))</x:f>
      </x:c>
      <x:c r="L36" s="154" t="str">
        <x:f>IF(A36="","",IF(F36&gt;0.18,"Punainen",IF(F36&gt;0.15,"Keltainen","OK")))</x:f>
      </x:c>
      <x:c r="M36" s="154" t="str">
        <x:f>IF(A36="","",IF(OR(I36="Punainen",K36="Punainen",L36="Punainen",G36="Myöhässä",H36&gt;=6),"Punainen",IF(OR(I36="Keltainen",J36="Keltainen",K36="Keltainen",L36="Keltainen"),"Keltainen","OK")))</x:f>
      </x:c>
      <x:c r="N36" s="154" t="str">
        <x:f>IF(A36="","",IF(M36="Punainen","Tarkista ennen ajoon vapautusta",IF(M36="Keltainen","Seuraa / varmista","OK")))</x:f>
      </x:c>
    </x:row>
    <x:row r="37">
      <x:c r="A37" s="151"/>
      <x:c r="B37" s="151"/>
      <x:c r="C37" s="151"/>
      <x:c r="D37" s="167"/>
      <x:c r="E37" s="167"/>
      <x:c r="F37" s="167"/>
      <x:c r="G37" s="151"/>
      <x:c r="H37" s="151"/>
      <x:c r="I37" s="154" t="str">
        <x:f>IF(A37="","",IF(C37&gt;10,"Punainen",IF(C37&gt;9,"Keltainen","OK")))</x:f>
      </x:c>
      <x:c r="J37" s="154" t="str">
        <x:f>IF(A37="","",IF(D37&lt;0.7,"Keltainen",IF(D37&gt;0.95,"Keltainen","OK")))</x:f>
      </x:c>
      <x:c r="K37" s="154" t="str">
        <x:f>IF(A37="","",IF(E37&lt;0.12,"Punainen",IF(E37&lt;0.15,"Keltainen","OK")))</x:f>
      </x:c>
      <x:c r="L37" s="154" t="str">
        <x:f>IF(A37="","",IF(F37&gt;0.18,"Punainen",IF(F37&gt;0.15,"Keltainen","OK")))</x:f>
      </x:c>
      <x:c r="M37" s="154" t="str">
        <x:f>IF(A37="","",IF(OR(I37="Punainen",K37="Punainen",L37="Punainen",G37="Myöhässä",H37&gt;=6),"Punainen",IF(OR(I37="Keltainen",J37="Keltainen",K37="Keltainen",L37="Keltainen"),"Keltainen","OK")))</x:f>
      </x:c>
      <x:c r="N37" s="154" t="str">
        <x:f>IF(A37="","",IF(M37="Punainen","Tarkista ennen ajoon vapautusta",IF(M37="Keltainen","Seuraa / varmista","OK")))</x:f>
      </x:c>
    </x:row>
    <x:row r="38">
      <x:c r="A38" s="151"/>
      <x:c r="B38" s="151"/>
      <x:c r="C38" s="151"/>
      <x:c r="D38" s="167"/>
      <x:c r="E38" s="167"/>
      <x:c r="F38" s="167"/>
      <x:c r="G38" s="151"/>
      <x:c r="H38" s="151"/>
      <x:c r="I38" s="154" t="str">
        <x:f>IF(A38="","",IF(C38&gt;10,"Punainen",IF(C38&gt;9,"Keltainen","OK")))</x:f>
      </x:c>
      <x:c r="J38" s="154" t="str">
        <x:f>IF(A38="","",IF(D38&lt;0.7,"Keltainen",IF(D38&gt;0.95,"Keltainen","OK")))</x:f>
      </x:c>
      <x:c r="K38" s="154" t="str">
        <x:f>IF(A38="","",IF(E38&lt;0.12,"Punainen",IF(E38&lt;0.15,"Keltainen","OK")))</x:f>
      </x:c>
      <x:c r="L38" s="154" t="str">
        <x:f>IF(A38="","",IF(F38&gt;0.18,"Punainen",IF(F38&gt;0.15,"Keltainen","OK")))</x:f>
      </x:c>
      <x:c r="M38" s="154" t="str">
        <x:f>IF(A38="","",IF(OR(I38="Punainen",K38="Punainen",L38="Punainen",G38="Myöhässä",H38&gt;=6),"Punainen",IF(OR(I38="Keltainen",J38="Keltainen",K38="Keltainen",L38="Keltainen"),"Keltainen","OK")))</x:f>
      </x:c>
      <x:c r="N38" s="154" t="str">
        <x:f>IF(A38="","",IF(M38="Punainen","Tarkista ennen ajoon vapautusta",IF(M38="Keltainen","Seuraa / varmista","OK")))</x:f>
      </x:c>
    </x:row>
    <x:row r="39">
      <x:c r="A39" s="151"/>
      <x:c r="B39" s="151"/>
      <x:c r="C39" s="151"/>
      <x:c r="D39" s="167"/>
      <x:c r="E39" s="167"/>
      <x:c r="F39" s="167"/>
      <x:c r="G39" s="151"/>
      <x:c r="H39" s="151"/>
      <x:c r="I39" s="154" t="str">
        <x:f>IF(A39="","",IF(C39&gt;10,"Punainen",IF(C39&gt;9,"Keltainen","OK")))</x:f>
      </x:c>
      <x:c r="J39" s="154" t="str">
        <x:f>IF(A39="","",IF(D39&lt;0.7,"Keltainen",IF(D39&gt;0.95,"Keltainen","OK")))</x:f>
      </x:c>
      <x:c r="K39" s="154" t="str">
        <x:f>IF(A39="","",IF(E39&lt;0.12,"Punainen",IF(E39&lt;0.15,"Keltainen","OK")))</x:f>
      </x:c>
      <x:c r="L39" s="154" t="str">
        <x:f>IF(A39="","",IF(F39&gt;0.18,"Punainen",IF(F39&gt;0.15,"Keltainen","OK")))</x:f>
      </x:c>
      <x:c r="M39" s="154" t="str">
        <x:f>IF(A39="","",IF(OR(I39="Punainen",K39="Punainen",L39="Punainen",G39="Myöhässä",H39&gt;=6),"Punainen",IF(OR(I39="Keltainen",J39="Keltainen",K39="Keltainen",L39="Keltainen"),"Keltainen","OK")))</x:f>
      </x:c>
      <x:c r="N39" s="154" t="str">
        <x:f>IF(A39="","",IF(M39="Punainen","Tarkista ennen ajoon vapautusta",IF(M39="Keltainen","Seuraa / varmista","OK")))</x:f>
      </x:c>
    </x:row>
    <x:row r="40">
      <x:c r="A40" s="151"/>
      <x:c r="B40" s="151"/>
      <x:c r="C40" s="151"/>
      <x:c r="D40" s="167"/>
      <x:c r="E40" s="167"/>
      <x:c r="F40" s="167"/>
      <x:c r="G40" s="151"/>
      <x:c r="H40" s="151"/>
      <x:c r="I40" s="154" t="str">
        <x:f>IF(A40="","",IF(C40&gt;10,"Punainen",IF(C40&gt;9,"Keltainen","OK")))</x:f>
      </x:c>
      <x:c r="J40" s="154" t="str">
        <x:f>IF(A40="","",IF(D40&lt;0.7,"Keltainen",IF(D40&gt;0.95,"Keltainen","OK")))</x:f>
      </x:c>
      <x:c r="K40" s="154" t="str">
        <x:f>IF(A40="","",IF(E40&lt;0.12,"Punainen",IF(E40&lt;0.15,"Keltainen","OK")))</x:f>
      </x:c>
      <x:c r="L40" s="154" t="str">
        <x:f>IF(A40="","",IF(F40&gt;0.18,"Punainen",IF(F40&gt;0.15,"Keltainen","OK")))</x:f>
      </x:c>
      <x:c r="M40" s="154" t="str">
        <x:f>IF(A40="","",IF(OR(I40="Punainen",K40="Punainen",L40="Punainen",G40="Myöhässä",H40&gt;=6),"Punainen",IF(OR(I40="Keltainen",J40="Keltainen",K40="Keltainen",L40="Keltainen"),"Keltainen","OK")))</x:f>
      </x:c>
      <x:c r="N40" s="154" t="str">
        <x:f>IF(A40="","",IF(M40="Punainen","Tarkista ennen ajoon vapautusta",IF(M40="Keltainen","Seuraa / varmista","OK")))</x:f>
      </x:c>
    </x:row>
    <x:row r="41">
      <x:c r="A41" s="151"/>
      <x:c r="B41" s="151"/>
      <x:c r="C41" s="151"/>
      <x:c r="D41" s="167"/>
      <x:c r="E41" s="167"/>
      <x:c r="F41" s="167"/>
      <x:c r="G41" s="151"/>
      <x:c r="H41" s="151"/>
      <x:c r="I41" s="154"/>
      <x:c r="J41" s="154"/>
      <x:c r="K41" s="154"/>
      <x:c r="L41" s="154"/>
      <x:c r="M41" s="154"/>
      <x:c r="N41" s="154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74a65523295b4abe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</x:cols>
  <x:sheetData>
    <x:row r="1">
      <x:c r="A1" s="142" t="str">
        <x:v>10. Kartta- ja Power BI -valmius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Reittien karttadata Power BI:n karttavisuaaleihin: lähtö/pääte, koordinaatit, kate ja riskitaso.</x:v>
      </x:c>
    </x:row>
    <x:row r="4">
      <x:c r="A4" s="148" t="str">
        <x:v>Route ID</x:v>
      </x:c>
      <x:c r="B4" s="148" t="str">
        <x:v>From</x:v>
      </x:c>
      <x:c r="C4" s="148" t="str">
        <x:v>To</x:v>
      </x:c>
      <x:c r="D4" s="148" t="str">
        <x:v>From lat</x:v>
      </x:c>
      <x:c r="E4" s="148" t="str">
        <x:v>From lon</x:v>
      </x:c>
      <x:c r="F4" s="148" t="str">
        <x:v>To lat</x:v>
      </x:c>
      <x:c r="G4" s="148" t="str">
        <x:v>To lon</x:v>
      </x:c>
      <x:c r="H4" s="148" t="str">
        <x:v>Loaded km</x:v>
      </x:c>
      <x:c r="I4" s="148" t="str">
        <x:v>Empty km</x:v>
      </x:c>
      <x:c r="J4" s="148" t="str">
        <x:v>Kate %</x:v>
      </x:c>
      <x:c r="K4" s="148" t="str">
        <x:v>CO₂ kg</x:v>
      </x:c>
      <x:c r="L4" s="148" t="str">
        <x:v>Riskitaso</x:v>
      </x:c>
      <x:c r="M4" s="148" t="str">
        <x:v>Power BI visual</x:v>
      </x:c>
      <x:c r="N4" s="148" t="str">
        <x:v>Huomio</x:v>
      </x:c>
    </x:row>
    <x:row r="5">
      <x:c r="A5" s="151" t="str">
        <x:v>R1</x:v>
      </x:c>
      <x:c r="B5" s="151" t="str">
        <x:v>Vantaa</x:v>
      </x:c>
      <x:c r="C5" s="151" t="str">
        <x:v>Pori</x:v>
      </x:c>
      <x:c r="D5" s="151" t="n">
        <x:v>60.2934</x:v>
      </x:c>
      <x:c r="E5" s="151" t="n">
        <x:v>25.0378</x:v>
      </x:c>
      <x:c r="F5" s="151" t="n">
        <x:v>61.4851</x:v>
      </x:c>
      <x:c r="G5" s="151" t="n">
        <x:v>21.7972</x:v>
      </x:c>
      <x:c r="H5" s="151" t="n">
        <x:v>290</x:v>
      </x:c>
      <x:c r="I5" s="151" t="n">
        <x:v>40</x:v>
      </x:c>
      <x:c r="J5" s="167" t="n">
        <x:v>0.18</x:v>
      </x:c>
      <x:c r="K5" s="168" t="n">
        <x:v>304.5</x:v>
      </x:c>
      <x:c r="L5" s="151" t="str">
        <x:v>Matala</x:v>
      </x:c>
      <x:c r="M5" s="151" t="str">
        <x:v>Map / ArcGIS</x:v>
      </x:c>
      <x:c r="N5" s="151" t="str"/>
    </x:row>
    <x:row r="6">
      <x:c r="A6" s="151" t="str">
        <x:v>R2</x:v>
      </x:c>
      <x:c r="B6" s="151" t="str">
        <x:v>Vantaa</x:v>
      </x:c>
      <x:c r="C6" s="151" t="str">
        <x:v>Oulu</x:v>
      </x:c>
      <x:c r="D6" s="151" t="n">
        <x:v>60.2934</x:v>
      </x:c>
      <x:c r="E6" s="151" t="n">
        <x:v>25.0378</x:v>
      </x:c>
      <x:c r="F6" s="151" t="n">
        <x:v>65.0121</x:v>
      </x:c>
      <x:c r="G6" s="151" t="n">
        <x:v>25.4651</x:v>
      </x:c>
      <x:c r="H6" s="151" t="n">
        <x:v>600</x:v>
      </x:c>
      <x:c r="I6" s="151" t="n">
        <x:v>80</x:v>
      </x:c>
      <x:c r="J6" s="167" t="n">
        <x:v>0.16</x:v>
      </x:c>
      <x:c r="K6" s="168" t="n">
        <x:v>540</x:v>
      </x:c>
      <x:c r="L6" s="151" t="str">
        <x:v>Keskitaso</x:v>
      </x:c>
      <x:c r="M6" s="151" t="str">
        <x:v>Map / ArcGIS</x:v>
      </x:c>
      <x:c r="N6" s="151" t="str"/>
    </x:row>
    <x:row r="7">
      <x:c r="A7" s="151" t="str">
        <x:v>R3</x:v>
      </x:c>
      <x:c r="B7" s="151" t="str">
        <x:v>Turku</x:v>
      </x:c>
      <x:c r="C7" s="151" t="str">
        <x:v>Rauma</x:v>
      </x:c>
      <x:c r="D7" s="151" t="n">
        <x:v>60.4518</x:v>
      </x:c>
      <x:c r="E7" s="151" t="n">
        <x:v>22.2666</x:v>
      </x:c>
      <x:c r="F7" s="151" t="n">
        <x:v>61.1309</x:v>
      </x:c>
      <x:c r="G7" s="151" t="n">
        <x:v>21.5059</x:v>
      </x:c>
      <x:c r="H7" s="151" t="n">
        <x:v>95</x:v>
      </x:c>
      <x:c r="I7" s="151" t="n">
        <x:v>15</x:v>
      </x:c>
      <x:c r="J7" s="167" t="n">
        <x:v>0.24</x:v>
      </x:c>
      <x:c r="K7" s="168" t="n">
        <x:v>85.5</x:v>
      </x:c>
      <x:c r="L7" s="151" t="str">
        <x:v>Matala</x:v>
      </x:c>
      <x:c r="M7" s="151" t="str">
        <x:v>Map / ArcGIS</x:v>
      </x:c>
      <x:c r="N7" s="151" t="str"/>
    </x:row>
    <x:row r="8">
      <x:c r="A8" s="151" t="str">
        <x:v>R4</x:v>
      </x:c>
      <x:c r="B8" s="151" t="str">
        <x:v>Vantaa</x:v>
      </x:c>
      <x:c r="C8" s="151" t="str">
        <x:v>Hollanti</x:v>
      </x:c>
      <x:c r="D8" s="151" t="n">
        <x:v>60.2934</x:v>
      </x:c>
      <x:c r="E8" s="151" t="n">
        <x:v>25.0378</x:v>
      </x:c>
      <x:c r="F8" s="151" t="n">
        <x:v>52.1326</x:v>
      </x:c>
      <x:c r="G8" s="151" t="n">
        <x:v>5.2913</x:v>
      </x:c>
      <x:c r="H8" s="151" t="n">
        <x:v>590</x:v>
      </x:c>
      <x:c r="I8" s="151" t="n">
        <x:v>70</x:v>
      </x:c>
      <x:c r="J8" s="167" t="n">
        <x:v>0.14</x:v>
      </x:c>
      <x:c r="K8" s="168" t="n">
        <x:v>678.5</x:v>
      </x:c>
      <x:c r="L8" s="151" t="str">
        <x:v>Korkea</x:v>
      </x:c>
      <x:c r="M8" s="151" t="str">
        <x:v>Map / ArcGIS</x:v>
      </x:c>
      <x:c r="N8" s="151" t="str">
        <x:v>Country-level endpoint</x:v>
      </x:c>
    </x:row>
    <x:row r="9">
      <x:c r="A9" s="151"/>
      <x:c r="B9" s="151"/>
      <x:c r="C9" s="151"/>
      <x:c r="D9" s="151"/>
      <x:c r="E9" s="151"/>
      <x:c r="F9" s="151"/>
      <x:c r="G9" s="151"/>
      <x:c r="H9" s="151"/>
      <x:c r="I9" s="151"/>
      <x:c r="J9" s="167"/>
      <x:c r="K9" s="168"/>
      <x:c r="L9" s="151"/>
      <x:c r="M9" s="151"/>
      <x:c r="N9" s="151"/>
    </x:row>
    <x:row r="10">
      <x:c r="A10" s="151"/>
      <x:c r="B10" s="151"/>
      <x:c r="C10" s="151"/>
      <x:c r="D10" s="151"/>
      <x:c r="E10" s="151"/>
      <x:c r="F10" s="151"/>
      <x:c r="G10" s="151"/>
      <x:c r="H10" s="151"/>
      <x:c r="I10" s="151"/>
      <x:c r="J10" s="167"/>
      <x:c r="K10" s="168"/>
      <x:c r="L10" s="151"/>
      <x:c r="M10" s="151"/>
      <x:c r="N10" s="151"/>
    </x:row>
    <x:row r="11">
      <x:c r="A11" s="151"/>
      <x:c r="B11" s="151"/>
      <x:c r="C11" s="151"/>
      <x:c r="D11" s="151"/>
      <x:c r="E11" s="151"/>
      <x:c r="F11" s="151"/>
      <x:c r="G11" s="151"/>
      <x:c r="H11" s="151"/>
      <x:c r="I11" s="151"/>
      <x:c r="J11" s="167"/>
      <x:c r="K11" s="168"/>
      <x:c r="L11" s="151"/>
      <x:c r="M11" s="151"/>
      <x:c r="N11" s="151"/>
    </x:row>
    <x:row r="12">
      <x:c r="A12" s="151"/>
      <x:c r="B12" s="151"/>
      <x:c r="C12" s="151"/>
      <x:c r="D12" s="151"/>
      <x:c r="E12" s="151"/>
      <x:c r="F12" s="151"/>
      <x:c r="G12" s="151"/>
      <x:c r="H12" s="151"/>
      <x:c r="I12" s="151"/>
      <x:c r="J12" s="167"/>
      <x:c r="K12" s="168"/>
      <x:c r="L12" s="151"/>
      <x:c r="M12" s="151"/>
      <x:c r="N12" s="151"/>
    </x:row>
    <x:row r="13">
      <x:c r="A13" s="151"/>
      <x:c r="B13" s="151"/>
      <x:c r="C13" s="151"/>
      <x:c r="D13" s="151"/>
      <x:c r="E13" s="151"/>
      <x:c r="F13" s="151"/>
      <x:c r="G13" s="151"/>
      <x:c r="H13" s="151"/>
      <x:c r="I13" s="151"/>
      <x:c r="J13" s="167"/>
      <x:c r="K13" s="168"/>
      <x:c r="L13" s="151"/>
      <x:c r="M13" s="151"/>
      <x:c r="N13" s="151"/>
    </x:row>
    <x:row r="14">
      <x:c r="A14" s="151"/>
      <x:c r="B14" s="151"/>
      <x:c r="C14" s="151"/>
      <x:c r="D14" s="151"/>
      <x:c r="E14" s="151"/>
      <x:c r="F14" s="151"/>
      <x:c r="G14" s="151"/>
      <x:c r="H14" s="151"/>
      <x:c r="I14" s="151"/>
      <x:c r="J14" s="167"/>
      <x:c r="K14" s="168"/>
      <x:c r="L14" s="151"/>
      <x:c r="M14" s="151"/>
      <x:c r="N14" s="151"/>
    </x:row>
    <x:row r="15">
      <x:c r="A15" s="151"/>
      <x:c r="B15" s="151"/>
      <x:c r="C15" s="151"/>
      <x:c r="D15" s="151"/>
      <x:c r="E15" s="151"/>
      <x:c r="F15" s="151"/>
      <x:c r="G15" s="151"/>
      <x:c r="H15" s="151"/>
      <x:c r="I15" s="151"/>
      <x:c r="J15" s="167"/>
      <x:c r="K15" s="168"/>
      <x:c r="L15" s="151"/>
      <x:c r="M15" s="151"/>
      <x:c r="N15" s="151"/>
    </x:row>
    <x:row r="16">
      <x:c r="A16" s="151"/>
      <x:c r="B16" s="151"/>
      <x:c r="C16" s="151"/>
      <x:c r="D16" s="151"/>
      <x:c r="E16" s="151"/>
      <x:c r="F16" s="151"/>
      <x:c r="G16" s="151"/>
      <x:c r="H16" s="151"/>
      <x:c r="I16" s="151"/>
      <x:c r="J16" s="167"/>
      <x:c r="K16" s="168"/>
      <x:c r="L16" s="151"/>
      <x:c r="M16" s="151"/>
      <x:c r="N16" s="151"/>
    </x:row>
    <x:row r="17">
      <x:c r="A17" s="151"/>
      <x:c r="B17" s="151"/>
      <x:c r="C17" s="151"/>
      <x:c r="D17" s="151"/>
      <x:c r="E17" s="151"/>
      <x:c r="F17" s="151"/>
      <x:c r="G17" s="151"/>
      <x:c r="H17" s="151"/>
      <x:c r="I17" s="151"/>
      <x:c r="J17" s="167"/>
      <x:c r="K17" s="168"/>
      <x:c r="L17" s="151"/>
      <x:c r="M17" s="151"/>
      <x:c r="N17" s="151"/>
    </x:row>
    <x:row r="18">
      <x:c r="A18" s="151"/>
      <x:c r="B18" s="151"/>
      <x:c r="C18" s="151"/>
      <x:c r="D18" s="151"/>
      <x:c r="E18" s="151"/>
      <x:c r="F18" s="151"/>
      <x:c r="G18" s="151"/>
      <x:c r="H18" s="151"/>
      <x:c r="I18" s="151"/>
      <x:c r="J18" s="167"/>
      <x:c r="K18" s="168"/>
      <x:c r="L18" s="151"/>
      <x:c r="M18" s="151"/>
      <x:c r="N18" s="151"/>
    </x:row>
    <x:row r="19">
      <x:c r="A19" s="151"/>
      <x:c r="B19" s="151"/>
      <x:c r="C19" s="151"/>
      <x:c r="D19" s="151"/>
      <x:c r="E19" s="151"/>
      <x:c r="F19" s="151"/>
      <x:c r="G19" s="151"/>
      <x:c r="H19" s="151"/>
      <x:c r="I19" s="151"/>
      <x:c r="J19" s="167"/>
      <x:c r="K19" s="168"/>
      <x:c r="L19" s="151"/>
      <x:c r="M19" s="151"/>
      <x:c r="N19" s="151"/>
    </x:row>
    <x:row r="20">
      <x:c r="A20" s="151"/>
      <x:c r="B20" s="151"/>
      <x:c r="C20" s="151"/>
      <x:c r="D20" s="151"/>
      <x:c r="E20" s="151"/>
      <x:c r="F20" s="151"/>
      <x:c r="G20" s="151"/>
      <x:c r="H20" s="151"/>
      <x:c r="I20" s="151"/>
      <x:c r="J20" s="167"/>
      <x:c r="K20" s="168"/>
      <x:c r="L20" s="151"/>
      <x:c r="M20" s="151"/>
      <x:c r="N20" s="151"/>
    </x:row>
    <x:row r="21">
      <x:c r="A21" s="151"/>
      <x:c r="B21" s="151"/>
      <x:c r="C21" s="151"/>
      <x:c r="D21" s="151"/>
      <x:c r="E21" s="151"/>
      <x:c r="F21" s="151"/>
      <x:c r="G21" s="151"/>
      <x:c r="H21" s="151"/>
      <x:c r="I21" s="151"/>
      <x:c r="J21" s="167"/>
      <x:c r="K21" s="168"/>
      <x:c r="L21" s="151"/>
      <x:c r="M21" s="151"/>
      <x:c r="N21" s="151"/>
    </x:row>
    <x:row r="22">
      <x:c r="A22" s="151"/>
      <x:c r="B22" s="151"/>
      <x:c r="C22" s="151"/>
      <x:c r="D22" s="151"/>
      <x:c r="E22" s="151"/>
      <x:c r="F22" s="151"/>
      <x:c r="G22" s="151"/>
      <x:c r="H22" s="151"/>
      <x:c r="I22" s="151"/>
      <x:c r="J22" s="167"/>
      <x:c r="K22" s="168"/>
      <x:c r="L22" s="151"/>
      <x:c r="M22" s="151"/>
      <x:c r="N22" s="151"/>
    </x:row>
    <x:row r="23">
      <x:c r="A23" s="151"/>
      <x:c r="B23" s="151"/>
      <x:c r="C23" s="151"/>
      <x:c r="D23" s="151"/>
      <x:c r="E23" s="151"/>
      <x:c r="F23" s="151"/>
      <x:c r="G23" s="151"/>
      <x:c r="H23" s="151"/>
      <x:c r="I23" s="151"/>
      <x:c r="J23" s="167"/>
      <x:c r="K23" s="168"/>
      <x:c r="L23" s="151"/>
      <x:c r="M23" s="151"/>
      <x:c r="N23" s="151"/>
    </x:row>
    <x:row r="24">
      <x:c r="A24" s="151"/>
      <x:c r="B24" s="151"/>
      <x:c r="C24" s="151"/>
      <x:c r="D24" s="151"/>
      <x:c r="E24" s="151"/>
      <x:c r="F24" s="151"/>
      <x:c r="G24" s="151"/>
      <x:c r="H24" s="151"/>
      <x:c r="I24" s="151"/>
      <x:c r="J24" s="167"/>
      <x:c r="K24" s="168"/>
      <x:c r="L24" s="151"/>
      <x:c r="M24" s="151"/>
      <x:c r="N24" s="151"/>
    </x:row>
    <x:row r="25">
      <x:c r="A25" s="151"/>
      <x:c r="B25" s="151"/>
      <x:c r="C25" s="151"/>
      <x:c r="D25" s="151"/>
      <x:c r="E25" s="151"/>
      <x:c r="F25" s="151"/>
      <x:c r="G25" s="151"/>
      <x:c r="H25" s="151"/>
      <x:c r="I25" s="151"/>
      <x:c r="J25" s="167"/>
      <x:c r="K25" s="168"/>
      <x:c r="L25" s="151"/>
      <x:c r="M25" s="151"/>
      <x:c r="N25" s="151"/>
    </x:row>
    <x:row r="26">
      <x:c r="A26" s="151"/>
      <x:c r="B26" s="151"/>
      <x:c r="C26" s="151"/>
      <x:c r="D26" s="151"/>
      <x:c r="E26" s="151"/>
      <x:c r="F26" s="151"/>
      <x:c r="G26" s="151"/>
      <x:c r="H26" s="151"/>
      <x:c r="I26" s="151"/>
      <x:c r="J26" s="167"/>
      <x:c r="K26" s="168"/>
      <x:c r="L26" s="151"/>
      <x:c r="M26" s="151"/>
      <x:c r="N26" s="151"/>
    </x:row>
    <x:row r="27">
      <x:c r="A27" s="151"/>
      <x:c r="B27" s="151"/>
      <x:c r="C27" s="151"/>
      <x:c r="D27" s="151"/>
      <x:c r="E27" s="151"/>
      <x:c r="F27" s="151"/>
      <x:c r="G27" s="151"/>
      <x:c r="H27" s="151"/>
      <x:c r="I27" s="151"/>
      <x:c r="J27" s="167"/>
      <x:c r="K27" s="168"/>
      <x:c r="L27" s="151"/>
      <x:c r="M27" s="151"/>
      <x:c r="N27" s="151"/>
    </x:row>
    <x:row r="28">
      <x:c r="A28" s="151"/>
      <x:c r="B28" s="151"/>
      <x:c r="C28" s="151"/>
      <x:c r="D28" s="151"/>
      <x:c r="E28" s="151"/>
      <x:c r="F28" s="151"/>
      <x:c r="G28" s="151"/>
      <x:c r="H28" s="151"/>
      <x:c r="I28" s="151"/>
      <x:c r="J28" s="167"/>
      <x:c r="K28" s="168"/>
      <x:c r="L28" s="151"/>
      <x:c r="M28" s="151"/>
      <x:c r="N28" s="151"/>
    </x:row>
    <x:row r="29">
      <x:c r="A29" s="151"/>
      <x:c r="B29" s="151"/>
      <x:c r="C29" s="151"/>
      <x:c r="D29" s="151"/>
      <x:c r="E29" s="151"/>
      <x:c r="F29" s="151"/>
      <x:c r="G29" s="151"/>
      <x:c r="H29" s="151"/>
      <x:c r="I29" s="151"/>
      <x:c r="J29" s="167"/>
      <x:c r="K29" s="168"/>
      <x:c r="L29" s="151"/>
      <x:c r="M29" s="151"/>
      <x:c r="N29" s="151"/>
    </x:row>
    <x:row r="30">
      <x:c r="A30" s="151"/>
      <x:c r="B30" s="151"/>
      <x:c r="C30" s="151"/>
      <x:c r="D30" s="151"/>
      <x:c r="E30" s="151"/>
      <x:c r="F30" s="151"/>
      <x:c r="G30" s="151"/>
      <x:c r="H30" s="151"/>
      <x:c r="I30" s="151"/>
      <x:c r="J30" s="167"/>
      <x:c r="K30" s="168"/>
      <x:c r="L30" s="151"/>
      <x:c r="M30" s="151"/>
      <x:c r="N30" s="151"/>
    </x:row>
    <x:row r="31">
      <x:c r="A31" s="151"/>
      <x:c r="B31" s="151"/>
      <x:c r="C31" s="151"/>
      <x:c r="D31" s="151"/>
      <x:c r="E31" s="151"/>
      <x:c r="F31" s="151"/>
      <x:c r="G31" s="151"/>
      <x:c r="H31" s="151"/>
      <x:c r="I31" s="151"/>
      <x:c r="J31" s="167"/>
      <x:c r="K31" s="168"/>
      <x:c r="L31" s="151"/>
      <x:c r="M31" s="151"/>
      <x:c r="N31" s="151"/>
    </x:row>
    <x:row r="32">
      <x:c r="A32" s="151"/>
      <x:c r="B32" s="151"/>
      <x:c r="C32" s="151"/>
      <x:c r="D32" s="151"/>
      <x:c r="E32" s="151"/>
      <x:c r="F32" s="151"/>
      <x:c r="G32" s="151"/>
      <x:c r="H32" s="151"/>
      <x:c r="I32" s="151"/>
      <x:c r="J32" s="167"/>
      <x:c r="K32" s="168"/>
      <x:c r="L32" s="151"/>
      <x:c r="M32" s="151"/>
      <x:c r="N32" s="151"/>
    </x:row>
    <x:row r="33">
      <x:c r="A33" s="151"/>
      <x:c r="B33" s="151"/>
      <x:c r="C33" s="151"/>
      <x:c r="D33" s="151"/>
      <x:c r="E33" s="151"/>
      <x:c r="F33" s="151"/>
      <x:c r="G33" s="151"/>
      <x:c r="H33" s="151"/>
      <x:c r="I33" s="151"/>
      <x:c r="J33" s="167"/>
      <x:c r="K33" s="168"/>
      <x:c r="L33" s="151"/>
      <x:c r="M33" s="151"/>
      <x:c r="N33" s="151"/>
    </x:row>
    <x:row r="34">
      <x:c r="A34" s="151"/>
      <x:c r="B34" s="151"/>
      <x:c r="C34" s="151"/>
      <x:c r="D34" s="151"/>
      <x:c r="E34" s="151"/>
      <x:c r="F34" s="151"/>
      <x:c r="G34" s="151"/>
      <x:c r="H34" s="151"/>
      <x:c r="I34" s="151"/>
      <x:c r="J34" s="167"/>
      <x:c r="K34" s="168"/>
      <x:c r="L34" s="151"/>
      <x:c r="M34" s="151"/>
      <x:c r="N34" s="151"/>
    </x:row>
    <x:row r="35">
      <x:c r="A35" s="151"/>
      <x:c r="B35" s="151"/>
      <x:c r="C35" s="151"/>
      <x:c r="D35" s="151"/>
      <x:c r="E35" s="151"/>
      <x:c r="F35" s="151"/>
      <x:c r="G35" s="151"/>
      <x:c r="H35" s="151"/>
      <x:c r="I35" s="151"/>
      <x:c r="J35" s="167"/>
      <x:c r="K35" s="168"/>
      <x:c r="L35" s="151"/>
      <x:c r="M35" s="151"/>
      <x:c r="N35" s="151"/>
    </x:row>
    <x:row r="36">
      <x:c r="A36" s="151"/>
      <x:c r="B36" s="151"/>
      <x:c r="C36" s="151"/>
      <x:c r="D36" s="151"/>
      <x:c r="E36" s="151"/>
      <x:c r="F36" s="151"/>
      <x:c r="G36" s="151"/>
      <x:c r="H36" s="151"/>
      <x:c r="I36" s="151"/>
      <x:c r="J36" s="167"/>
      <x:c r="K36" s="168"/>
      <x:c r="L36" s="151"/>
      <x:c r="M36" s="151"/>
      <x:c r="N36" s="151"/>
    </x:row>
    <x:row r="37">
      <x:c r="A37" s="151"/>
      <x:c r="B37" s="151"/>
      <x:c r="C37" s="151"/>
      <x:c r="D37" s="151"/>
      <x:c r="E37" s="151"/>
      <x:c r="F37" s="151"/>
      <x:c r="G37" s="151"/>
      <x:c r="H37" s="151"/>
      <x:c r="I37" s="151"/>
      <x:c r="J37" s="167"/>
      <x:c r="K37" s="168"/>
      <x:c r="L37" s="151"/>
      <x:c r="M37" s="151"/>
      <x:c r="N37" s="151"/>
    </x:row>
    <x:row r="38">
      <x:c r="A38" s="151"/>
      <x:c r="B38" s="151"/>
      <x:c r="C38" s="151"/>
      <x:c r="D38" s="151"/>
      <x:c r="E38" s="151"/>
      <x:c r="F38" s="151"/>
      <x:c r="G38" s="151"/>
      <x:c r="H38" s="151"/>
      <x:c r="I38" s="151"/>
      <x:c r="J38" s="167"/>
      <x:c r="K38" s="168"/>
      <x:c r="L38" s="151"/>
      <x:c r="M38" s="151"/>
      <x:c r="N38" s="151"/>
    </x:row>
    <x:row r="39">
      <x:c r="A39" s="151"/>
      <x:c r="B39" s="151"/>
      <x:c r="C39" s="151"/>
      <x:c r="D39" s="151"/>
      <x:c r="E39" s="151"/>
      <x:c r="F39" s="151"/>
      <x:c r="G39" s="151"/>
      <x:c r="H39" s="151"/>
      <x:c r="I39" s="151"/>
      <x:c r="J39" s="167"/>
      <x:c r="K39" s="168"/>
      <x:c r="L39" s="151"/>
      <x:c r="M39" s="151"/>
      <x:c r="N39" s="151"/>
    </x:row>
    <x:row r="40">
      <x:c r="A40" s="151"/>
      <x:c r="B40" s="151"/>
      <x:c r="C40" s="151"/>
      <x:c r="D40" s="151"/>
      <x:c r="E40" s="151"/>
      <x:c r="F40" s="151"/>
      <x:c r="G40" s="151"/>
      <x:c r="H40" s="151"/>
      <x:c r="I40" s="151"/>
      <x:c r="J40" s="167"/>
      <x:c r="K40" s="168"/>
      <x:c r="L40" s="151"/>
      <x:c r="M40" s="151"/>
      <x:c r="N40" s="151"/>
    </x:row>
    <x:row r="41">
      <x:c r="A41" s="151"/>
      <x:c r="B41" s="151"/>
      <x:c r="C41" s="151"/>
      <x:c r="D41" s="151"/>
      <x:c r="E41" s="151"/>
      <x:c r="F41" s="151"/>
      <x:c r="G41" s="151"/>
      <x:c r="H41" s="151"/>
      <x:c r="I41" s="151"/>
      <x:c r="J41" s="167"/>
      <x:c r="K41" s="168"/>
      <x:c r="L41" s="151"/>
      <x:c r="M41" s="151"/>
      <x:c r="N41" s="151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e2692738a7f480a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42" t="str">
        <x:v>Analytiikka 1–10 Dashboard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Koonti lisätyistä ETA-, tyhjä ajo-, €/km-, CO₂-, asiakas-, reittihistoria- ja riskimittareista.</x:v>
      </x:c>
    </x:row>
    <x:row r="4">
      <x:c r="A4" s="172" t="str">
        <x:v>Lisätyt analytiikkaominaisuudet</x:v>
      </x:c>
    </x:row>
    <x:row r="5">
      <x:c r="A5" s="148" t="str">
        <x:v>#</x:v>
      </x:c>
      <x:c r="B5" s="148" t="str">
        <x:v>Ominaisuus</x:v>
      </x:c>
      <x:c r="C5" s="148" t="str">
        <x:v>Välilehti</x:v>
      </x:c>
      <x:c r="D5" s="148" t="str">
        <x:v>Mitä tekee</x:v>
      </x:c>
      <x:c r="E5" s="148" t="str">
        <x:v>Status</x:v>
      </x:c>
      <x:c r="F5" s="148" t="str">
        <x:v>Huomio</x:v>
      </x:c>
    </x:row>
    <x:row r="6">
      <x:c r="A6" s="151" t="n">
        <x:v>1</x:v>
      </x:c>
      <x:c r="B6" s="151" t="str">
        <x:v>ETA-laskenta</x:v>
      </x:c>
      <x:c r="C6" s="151" t="str">
        <x:v>ETA-laskenta</x:v>
      </x:c>
      <x:c r="D6" s="151" t="str">
        <x:v>Laskee ETA:n ja myöhästymisriskin</x:v>
      </x:c>
      <x:c r="E6" s="151" t="str">
        <x:v>Valmis</x:v>
      </x:c>
      <x:c r="F6" s="151" t="str"/>
    </x:row>
    <x:row r="7">
      <x:c r="A7" s="151" t="n">
        <x:v>2</x:v>
      </x:c>
      <x:c r="B7" s="151" t="str">
        <x:v>Ajopäivän simulointi</x:v>
      </x:c>
      <x:c r="C7" s="151" t="str">
        <x:v>Ajopäivän simulointi</x:v>
      </x:c>
      <x:c r="D7" s="151" t="str">
        <x:v>Rakentaa kuljettajan päivän aikajanan</x:v>
      </x:c>
      <x:c r="E7" s="151" t="str">
        <x:v>Valmis</x:v>
      </x:c>
      <x:c r="F7" s="151" t="str"/>
    </x:row>
    <x:row r="8">
      <x:c r="A8" s="151" t="n">
        <x:v>3</x:v>
      </x:c>
      <x:c r="B8" s="151" t="str">
        <x:v>Tyhjä ajo</x:v>
      </x:c>
      <x:c r="C8" s="151" t="str">
        <x:v>Tyhjä ajo</x:v>
      </x:c>
      <x:c r="D8" s="151" t="str">
        <x:v>Seuraa empty km ja empty %</x:v>
      </x:c>
      <x:c r="E8" s="151" t="str">
        <x:v>Valmis</x:v>
      </x:c>
      <x:c r="F8" s="151" t="str"/>
    </x:row>
    <x:row r="9">
      <x:c r="A9" s="151" t="n">
        <x:v>4</x:v>
      </x:c>
      <x:c r="B9" s="151" t="str">
        <x:v>€/km KPI</x:v>
      </x:c>
      <x:c r="C9" s="151" t="str">
        <x:v>€/km KPI</x:v>
      </x:c>
      <x:c r="D9" s="151" t="str">
        <x:v>Revenue/cost/profit €/km</x:v>
      </x:c>
      <x:c r="E9" s="151" t="str">
        <x:v>Valmis</x:v>
      </x:c>
      <x:c r="F9" s="151" t="str"/>
    </x:row>
    <x:row r="10">
      <x:c r="A10" s="151" t="n">
        <x:v>5</x:v>
      </x:c>
      <x:c r="B10" s="151" t="str">
        <x:v>Trailerityypin vaikutus</x:v>
      </x:c>
      <x:c r="C10" s="151" t="str">
        <x:v>Trailerityyppi vaikutus</x:v>
      </x:c>
      <x:c r="D10" s="151" t="str">
        <x:v>Kapasiteetti, lisät, CO₂ ja riski</x:v>
      </x:c>
      <x:c r="E10" s="151" t="str">
        <x:v>Valmis</x:v>
      </x:c>
      <x:c r="F10" s="151" t="str"/>
    </x:row>
    <x:row r="11">
      <x:c r="A11" s="151" t="n">
        <x:v>6</x:v>
      </x:c>
      <x:c r="B11" s="151" t="str">
        <x:v>CO₂ per lava/tonni</x:v>
      </x:c>
      <x:c r="C11" s="151" t="str">
        <x:v>CO2 yksikkökohtainen</x:v>
      </x:c>
      <x:c r="D11" s="151" t="str">
        <x:v>Päästöt asiakkaalle raportoitavina yksikköinä</x:v>
      </x:c>
      <x:c r="E11" s="151" t="str">
        <x:v>Valmis</x:v>
      </x:c>
      <x:c r="F11" s="151" t="str"/>
    </x:row>
    <x:row r="12">
      <x:c r="A12" s="151" t="n">
        <x:v>7</x:v>
      </x:c>
      <x:c r="B12" s="151" t="str">
        <x:v>Asiakas-analyysi</x:v>
      </x:c>
      <x:c r="C12" s="151" t="str">
        <x:v>Asiakas analyysi</x:v>
      </x:c>
      <x:c r="D12" s="151" t="str">
        <x:v>Asiakaskohtainen kannattavuus ja palvelutaso</x:v>
      </x:c>
      <x:c r="E12" s="151" t="str">
        <x:v>Valmis</x:v>
      </x:c>
      <x:c r="F12" s="151" t="str"/>
    </x:row>
    <x:row r="13">
      <x:c r="A13" s="151" t="n">
        <x:v>8</x:v>
      </x:c>
      <x:c r="B13" s="151" t="str">
        <x:v>Reittihistoria</x:v>
      </x:c>
      <x:c r="C13" s="151" t="str">
        <x:v>Reittihistoria</x:v>
      </x:c>
      <x:c r="D13" s="151" t="str">
        <x:v>Historiadata Power BI:tä varten</x:v>
      </x:c>
      <x:c r="E13" s="151" t="str">
        <x:v>Valmis</x:v>
      </x:c>
      <x:c r="F13" s="151" t="str"/>
    </x:row>
    <x:row r="14">
      <x:c r="A14" s="151" t="n">
        <x:v>9</x:v>
      </x:c>
      <x:c r="B14" s="151" t="str">
        <x:v>Riskivaroitukset</x:v>
      </x:c>
      <x:c r="C14" s="151" t="str">
        <x:v>Riskivaroitukset</x:v>
      </x:c>
      <x:c r="D14" s="151" t="str">
        <x:v>Automaattiset punainen/keltainen/OK -varoitukset</x:v>
      </x:c>
      <x:c r="E14" s="151" t="str">
        <x:v>Valmis</x:v>
      </x:c>
      <x:c r="F14" s="151" t="str"/>
    </x:row>
    <x:row r="15">
      <x:c r="A15" s="151" t="n">
        <x:v>10</x:v>
      </x:c>
      <x:c r="B15" s="151" t="str">
        <x:v>Karttadata</x:v>
      </x:c>
      <x:c r="C15" s="151" t="str">
        <x:v>PowerBI karttadata</x:v>
      </x:c>
      <x:c r="D15" s="151" t="str">
        <x:v>Valmis lähdetaulu Power BI Map/ArcGIS-kartalle</x:v>
      </x:c>
      <x:c r="E15" s="151" t="str">
        <x:v>Valmis</x:v>
      </x:c>
      <x:c r="F15" s="151" t="str"/>
    </x:row>
    <x:row r="18">
      <x:c r="A18" s="172" t="str">
        <x:v>Nopeat KPI:t</x:v>
      </x:c>
    </x:row>
    <x:row r="19">
      <x:c r="A19" s="148" t="str">
        <x:v>KPI</x:v>
      </x:c>
      <x:c r="B19" s="148" t="str">
        <x:v>Arvo</x:v>
      </x:c>
      <x:c r="C19" s="148" t="str">
        <x:v>Tavoite</x:v>
      </x:c>
      <x:c r="D19" s="148" t="str">
        <x:v>Status</x:v>
      </x:c>
      <x:c r="E19" s="148" t="str">
        <x:v>Lähde</x:v>
      </x:c>
      <x:c r="F19" s="148" t="str">
        <x:v>Huomio</x:v>
      </x:c>
    </x:row>
    <x:row r="20">
      <x:c r="A20" t="str">
        <x:v>Myöhässä ETA-rivejä</x:v>
      </x:c>
      <x:c r="B20" s="154" t="n">
        <x:f>COUNTIF('ETA-laskenta'!K5:K41,"Myöhässä")</x:f>
        <x:v>0</x:v>
      </x:c>
      <x:c r="C20" s="154" t="str">
        <x:v>0</x:v>
      </x:c>
      <x:c r="D20" s="154" t="str">
        <x:f>IF(B20&gt;0,"Punainen","OK")</x:f>
        <x:v>OK</x:v>
      </x:c>
      <x:c r="E20" t="str">
        <x:v>ETA-laskenta</x:v>
      </x:c>
      <x:c r="F20" t="str"/>
    </x:row>
    <x:row r="21">
      <x:c r="A21" t="str">
        <x:v>Empty km % keskiarvo</x:v>
      </x:c>
      <x:c r="B21" s="158" t="n">
        <x:f>AVERAGE('Tyhjä ajo'!F5:F41)</x:f>
        <x:v>0.12128639334521689</x:v>
      </x:c>
      <x:c r="C21" s="154" t="str">
        <x:v>&lt;= 15 %</x:v>
      </x:c>
      <x:c r="D21" s="154" t="str">
        <x:f>IF(B21&gt;0.18,"Punainen",IF(B21&gt;0.15,"Keltainen","OK"))</x:f>
        <x:v>OK</x:v>
      </x:c>
      <x:c r="E21" t="str">
        <x:v>Tyhjä ajo</x:v>
      </x:c>
      <x:c r="F21" t="str"/>
    </x:row>
    <x:row r="22">
      <x:c r="A22" t="str">
        <x:v>Alle tavoite €/km</x:v>
      </x:c>
      <x:c r="B22" s="158" t="n">
        <x:f>COUNTIF('€/km KPI'!J5:J41,"Alle tavoite")</x:f>
        <x:v>0</x:v>
      </x:c>
      <x:c r="C22" s="154" t="str">
        <x:v>0</x:v>
      </x:c>
      <x:c r="D22" s="154" t="str">
        <x:f>IF(B22&gt;0,"Punainen","OK")</x:f>
        <x:v>OK</x:v>
      </x:c>
      <x:c r="E22" t="str">
        <x:v>€/km KPI</x:v>
      </x:c>
      <x:c r="F22" t="str"/>
    </x:row>
    <x:row r="23">
      <x:c r="A23" t="str">
        <x:v>Keskikate asiakas</x:v>
      </x:c>
      <x:c r="B23" s="158" t="n">
        <x:f>AVERAGE('Asiakas analyysi'!F5:F41)</x:f>
        <x:v>0.15002240143369175</x:v>
      </x:c>
      <x:c r="C23" s="154" t="str">
        <x:v>&gt;= tavoite</x:v>
      </x:c>
      <x:c r="D23" s="154" t="str">
        <x:f>IF(B23&lt;0.15,"Keltainen","OK")</x:f>
        <x:v>OK</x:v>
      </x:c>
      <x:c r="E23" t="str">
        <x:v>Asiakas analyysi</x:v>
      </x:c>
      <x:c r="F23" t="str"/>
    </x:row>
    <x:row r="24">
      <x:c r="A24" t="str">
        <x:v>Punaiset riskit</x:v>
      </x:c>
      <x:c r="B24" s="154" t="n">
        <x:f>COUNTIF(Riskivaroitukset!M5:M41,"Punainen")</x:f>
        <x:v>2</x:v>
      </x:c>
      <x:c r="C24" s="154" t="str">
        <x:v>0</x:v>
      </x:c>
      <x:c r="D24" s="154" t="str">
        <x:f>IF(B24&gt;0,"Punainen","OK")</x:f>
        <x:v>Punainen</x:v>
      </x:c>
      <x:c r="E24" t="str">
        <x:v>Riskivaroitukset</x:v>
      </x:c>
      <x:c r="F24" t="str"/>
    </x:row>
  </x:sheetData>
  <x:mergeCells>
    <x:mergeCell ref="A1:N1"/>
    <x:mergeCell ref="A2:N2"/>
    <x:mergeCell ref="A4:N4"/>
    <x:mergeCell ref="A18:N18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20" hidden="0" customWidth="1"/>
    <x:col min="4" max="4" width="22" hidden="0" customWidth="1"/>
    <x:col min="5" max="5" width="16" hidden="0" customWidth="1"/>
    <x:col min="6" max="6" width="36" hidden="0" customWidth="1"/>
    <x:col min="7" max="7" width="12" hidden="0" customWidth="1"/>
    <x:col min="8" max="8" width="12" hidden="0" customWidth="1"/>
  </x:cols>
  <x:sheetData>
    <x:row r="1">
      <x:c r="A1" s="142" t="str">
        <x:v>Analytiikka 1–10 Testiraportti</x:v>
      </x:c>
    </x:row>
    <x:row r="2">
      <x:c r="A2" s="13" t="str">
        <x:v>Tarkistus ETA-, reittihistoria-, tyhjä ajo-, €/km-, CO₂- ja riskisivuille.</x:v>
      </x:c>
    </x:row>
    <x:row r="4">
      <x:c r="A4" s="148" t="str">
        <x:v>Testi</x:v>
      </x:c>
      <x:c r="B4" s="148" t="str">
        <x:v>Tarkistus</x:v>
      </x:c>
      <x:c r="C4" s="148" t="str">
        <x:v>Odotettu</x:v>
      </x:c>
      <x:c r="D4" s="148" t="str">
        <x:v>Tulos</x:v>
      </x:c>
      <x:c r="E4" s="148" t="str">
        <x:v>Status</x:v>
      </x:c>
      <x:c r="F4" s="148" t="str">
        <x:v>Huomio</x:v>
      </x:c>
    </x:row>
    <x:row r="5">
      <x:c r="A5" t="str">
        <x:v>Kaavavirheet</x:v>
      </x:c>
      <x:c r="B5" t="str">
        <x:v>Ei Excel-virhekoodeja</x:v>
      </x:c>
      <x:c r="C5" t="str">
        <x:v>0</x:v>
      </x:c>
      <x:c r="D5" t="str">
        <x:v>Tarkistettu työkalulla</x:v>
      </x:c>
      <x:c r="E5" t="str">
        <x:v>OK</x:v>
      </x:c>
      <x:c r="F5" t="str">
        <x:v>Virheskannaus ei löytänyt osumia</x:v>
      </x:c>
    </x:row>
    <x:row r="6">
      <x:c r="A6" t="str">
        <x:v>ETA</x:v>
      </x:c>
      <x:c r="B6" t="str">
        <x:v>ETA-status lasketaan</x:v>
      </x:c>
      <x:c r="C6" t="str">
        <x:v>Ajoissa</x:v>
      </x:c>
      <x:c r="D6" s="154" t="str">
        <x:f>'ETA-laskenta'!K5</x:f>
        <x:v>Ajoissa</x:v>
      </x:c>
      <x:c r="E6" s="154" t="str">
        <x:f>IF(D6="Ajoissa","OK","TARKISTA")</x:f>
        <x:v>OK</x:v>
      </x:c>
      <x:c r="F6" t="str">
        <x:v>ETA toimii</x:v>
      </x:c>
    </x:row>
    <x:row r="7">
      <x:c r="A7" t="str">
        <x:v>Tyhjä ajo</x:v>
      </x:c>
      <x:c r="B7" t="str">
        <x:v>Empty % lasketaan</x:v>
      </x:c>
      <x:c r="C7" t="str">
        <x:v>&lt;= 15 %</x:v>
      </x:c>
      <x:c r="D7" s="154" t="n">
        <x:f>'Tyhjä ajo'!F5</x:f>
        <x:v>0.12121212121212122</x:v>
      </x:c>
      <x:c r="E7" s="154" t="str">
        <x:f>IF(D7&lt;=0.15,"OK","TARKISTA")</x:f>
        <x:v>OK</x:v>
      </x:c>
      <x:c r="F7" t="str">
        <x:v>Empty % toimii</x:v>
      </x:c>
    </x:row>
    <x:row r="8">
      <x:c r="A8" t="str">
        <x:v>€/km KPI</x:v>
      </x:c>
      <x:c r="B8" t="str">
        <x:v>Status lasketaan</x:v>
      </x:c>
      <x:c r="C8" t="str">
        <x:v>Hyvä/OK</x:v>
      </x:c>
      <x:c r="D8" s="154" t="str">
        <x:f>'€/km KPI'!J5</x:f>
        <x:v>Hyvä</x:v>
      </x:c>
      <x:c r="E8" s="154" t="str">
        <x:f>IF(OR(D8="Hyvä",D8="OK"),"OK","TARKISTA")</x:f>
        <x:v>OK</x:v>
      </x:c>
      <x:c r="F8" t="str">
        <x:v>€/km benchmark toimii</x:v>
      </x:c>
    </x:row>
    <x:row r="9">
      <x:c r="A9" t="str">
        <x:v>CO₂</x:v>
      </x:c>
      <x:c r="B9" t="str">
        <x:v>CO₂/lava lasketaan</x:v>
      </x:c>
      <x:c r="C9" t="str">
        <x:v>luku</x:v>
      </x:c>
      <x:c r="D9" s="154" t="n">
        <x:f>'CO2 yksikkökohtainen'!J5</x:f>
        <x:v>16.916666666666668</x:v>
      </x:c>
      <x:c r="E9" s="154" t="str">
        <x:f>IF(D9&gt;0,"OK","TARKISTA")</x:f>
        <x:v>OK</x:v>
      </x:c>
      <x:c r="F9" t="str">
        <x:v>CO₂ per lava toimii</x:v>
      </x:c>
    </x:row>
    <x:row r="10">
      <x:c r="A10" t="str">
        <x:v>Asiakas analyysi</x:v>
      </x:c>
      <x:c r="B10" t="str">
        <x:v>Asiakasstatus lasketaan</x:v>
      </x:c>
      <x:c r="C10" t="str">
        <x:v>OK</x:v>
      </x:c>
      <x:c r="D10" s="154" t="str">
        <x:f>'Asiakas analyysi'!L5</x:f>
        <x:v>OK</x:v>
      </x:c>
      <x:c r="E10" s="154" t="str">
        <x:f>IF(D10="OK","OK","TARKISTA")</x:f>
        <x:v>OK</x:v>
      </x:c>
      <x:c r="F10" t="str">
        <x:v>Asiakaskate toimii</x:v>
      </x:c>
    </x:row>
    <x:row r="11">
      <x:c r="A11" t="str">
        <x:v>Reittihistoria</x:v>
      </x:c>
      <x:c r="B11" t="str">
        <x:v>Kate % lasketaan</x:v>
      </x:c>
      <x:c r="C11" t="str">
        <x:v>luku</x:v>
      </x:c>
      <x:c r="D11" s="154" t="n">
        <x:f>Reittihistoria!K5</x:f>
        <x:v>0.22115384615384615</x:v>
      </x:c>
      <x:c r="E11" s="154" t="str">
        <x:f>IF(D11&gt;0,"OK","TARKISTA")</x:f>
        <x:v>OK</x:v>
      </x:c>
      <x:c r="F11" t="str">
        <x:v>Historiadata toimii</x:v>
      </x:c>
    </x:row>
    <x:row r="12">
      <x:c r="A12" t="str">
        <x:v>Riskivaroitukset</x:v>
      </x:c>
      <x:c r="B12" t="str">
        <x:v>Punaiset riskit tunnistetaan</x:v>
      </x:c>
      <x:c r="C12" t="str">
        <x:v>2</x:v>
      </x:c>
      <x:c r="D12" s="154" t="n">
        <x:f>COUNTIF(Riskivaroitukset!M5:M41,"Punainen")</x:f>
        <x:v>2</x:v>
      </x:c>
      <x:c r="E12" s="154" t="str">
        <x:f>IF(D12=2,"OK","TARKISTA")</x:f>
        <x:v>OK</x:v>
      </x:c>
      <x:c r="F12" t="str">
        <x:v>Riskisäännöt toimivat</x:v>
      </x:c>
    </x:row>
    <x:row r="13">
      <x:c r="A13" t="str">
        <x:v>Karttadata</x:v>
      </x:c>
      <x:c r="B13" t="str">
        <x:v>Koordinaatit olemassa</x:v>
      </x:c>
      <x:c r="C13" t="str">
        <x:v>lat/lon</x:v>
      </x:c>
      <x:c r="D13" s="154" t="n">
        <x:f>'PowerBI karttadata'!D5</x:f>
        <x:v>60.2934</x:v>
      </x:c>
      <x:c r="E13" s="154" t="str">
        <x:f>IF(D13&gt;0,"OK","TARKISTA")</x:f>
        <x:v>OK</x:v>
      </x:c>
      <x:c r="F13" t="str">
        <x:v>Power BI Map -data toimii</x:v>
      </x:c>
    </x:row>
  </x:sheetData>
  <x:mergeCells>
    <x:mergeCell ref="A1:H1"/>
    <x:mergeCell ref="A2:H2"/>
  </x:mergeCells>
  <x:conditionalFormatting sqref="E5:E13">
    <x:cfRule type="expression" dxfId="6" priority="1">
      <x:formula>E5="OK"</x:formula>
    </x:cfRule>
    <x:cfRule type="expression" dxfId="7" priority="2">
      <x:formula>E5="TARKISTA"</x:formula>
    </x:cfRule>
  </x:conditionalFormatting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18" hidden="0" customWidth="1"/>
    <x:col min="14" max="14" width="26" hidden="0" customWidth="1"/>
  </x:cols>
  <x:sheetData>
    <x:row r="1">
      <x:c r="A1" s="182" t="str">
        <x:v>AI Score Dashboard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Reittivaihtoehtojen pisteytys: km, ajoaika, täyttöaste, kate ja riski.</x:v>
      </x:c>
    </x:row>
    <x:row r="4">
      <x:c r="A4" s="186" t="str">
        <x:v>Painotettu optimointi</x:v>
      </x:c>
    </x:row>
    <x:row r="5">
      <x:c r="A5" s="192" t="str">
        <x:v>Vaihtoehto</x:v>
      </x:c>
      <x:c r="B5" s="192" t="str">
        <x:v>Reitti</x:v>
      </x:c>
      <x:c r="C5" s="192" t="str">
        <x:v>Km</x:v>
      </x:c>
      <x:c r="D5" s="192" t="str">
        <x:v>Ajoaika h</x:v>
      </x:c>
      <x:c r="E5" s="192" t="str">
        <x:v>Täyttöaste</x:v>
      </x:c>
      <x:c r="F5" s="192" t="str">
        <x:v>Kate %</x:v>
      </x:c>
      <x:c r="G5" s="192" t="str">
        <x:v>Riski</x:v>
      </x:c>
      <x:c r="H5" s="192" t="str">
        <x:v>Km-score</x:v>
      </x:c>
      <x:c r="I5" s="192" t="str">
        <x:v>Aika-score</x:v>
      </x:c>
      <x:c r="J5" s="192" t="str">
        <x:v>Täyttö-score</x:v>
      </x:c>
      <x:c r="K5" s="192" t="str">
        <x:v>Kate-score</x:v>
      </x:c>
      <x:c r="L5" s="192" t="str">
        <x:v>Riski-score</x:v>
      </x:c>
      <x:c r="M5" s="192" t="str">
        <x:v>Kokonaispiste</x:v>
      </x:c>
      <x:c r="N5" s="192" t="str">
        <x:v>Päätös</x:v>
      </x:c>
    </x:row>
    <x:row r="6">
      <x:c r="A6" s="194" t="str">
        <x:f>Optimointi!A5</x:f>
        <x:v>R1</x:v>
      </x:c>
      <x:c r="B6" s="194" t="str">
        <x:f>Optimointi!B5</x:f>
        <x:v>Vantaa → Tampere → Pori</x:v>
      </x:c>
      <x:c r="C6" s="194" t="n">
        <x:f>Optimointi!C5</x:f>
        <x:v>290</x:v>
      </x:c>
      <x:c r="D6" s="194" t="n">
        <x:f>Optimointi!D5</x:f>
        <x:v>3.9</x:v>
      </x:c>
      <x:c r="E6" s="195" t="n">
        <x:f>Optimointi!E5</x:f>
        <x:v>0.5454545454545454</x:v>
      </x:c>
      <x:c r="F6" s="195" t="n">
        <x:f>Optimointi!F5</x:f>
        <x:v>0.18</x:v>
      </x:c>
      <x:c r="G6" s="194" t="n">
        <x:f>Optimointi!G5</x:f>
        <x:v>2</x:v>
      </x:c>
      <x:c r="H6" s="196" t="n">
        <x:f>Optimointi!H5</x:f>
        <x:v>91.11111111111111</x:v>
      </x:c>
      <x:c r="I6" s="196" t="n">
        <x:f>Optimointi!I5</x:f>
        <x:v>85</x:v>
      </x:c>
      <x:c r="J6" s="196" t="n">
        <x:f>Optimointi!J5</x:f>
        <x:v>57.41626794258373</x:v>
      </x:c>
      <x:c r="K6" s="196" t="n">
        <x:f>Optimointi!K5</x:f>
        <x:v>66.66666666666666</x:v>
      </x:c>
      <x:c r="L6" s="196" t="n">
        <x:f>Optimointi!L5</x:f>
        <x:v>75</x:v>
      </x:c>
      <x:c r="M6" s="196" t="n">
        <x:f>Optimointi!M5</x:f>
        <x:v>76.18740031897926</x:v>
      </x:c>
      <x:c r="N6" s="194" t="str">
        <x:f>Optimointi!N5</x:f>
        <x:v>SUOSITUS</x:v>
      </x:c>
    </x:row>
    <x:row r="7">
      <x:c r="A7" s="194" t="str">
        <x:f>Optimointi!A6</x:f>
        <x:v>R2</x:v>
      </x:c>
      <x:c r="B7" s="194" t="str">
        <x:f>Optimointi!B6</x:f>
        <x:v>Vantaa → Pori → Tampere</x:v>
      </x:c>
      <x:c r="C7" s="194" t="n">
        <x:f>Optimointi!C6</x:f>
        <x:v>330</x:v>
      </x:c>
      <x:c r="D7" s="194" t="n">
        <x:f>Optimointi!D6</x:f>
        <x:v>4.4</x:v>
      </x:c>
      <x:c r="E7" s="195" t="n">
        <x:f>Optimointi!E6</x:f>
        <x:v>0.5454545454545454</x:v>
      </x:c>
      <x:c r="F7" s="195" t="n">
        <x:f>Optimointi!F6</x:f>
        <x:v>0.15</x:v>
      </x:c>
      <x:c r="G7" s="194" t="n">
        <x:f>Optimointi!G6</x:f>
        <x:v>3</x:v>
      </x:c>
      <x:c r="H7" s="196" t="n">
        <x:f>Optimointi!H6</x:f>
        <x:v>82.22222222222221</x:v>
      </x:c>
      <x:c r="I7" s="196" t="n">
        <x:f>Optimointi!I6</x:f>
        <x:v>76.66666666666666</x:v>
      </x:c>
      <x:c r="J7" s="196" t="n">
        <x:f>Optimointi!J6</x:f>
        <x:v>57.41626794258373</x:v>
      </x:c>
      <x:c r="K7" s="196" t="n">
        <x:f>Optimointi!K6</x:f>
        <x:v>41.66666666666666</x:v>
      </x:c>
      <x:c r="L7" s="196" t="n">
        <x:f>Optimointi!L6</x:f>
        <x:v>62.5</x:v>
      </x:c>
      <x:c r="M7" s="196" t="n">
        <x:f>Optimointi!M6</x:f>
        <x:v>66.85406698564593</x:v>
      </x:c>
      <x:c r="N7" s="194" t="n">
        <x:f>Optimointi!N6</x:f>
        <x:v>0</x:v>
      </x:c>
    </x:row>
    <x:row r="8">
      <x:c r="A8" s="194" t="str">
        <x:f>Optimointi!A7</x:f>
        <x:v>R3</x:v>
      </x:c>
      <x:c r="B8" s="194" t="str">
        <x:f>Optimointi!B7</x:f>
        <x:v>Vantaa → Tampere → Pori → Oulu</x:v>
      </x:c>
      <x:c r="C8" s="194" t="n">
        <x:f>Optimointi!C7</x:f>
        <x:v>610</x:v>
      </x:c>
      <x:c r="D8" s="194" t="n">
        <x:f>Optimointi!D7</x:f>
        <x:v>8.1</x:v>
      </x:c>
      <x:c r="E8" s="195" t="n">
        <x:f>Optimointi!E7</x:f>
        <x:v>0.9090909090909091</x:v>
      </x:c>
      <x:c r="F8" s="195" t="n">
        <x:f>Optimointi!F7</x:f>
        <x:v>0.16</x:v>
      </x:c>
      <x:c r="G8" s="194" t="n">
        <x:f>Optimointi!G7</x:f>
        <x:v>5</x:v>
      </x:c>
      <x:c r="H8" s="196" t="n">
        <x:f>Optimointi!H7</x:f>
        <x:v>19.999999999999996</x:v>
      </x:c>
      <x:c r="I8" s="196" t="n">
        <x:f>Optimointi!I7</x:f>
        <x:v>15.000000000000002</x:v>
      </x:c>
      <x:c r="J8" s="196" t="n">
        <x:f>Optimointi!J7</x:f>
        <x:v>95.69377990430623</x:v>
      </x:c>
      <x:c r="K8" s="196" t="n">
        <x:f>Optimointi!K7</x:f>
        <x:v>50</x:v>
      </x:c>
      <x:c r="L8" s="196" t="n">
        <x:f>Optimointi!L7</x:f>
        <x:v>37.5</x:v>
      </x:c>
      <x:c r="M8" s="196" t="n">
        <x:f>Optimointi!M7</x:f>
        <x:v>44.17344497607655</x:v>
      </x:c>
      <x:c r="N8" s="194" t="n">
        <x:f>Optimointi!N7</x:f>
        <x:v>0</x:v>
      </x:c>
    </x:row>
    <x:row r="9">
      <x:c r="A9" s="194" t="str">
        <x:f>Optimointi!A8</x:f>
        <x:v>R4</x:v>
      </x:c>
      <x:c r="B9" s="194" t="str">
        <x:f>Optimointi!B8</x:f>
        <x:v>Jaetaan kahteen autoon</x:v>
      </x:c>
      <x:c r="C9" s="194" t="n">
        <x:f>Optimointi!C8</x:f>
        <x:v>410</x:v>
      </x:c>
      <x:c r="D9" s="194" t="n">
        <x:f>Optimointi!D8</x:f>
        <x:v>5.5</x:v>
      </x:c>
      <x:c r="E9" s="195" t="n">
        <x:f>Optimointi!E8</x:f>
        <x:v>0.2727272727272727</x:v>
      </x:c>
      <x:c r="F9" s="195" t="n">
        <x:f>Optimointi!F8</x:f>
        <x:v>0.1</x:v>
      </x:c>
      <x:c r="G9" s="194" t="n">
        <x:f>Optimointi!G8</x:f>
        <x:v>2</x:v>
      </x:c>
      <x:c r="H9" s="196" t="n">
        <x:f>Optimointi!H8</x:f>
        <x:v>64.44444444444444</x:v>
      </x:c>
      <x:c r="I9" s="196" t="n">
        <x:f>Optimointi!I8</x:f>
        <x:v>58.33333333333333</x:v>
      </x:c>
      <x:c r="J9" s="196" t="n">
        <x:f>Optimointi!J8</x:f>
        <x:v>28.708133971291865</x:v>
      </x:c>
      <x:c r="K9" s="196" t="n">
        <x:f>Optimointi!K8</x:f>
        <x:v>0</x:v>
      </x:c>
      <x:c r="L9" s="196" t="n">
        <x:f>Optimointi!L8</x:f>
        <x:v>75</x:v>
      </x:c>
      <x:c r="M9" s="196" t="n">
        <x:f>Optimointi!M8</x:f>
        <x:v>45.677033492822964</x:v>
      </x:c>
      <x:c r="N9" s="194" t="n">
        <x:f>Optimointi!N8</x:f>
        <x:v>0</x:v>
      </x:c>
    </x:row>
    <x:row r="10">
      <x:c r="A10" s="194" t="str">
        <x:f>Optimointi!A9</x:f>
        <x:v>R5</x:v>
      </x:c>
      <x:c r="B10" s="194" t="str">
        <x:f>Optimointi!B9</x:f>
        <x:v>Vantaa → Turku → Tampere → Pori</x:v>
      </x:c>
      <x:c r="C10" s="194" t="n">
        <x:f>Optimointi!C9</x:f>
        <x:v>455</x:v>
      </x:c>
      <x:c r="D10" s="194" t="n">
        <x:f>Optimointi!D9</x:f>
        <x:v>6.1</x:v>
      </x:c>
      <x:c r="E10" s="195" t="n">
        <x:f>Optimointi!E9</x:f>
        <x:v>0.7272727272727273</x:v>
      </x:c>
      <x:c r="F10" s="195" t="n">
        <x:f>Optimointi!F9</x:f>
        <x:v>0.17</x:v>
      </x:c>
      <x:c r="G10" s="194" t="n">
        <x:f>Optimointi!G9</x:f>
        <x:v>4</x:v>
      </x:c>
      <x:c r="H10" s="196" t="n">
        <x:f>Optimointi!H9</x:f>
        <x:v>54.44444444444445</x:v>
      </x:c>
      <x:c r="I10" s="196" t="n">
        <x:f>Optimointi!I9</x:f>
        <x:v>48.33333333333334</x:v>
      </x:c>
      <x:c r="J10" s="196" t="n">
        <x:f>Optimointi!J9</x:f>
        <x:v>76.55502392344499</x:v>
      </x:c>
      <x:c r="K10" s="196" t="n">
        <x:f>Optimointi!K9</x:f>
        <x:v>58.333333333333336</x:v>
      </x:c>
      <x:c r="L10" s="196" t="n">
        <x:f>Optimointi!L9</x:f>
        <x:v>50</x:v>
      </x:c>
      <x:c r="M10" s="196" t="n">
        <x:f>Optimointi!M9</x:f>
        <x:v>58.888755980861255</x:v>
      </x:c>
      <x:c r="N10" s="194" t="n">
        <x:f>Optimointi!N9</x:f>
        <x:v>0</x:v>
      </x:c>
    </x:row>
    <x:row r="11">
      <x:c r="A11" s="194" t="str">
        <x:f>Optimointi!A10</x:f>
      </x:c>
      <x:c r="B11" s="194" t="str">
        <x:f>Optimointi!B10</x:f>
      </x:c>
      <x:c r="C11" s="194" t="str">
        <x:f>Optimointi!C10</x:f>
      </x:c>
      <x:c r="D11" s="194" t="str">
        <x:f>Optimointi!D10</x:f>
      </x:c>
      <x:c r="E11" s="195" t="str">
        <x:f>Optimointi!E10</x:f>
      </x:c>
      <x:c r="F11" s="195" t="str">
        <x:f>Optimointi!F10</x:f>
      </x:c>
      <x:c r="G11" s="194" t="str">
        <x:f>Optimointi!G10</x:f>
      </x:c>
      <x:c r="H11" s="196" t="str">
        <x:f>Optimointi!H10</x:f>
      </x:c>
      <x:c r="I11" s="196" t="str">
        <x:f>Optimointi!I10</x:f>
      </x:c>
      <x:c r="J11" s="196" t="str">
        <x:f>Optimointi!J10</x:f>
      </x:c>
      <x:c r="K11" s="196" t="str">
        <x:f>Optimointi!K10</x:f>
      </x:c>
      <x:c r="L11" s="196" t="str">
        <x:f>Optimointi!L10</x:f>
      </x:c>
      <x:c r="M11" s="196" t="str">
        <x:f>Optimointi!M10</x:f>
      </x:c>
      <x:c r="N11" s="194" t="n">
        <x:f>Optimointi!N10</x:f>
        <x:v>0</x:v>
      </x:c>
    </x:row>
    <x:row r="12">
      <x:c r="A12" s="194" t="str">
        <x:f>Optimointi!A11</x:f>
      </x:c>
      <x:c r="B12" s="194" t="str">
        <x:f>Optimointi!B11</x:f>
      </x:c>
      <x:c r="C12" s="194" t="str">
        <x:f>Optimointi!C11</x:f>
      </x:c>
      <x:c r="D12" s="194" t="str">
        <x:f>Optimointi!D11</x:f>
      </x:c>
      <x:c r="E12" s="195" t="str">
        <x:f>Optimointi!E11</x:f>
      </x:c>
      <x:c r="F12" s="195" t="str">
        <x:f>Optimointi!F11</x:f>
      </x:c>
      <x:c r="G12" s="194" t="str">
        <x:f>Optimointi!G11</x:f>
      </x:c>
      <x:c r="H12" s="196" t="str">
        <x:f>Optimointi!H11</x:f>
      </x:c>
      <x:c r="I12" s="196" t="str">
        <x:f>Optimointi!I11</x:f>
      </x:c>
      <x:c r="J12" s="196" t="str">
        <x:f>Optimointi!J11</x:f>
      </x:c>
      <x:c r="K12" s="196" t="str">
        <x:f>Optimointi!K11</x:f>
      </x:c>
      <x:c r="L12" s="196" t="str">
        <x:f>Optimointi!L11</x:f>
      </x:c>
      <x:c r="M12" s="196" t="str">
        <x:f>Optimointi!M11</x:f>
      </x:c>
      <x:c r="N12" s="194" t="n">
        <x:f>Optimointi!N11</x:f>
        <x:v>0</x:v>
      </x:c>
    </x:row>
    <x:row r="13">
      <x:c r="A13" s="194" t="str">
        <x:f>Optimointi!A12</x:f>
      </x:c>
      <x:c r="B13" s="194" t="str">
        <x:f>Optimointi!B12</x:f>
      </x:c>
      <x:c r="C13" s="194" t="str">
        <x:f>Optimointi!C12</x:f>
      </x:c>
      <x:c r="D13" s="194" t="str">
        <x:f>Optimointi!D12</x:f>
      </x:c>
      <x:c r="E13" s="195" t="str">
        <x:f>Optimointi!E12</x:f>
      </x:c>
      <x:c r="F13" s="195" t="str">
        <x:f>Optimointi!F12</x:f>
      </x:c>
      <x:c r="G13" s="194" t="str">
        <x:f>Optimointi!G12</x:f>
      </x:c>
      <x:c r="H13" s="196" t="str">
        <x:f>Optimointi!H12</x:f>
      </x:c>
      <x:c r="I13" s="196" t="str">
        <x:f>Optimointi!I12</x:f>
      </x:c>
      <x:c r="J13" s="196" t="str">
        <x:f>Optimointi!J12</x:f>
      </x:c>
      <x:c r="K13" s="196" t="str">
        <x:f>Optimointi!K12</x:f>
      </x:c>
      <x:c r="L13" s="196" t="str">
        <x:f>Optimointi!L12</x:f>
      </x:c>
      <x:c r="M13" s="196" t="str">
        <x:f>Optimointi!M12</x:f>
      </x:c>
      <x:c r="N13" s="194" t="n">
        <x:f>Optimointi!N12</x:f>
        <x:v>0</x:v>
      </x:c>
    </x:row>
    <x:row r="14">
      <x:c r="A14" s="194" t="str">
        <x:f>Optimointi!A13</x:f>
      </x:c>
      <x:c r="B14" s="194" t="str">
        <x:f>Optimointi!B13</x:f>
      </x:c>
      <x:c r="C14" s="194" t="str">
        <x:f>Optimointi!C13</x:f>
      </x:c>
      <x:c r="D14" s="194" t="str">
        <x:f>Optimointi!D13</x:f>
      </x:c>
      <x:c r="E14" s="195" t="str">
        <x:f>Optimointi!E13</x:f>
      </x:c>
      <x:c r="F14" s="195" t="str">
        <x:f>Optimointi!F13</x:f>
      </x:c>
      <x:c r="G14" s="194" t="str">
        <x:f>Optimointi!G13</x:f>
      </x:c>
      <x:c r="H14" s="196" t="str">
        <x:f>Optimointi!H13</x:f>
      </x:c>
      <x:c r="I14" s="196" t="str">
        <x:f>Optimointi!I13</x:f>
      </x:c>
      <x:c r="J14" s="196" t="str">
        <x:f>Optimointi!J13</x:f>
      </x:c>
      <x:c r="K14" s="196" t="str">
        <x:f>Optimointi!K13</x:f>
      </x:c>
      <x:c r="L14" s="196" t="str">
        <x:f>Optimointi!L13</x:f>
      </x:c>
      <x:c r="M14" s="196" t="str">
        <x:f>Optimointi!M13</x:f>
      </x:c>
      <x:c r="N14" s="194" t="n">
        <x:f>Optimointi!N13</x:f>
        <x:v>0</x:v>
      </x:c>
    </x:row>
    <x:row r="15">
      <x:c r="A15" s="194" t="n">
        <x:f>Optimointi!A14</x:f>
        <x:v>0</x:v>
      </x:c>
      <x:c r="B15" s="194" t="n">
        <x:f>Optimointi!B14</x:f>
        <x:v>0</x:v>
      </x:c>
      <x:c r="C15" s="194" t="n">
        <x:f>Optimointi!C14</x:f>
        <x:v>0</x:v>
      </x:c>
      <x:c r="D15" s="194" t="n">
        <x:f>Optimointi!D14</x:f>
        <x:v>0</x:v>
      </x:c>
      <x:c r="E15" s="195" t="n">
        <x:f>Optimointi!E14</x:f>
        <x:v>0</x:v>
      </x:c>
      <x:c r="F15" s="195" t="n">
        <x:f>Optimointi!F14</x:f>
        <x:v>0</x:v>
      </x:c>
      <x:c r="G15" s="194" t="n">
        <x:f>Optimointi!G14</x:f>
        <x:v>0</x:v>
      </x:c>
      <x:c r="H15" s="196" t="n">
        <x:f>Optimointi!H14</x:f>
        <x:v>0</x:v>
      </x:c>
      <x:c r="I15" s="196" t="n">
        <x:f>Optimointi!I14</x:f>
        <x:v>0</x:v>
      </x:c>
      <x:c r="J15" s="196" t="n">
        <x:f>Optimointi!J14</x:f>
        <x:v>0</x:v>
      </x:c>
      <x:c r="K15" s="196" t="n">
        <x:f>Optimointi!K14</x:f>
        <x:v>0</x:v>
      </x:c>
      <x:c r="L15" s="196" t="n">
        <x:f>Optimointi!L14</x:f>
        <x:v>0</x:v>
      </x:c>
      <x:c r="M15" s="196" t="n">
        <x:f>Optimointi!M14</x:f>
        <x:v>0</x:v>
      </x:c>
      <x:c r="N15" s="194" t="n">
        <x:f>Optimointi!N14</x:f>
        <x:v>0</x:v>
      </x:c>
    </x:row>
    <x:row r="18">
      <x:c r="A18" s="186" t="str">
        <x:v>Paras vaihtoehto</x:v>
      </x:c>
    </x:row>
    <x:row r="19">
      <x:c r="A19" s="192" t="str">
        <x:v>Reitti</x:v>
      </x:c>
      <x:c r="B19" s="192" t="str">
        <x:v>Pisteet</x:v>
      </x:c>
      <x:c r="C19" s="192" t="str">
        <x:v>Km</x:v>
      </x:c>
      <x:c r="D19" s="192" t="str">
        <x:v>Ajoaika</x:v>
      </x:c>
      <x:c r="E19" s="192" t="str">
        <x:v>Täyttöaste</x:v>
      </x:c>
      <x:c r="F19" s="192" t="str">
        <x:v>Kate %</x:v>
      </x:c>
      <x:c r="G19" s="192" t="str">
        <x:v>Riskitaso</x:v>
      </x:c>
      <x:c r="H19" s="192" t="str">
        <x:v>Päätös</x:v>
      </x:c>
      <x:c r="I19" s="192" t="str">
        <x:v>Perustelu</x:v>
      </x:c>
      <x:c r="J19" s="192" t="str">
        <x:v>Portfolio-huomio</x:v>
      </x:c>
    </x:row>
    <x:row r="20">
      <x:c r="A20" s="194" t="str">
        <x:f>Optimointi!B33</x:f>
        <x:v>Vantaa → Tampere → Pori</x:v>
      </x:c>
      <x:c r="B20" s="196" t="n">
        <x:f>Optimointi!C33</x:f>
        <x:v>76.18740031897926</x:v>
      </x:c>
      <x:c r="C20" s="196" t="n">
        <x:f>Optimointi!D33</x:f>
        <x:v>290</x:v>
      </x:c>
      <x:c r="D20" s="196" t="n">
        <x:f>Optimointi!E33</x:f>
        <x:v>3.9</x:v>
      </x:c>
      <x:c r="E20" s="195" t="n">
        <x:f>Optimointi!F33</x:f>
        <x:v>0.5454545454545454</x:v>
      </x:c>
      <x:c r="F20" s="195" t="n">
        <x:f>Optimointi!G33</x:f>
        <x:v>0.18</x:v>
      </x:c>
      <x:c r="G20" s="194" t="str">
        <x:f>Optimointi!H33</x:f>
        <x:v>Matala</x:v>
      </x:c>
      <x:c r="H20" s="194" t="str">
        <x:f>Optimointi!I33</x:f>
        <x:v>Aja tällä vaihtoehdolla</x:v>
      </x:c>
      <x:c r="I20" s="194" t="str">
        <x:f>Optimointi!J33</x:f>
        <x:v>ei taukopakkoa, täyttöaste tarkistettava, kate ok</x:v>
      </x:c>
      <x:c r="J20" s="194" t="str">
        <x:f>"Sääntöpohjainen AI-tyylinen score-malli"</x:f>
        <x:v>Sääntöpohjainen AI-tyylinen score-malli</x:v>
      </x:c>
    </x:row>
  </x:sheetData>
  <x:mergeCells>
    <x:mergeCell ref="A1:N1"/>
    <x:mergeCell ref="A2:N2"/>
    <x:mergeCell ref="A4:N4"/>
    <x:mergeCell ref="A18:N18"/>
  </x:mergeCells>
  <x:conditionalFormatting sqref="N6:N15">
    <x:cfRule type="expression" dxfId="8" priority="1">
      <x:formula>N6="SUOSITUS"</x:formula>
    </x:cfRule>
  </x:conditionalFormatting>
  <x:conditionalFormatting sqref="M6:M15">
    <x:cfRule type="colorScale" priority="2">
      <x:colorScale>
        <x:cfvo type="min"/>
        <x:cfvo type="percentile" val="50"/>
        <x:cfvo type="max"/>
        <x:color rgb="F4CCCC"/>
        <x:color rgb="FFF2CC"/>
        <x:color rgb="E2F0D9"/>
      </x:colorScale>
    </x:cfRule>
  </x:conditionalFormatting>
  <x:pageMargins left="0.7" right="0.7" top="0.75" bottom="0.75" header="0.3" footer="0.3"/>
  <x:drawing xmlns:r="http://schemas.openxmlformats.org/officeDocument/2006/relationships" r:id="Ra720b14da23b4c58"/>
</x:worksheet>
</file>

<file path=xl/worksheets/sheet3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8" hidden="0" customWidth="1"/>
  </x:cols>
  <x:sheetData>
    <x:row r="1">
      <x:c r="A1" s="182" t="str">
        <x:v>Trailer Layout – kuormatilan visualisointi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Visuaalinen 33 lavapaikan trailerin kuormatila ja purkujärjestys.</x:v>
      </x:c>
    </x:row>
    <x:row r="4">
      <x:c r="A4" s="186" t="str">
        <x:v>Trailerin layout</x:v>
      </x:c>
    </x:row>
    <x:row r="5">
      <x:c r="A5" s="192" t="str">
        <x:v>Ovi / perä</x:v>
      </x:c>
      <x:c r="B5" s="192" t="str">
        <x:v>1</x:v>
      </x:c>
      <x:c r="C5" s="192" t="str">
        <x:v>2</x:v>
      </x:c>
      <x:c r="D5" s="192" t="str">
        <x:v>3</x:v>
      </x:c>
      <x:c r="E5" s="192" t="str">
        <x:v>4</x:v>
      </x:c>
      <x:c r="F5" s="192" t="str">
        <x:v>5</x:v>
      </x:c>
      <x:c r="G5" s="192" t="str">
        <x:v>6</x:v>
      </x:c>
      <x:c r="H5" s="192" t="str">
        <x:v>7</x:v>
      </x:c>
      <x:c r="I5" s="192" t="str">
        <x:v>8</x:v>
      </x:c>
      <x:c r="J5" s="192" t="str">
        <x:v>9</x:v>
      </x:c>
      <x:c r="K5" s="192" t="str">
        <x:v>10</x:v>
      </x:c>
      <x:c r="L5" s="192" t="str">
        <x:v>11</x:v>
      </x:c>
      <x:c r="M5" s="192" t="str">
        <x:v>Keula</x:v>
      </x:c>
      <x:c r="N5" s="192" t="str">
        <x:v>Huomio</x:v>
      </x:c>
    </x:row>
    <x:row r="6">
      <x:c r="A6" s="202" t="str">
        <x:v>Rivi A</x:v>
      </x:c>
      <x:c r="B6" s="199" t="str">
        <x:v>A Tampere</x:v>
      </x:c>
      <x:c r="C6" s="199" t="str">
        <x:v>A Tampere</x:v>
      </x:c>
      <x:c r="D6" s="199" t="str">
        <x:v>A Tampere</x:v>
      </x:c>
      <x:c r="E6" s="199" t="str">
        <x:v>A Tampere</x:v>
      </x:c>
      <x:c r="F6" s="200" t="str">
        <x:v>B Pori</x:v>
      </x:c>
      <x:c r="G6" s="200" t="str">
        <x:v>B Pori</x:v>
      </x:c>
      <x:c r="H6" s="200" t="str">
        <x:v>B Pori</x:v>
      </x:c>
      <x:c r="I6" s="200" t="str">
        <x:v>B Pori</x:v>
      </x:c>
      <x:c r="J6" s="200" t="str">
        <x:v>B Pori</x:v>
      </x:c>
      <x:c r="K6" s="200" t="str">
        <x:v>B Pori</x:v>
      </x:c>
      <x:c r="L6" s="198" t="str"/>
      <x:c r="M6" s="202" t="str">
        <x:v>Keula</x:v>
      </x:c>
      <x:c r="N6" s="198" t="str">
        <x:v>A puretaan ensin, B viimeisenä</x:v>
      </x:c>
    </x:row>
    <x:row r="7">
      <x:c r="A7" s="202" t="str">
        <x:v>Rivi B</x:v>
      </x:c>
      <x:c r="B7" s="199" t="str">
        <x:v>A Tampere</x:v>
      </x:c>
      <x:c r="C7" s="199" t="str">
        <x:v>A Tampere</x:v>
      </x:c>
      <x:c r="D7" s="199" t="str">
        <x:v>A Tampere</x:v>
      </x:c>
      <x:c r="E7" s="199" t="str">
        <x:v>A Tampere</x:v>
      </x:c>
      <x:c r="F7" s="200" t="str">
        <x:v>B Pori</x:v>
      </x:c>
      <x:c r="G7" s="200" t="str">
        <x:v>B Pori</x:v>
      </x:c>
      <x:c r="H7" s="200" t="str">
        <x:v>B Pori</x:v>
      </x:c>
      <x:c r="I7" s="200" t="str">
        <x:v>B Pori</x:v>
      </x:c>
      <x:c r="J7" s="200" t="str"/>
      <x:c r="K7" s="200" t="str"/>
      <x:c r="L7" s="198" t="str"/>
      <x:c r="M7" s="202" t="str">
        <x:v>Keula</x:v>
      </x:c>
      <x:c r="N7" s="198" t="str"/>
    </x:row>
    <x:row r="8">
      <x:c r="A8" s="202" t="str">
        <x:v>Rivi C</x:v>
      </x:c>
      <x:c r="B8" s="198" t="str"/>
      <x:c r="C8" s="198" t="str"/>
      <x:c r="D8" s="198" t="str"/>
      <x:c r="E8" s="198" t="str"/>
      <x:c r="F8" s="198" t="str"/>
      <x:c r="G8" s="198" t="str"/>
      <x:c r="H8" s="198" t="str"/>
      <x:c r="I8" s="198" t="str"/>
      <x:c r="J8" s="198" t="str"/>
      <x:c r="K8" s="198" t="str"/>
      <x:c r="L8" s="198" t="str"/>
      <x:c r="M8" s="202" t="str">
        <x:v>Keula</x:v>
      </x:c>
      <x:c r="N8" s="198" t="str"/>
    </x:row>
    <x:row r="11">
      <x:c r="A11" s="186" t="str">
        <x:v>Kuormalista</x:v>
      </x:c>
    </x:row>
    <x:row r="12">
      <x:c r="A12" s="192" t="str">
        <x:v>Lähetys</x:v>
      </x:c>
      <x:c r="B12" s="192" t="str">
        <x:v>Toimitus</x:v>
      </x:c>
      <x:c r="C12" s="192" t="str">
        <x:v>Lavapaikat</x:v>
      </x:c>
      <x:c r="D12" s="192" t="str">
        <x:v>Paino kg</x:v>
      </x:c>
      <x:c r="E12" s="192" t="str">
        <x:v>Lämpö min</x:v>
      </x:c>
      <x:c r="F12" s="192" t="str">
        <x:v>Lämpö max</x:v>
      </x:c>
      <x:c r="G12" s="192" t="str">
        <x:v>ADR?</x:v>
      </x:c>
      <x:c r="H12" s="192" t="str">
        <x:v>Purkujärjestys</x:v>
      </x:c>
      <x:c r="I12" s="192" t="str">
        <x:v>Sijoitus</x:v>
      </x:c>
      <x:c r="J12" s="192" t="str">
        <x:v>Status</x:v>
      </x:c>
      <x:c r="K12" s="192" t="str">
        <x:v>Huomio</x:v>
      </x:c>
      <x:c r="L12" s="192" t="str"/>
      <x:c r="M12" s="192" t="str"/>
      <x:c r="N12" s="192" t="str"/>
    </x:row>
    <x:row r="13">
      <x:c r="A13" s="194" t="str">
        <x:f>Kuormaoptimointi!A5</x:f>
        <x:v>A</x:v>
      </x:c>
      <x:c r="B13" s="194" t="str">
        <x:f>Kuormaoptimointi!C5</x:f>
        <x:v>Tampere</x:v>
      </x:c>
      <x:c r="C13" s="194" t="n">
        <x:f>Kuormaoptimointi!D5</x:f>
        <x:v>8</x:v>
      </x:c>
      <x:c r="D13" s="194" t="n">
        <x:f>Kuormaoptimointi!E5</x:f>
        <x:v>2500</x:v>
      </x:c>
      <x:c r="E13" s="194" t="n">
        <x:f>Kuormaoptimointi!F5</x:f>
        <x:v>2</x:v>
      </x:c>
      <x:c r="F13" s="194" t="n">
        <x:f>Kuormaoptimointi!G5</x:f>
        <x:v>6</x:v>
      </x:c>
      <x:c r="G13" s="194" t="str">
        <x:f>Kuormaoptimointi!H5</x:f>
        <x:v>Ei</x:v>
      </x:c>
      <x:c r="H13" s="194" t="n">
        <x:f>Kuormaoptimointi!I5</x:f>
        <x:v>1</x:v>
      </x:c>
      <x:c r="I13" s="194" t="str">
        <x:f>Kuormaoptimointi!J5</x:f>
        <x:v>Perä</x:v>
      </x:c>
      <x:c r="J13" s="194" t="str">
        <x:f>Kuormaoptimointi!K5</x:f>
        <x:v>OK</x:v>
      </x:c>
      <x:c r="K13" s="194" t="str">
        <x:f>Kuormaoptimointi!M5</x:f>
        <x:v>Thermolisä</x:v>
      </x:c>
    </x:row>
    <x:row r="14">
      <x:c r="A14" s="194" t="str">
        <x:f>Kuormaoptimointi!A6</x:f>
        <x:v>B</x:v>
      </x:c>
      <x:c r="B14" s="194" t="str">
        <x:f>Kuormaoptimointi!C6</x:f>
        <x:v>Pori</x:v>
      </x:c>
      <x:c r="C14" s="194" t="n">
        <x:f>Kuormaoptimointi!D6</x:f>
        <x:v>10</x:v>
      </x:c>
      <x:c r="D14" s="194" t="n">
        <x:f>Kuormaoptimointi!E6</x:f>
        <x:v>3200</x:v>
      </x:c>
      <x:c r="E14" s="194" t="n">
        <x:f>Kuormaoptimointi!F6</x:f>
        <x:v>2</x:v>
      </x:c>
      <x:c r="F14" s="194" t="n">
        <x:f>Kuormaoptimointi!G6</x:f>
        <x:v>6</x:v>
      </x:c>
      <x:c r="G14" s="194" t="str">
        <x:f>Kuormaoptimointi!H6</x:f>
        <x:v>Ei</x:v>
      </x:c>
      <x:c r="H14" s="194" t="n">
        <x:f>Kuormaoptimointi!I6</x:f>
        <x:v>2</x:v>
      </x:c>
      <x:c r="I14" s="194" t="str">
        <x:f>Kuormaoptimointi!J6</x:f>
        <x:v>Keskiosa</x:v>
      </x:c>
      <x:c r="J14" s="194" t="str">
        <x:f>Kuormaoptimointi!K6</x:f>
        <x:v>OK</x:v>
      </x:c>
      <x:c r="K14" s="194" t="str">
        <x:f>Kuormaoptimointi!M6</x:f>
        <x:v>Thermolisä</x:v>
      </x:c>
    </x:row>
    <x:row r="15">
      <x:c r="A15" s="194" t="str">
        <x:f>Kuormaoptimointi!A7</x:f>
        <x:v>C</x:v>
      </x:c>
      <x:c r="B15" s="194" t="str">
        <x:f>Kuormaoptimointi!C7</x:f>
        <x:v>Oulu</x:v>
      </x:c>
      <x:c r="C15" s="194" t="n">
        <x:f>Kuormaoptimointi!D7</x:f>
        <x:v>12</x:v>
      </x:c>
      <x:c r="D15" s="194" t="n">
        <x:f>Kuormaoptimointi!E7</x:f>
        <x:v>5000</x:v>
      </x:c>
      <x:c r="E15" s="194" t="str">
        <x:f>Kuormaoptimointi!F7</x:f>
      </x:c>
      <x:c r="F15" s="194" t="str">
        <x:f>Kuormaoptimointi!G7</x:f>
      </x:c>
      <x:c r="G15" s="194" t="str">
        <x:f>Kuormaoptimointi!H7</x:f>
        <x:v>Ei</x:v>
      </x:c>
      <x:c r="H15" s="194" t="n">
        <x:f>Kuormaoptimointi!I7</x:f>
        <x:v>2</x:v>
      </x:c>
      <x:c r="I15" s="194" t="str">
        <x:f>Kuormaoptimointi!J7</x:f>
      </x:c>
      <x:c r="J15" s="194" t="str">
        <x:f>Kuormaoptimointi!K7</x:f>
      </x:c>
      <x:c r="K15" s="194" t="n">
        <x:f>Kuormaoptimointi!M7</x:f>
        <x:v>0</x:v>
      </x:c>
    </x:row>
    <x:row r="16">
      <x:c r="A16" s="194" t="str">
        <x:f>Kuormaoptimointi!A8</x:f>
        <x:v>D</x:v>
      </x:c>
      <x:c r="B16" s="194" t="str">
        <x:f>Kuormaoptimointi!C8</x:f>
        <x:v>Turku</x:v>
      </x:c>
      <x:c r="C16" s="194" t="n">
        <x:f>Kuormaoptimointi!D8</x:f>
        <x:v>6</x:v>
      </x:c>
      <x:c r="D16" s="194" t="n">
        <x:f>Kuormaoptimointi!E8</x:f>
        <x:v>1800</x:v>
      </x:c>
      <x:c r="E16" s="194" t="str">
        <x:f>Kuormaoptimointi!F8</x:f>
      </x:c>
      <x:c r="F16" s="194" t="str">
        <x:f>Kuormaoptimointi!G8</x:f>
      </x:c>
      <x:c r="G16" s="194" t="str">
        <x:f>Kuormaoptimointi!H8</x:f>
        <x:v>Kyllä</x:v>
      </x:c>
      <x:c r="H16" s="194" t="n">
        <x:f>Kuormaoptimointi!I8</x:f>
        <x:v>2</x:v>
      </x:c>
      <x:c r="I16" s="194" t="str">
        <x:f>Kuormaoptimointi!J8</x:f>
      </x:c>
      <x:c r="J16" s="194" t="str">
        <x:f>Kuormaoptimointi!K8</x:f>
      </x:c>
      <x:c r="K16" s="194" t="n">
        <x:f>Kuormaoptimointi!M8</x:f>
        <x:v>0</x:v>
      </x:c>
    </x:row>
    <x:row r="17">
      <x:c r="A17" s="194" t="str">
        <x:f>Kuormaoptimointi!A9</x:f>
      </x:c>
      <x:c r="B17" s="194" t="str">
        <x:f>Kuormaoptimointi!C9</x:f>
      </x:c>
      <x:c r="C17" s="194" t="str">
        <x:f>Kuormaoptimointi!D9</x:f>
      </x:c>
      <x:c r="D17" s="194" t="str">
        <x:f>Kuormaoptimointi!E9</x:f>
      </x:c>
      <x:c r="E17" s="194" t="str">
        <x:f>Kuormaoptimointi!F9</x:f>
      </x:c>
      <x:c r="F17" s="194" t="str">
        <x:f>Kuormaoptimointi!G9</x:f>
      </x:c>
      <x:c r="G17" s="194" t="str">
        <x:f>Kuormaoptimointi!H9</x:f>
      </x:c>
      <x:c r="H17" s="194" t="str">
        <x:f>Kuormaoptimointi!I9</x:f>
      </x:c>
      <x:c r="I17" s="194" t="str">
        <x:f>Kuormaoptimointi!J9</x:f>
      </x:c>
      <x:c r="J17" s="194" t="str">
        <x:f>Kuormaoptimointi!K9</x:f>
      </x:c>
      <x:c r="K17" s="194" t="n">
        <x:f>Kuormaoptimointi!M9</x:f>
        <x:v>0</x:v>
      </x:c>
    </x:row>
    <x:row r="18">
      <x:c r="A18" s="194" t="str">
        <x:f>Kuormaoptimointi!A10</x:f>
      </x:c>
      <x:c r="B18" s="194" t="str">
        <x:f>Kuormaoptimointi!C10</x:f>
      </x:c>
      <x:c r="C18" s="194" t="str">
        <x:f>Kuormaoptimointi!D10</x:f>
      </x:c>
      <x:c r="D18" s="194" t="str">
        <x:f>Kuormaoptimointi!E10</x:f>
      </x:c>
      <x:c r="E18" s="194" t="str">
        <x:f>Kuormaoptimointi!F10</x:f>
      </x:c>
      <x:c r="F18" s="194" t="str">
        <x:f>Kuormaoptimointi!G10</x:f>
      </x:c>
      <x:c r="G18" s="194" t="str">
        <x:f>Kuormaoptimointi!H10</x:f>
      </x:c>
      <x:c r="H18" s="194" t="str">
        <x:f>Kuormaoptimointi!I10</x:f>
      </x:c>
      <x:c r="I18" s="194" t="str">
        <x:f>Kuormaoptimointi!J10</x:f>
      </x:c>
      <x:c r="J18" s="194" t="str">
        <x:f>Kuormaoptimointi!K10</x:f>
      </x:c>
      <x:c r="K18" s="194" t="n">
        <x:f>Kuormaoptimointi!M10</x:f>
        <x:v>0</x:v>
      </x:c>
    </x:row>
    <x:row r="19">
      <x:c r="A19" s="194" t="str">
        <x:f>Kuormaoptimointi!A11</x:f>
      </x:c>
      <x:c r="B19" s="194" t="str">
        <x:f>Kuormaoptimointi!C11</x:f>
      </x:c>
      <x:c r="C19" s="194" t="str">
        <x:f>Kuormaoptimointi!D11</x:f>
      </x:c>
      <x:c r="D19" s="194" t="str">
        <x:f>Kuormaoptimointi!E11</x:f>
      </x:c>
      <x:c r="E19" s="194" t="str">
        <x:f>Kuormaoptimointi!F11</x:f>
      </x:c>
      <x:c r="F19" s="194" t="str">
        <x:f>Kuormaoptimointi!G11</x:f>
      </x:c>
      <x:c r="G19" s="194" t="str">
        <x:f>Kuormaoptimointi!H11</x:f>
      </x:c>
      <x:c r="H19" s="194" t="str">
        <x:f>Kuormaoptimointi!I11</x:f>
      </x:c>
      <x:c r="I19" s="194" t="str">
        <x:f>Kuormaoptimointi!J11</x:f>
      </x:c>
      <x:c r="J19" s="194" t="str">
        <x:f>Kuormaoptimointi!K11</x:f>
      </x:c>
      <x:c r="K19" s="194" t="n">
        <x:f>Kuormaoptimointi!M11</x:f>
        <x:v>0</x:v>
      </x:c>
    </x:row>
    <x:row r="20">
      <x:c r="A20" s="194" t="str">
        <x:f>Kuormaoptimointi!A12</x:f>
      </x:c>
      <x:c r="B20" s="194" t="str">
        <x:f>Kuormaoptimointi!C12</x:f>
      </x:c>
      <x:c r="C20" s="194" t="str">
        <x:f>Kuormaoptimointi!D12</x:f>
      </x:c>
      <x:c r="D20" s="194" t="str">
        <x:f>Kuormaoptimointi!E12</x:f>
      </x:c>
      <x:c r="E20" s="194" t="str">
        <x:f>Kuormaoptimointi!F12</x:f>
      </x:c>
      <x:c r="F20" s="194" t="str">
        <x:f>Kuormaoptimointi!G12</x:f>
      </x:c>
      <x:c r="G20" s="194" t="str">
        <x:f>Kuormaoptimointi!H12</x:f>
      </x:c>
      <x:c r="H20" s="194" t="str">
        <x:f>Kuormaoptimointi!I12</x:f>
      </x:c>
      <x:c r="I20" s="194" t="str">
        <x:f>Kuormaoptimointi!J12</x:f>
      </x:c>
      <x:c r="J20" s="194" t="str">
        <x:f>Kuormaoptimointi!K12</x:f>
      </x:c>
      <x:c r="K20" s="194" t="n">
        <x:f>Kuormaoptimointi!M12</x:f>
        <x:v>0</x:v>
      </x:c>
    </x:row>
    <x:row r="21">
      <x:c r="A21" s="194" t="str">
        <x:f>Kuormaoptimointi!A13</x:f>
      </x:c>
      <x:c r="B21" s="194" t="str">
        <x:f>Kuormaoptimointi!C13</x:f>
      </x:c>
      <x:c r="C21" s="194" t="str">
        <x:f>Kuormaoptimointi!D13</x:f>
      </x:c>
      <x:c r="D21" s="194" t="str">
        <x:f>Kuormaoptimointi!E13</x:f>
      </x:c>
      <x:c r="E21" s="194" t="str">
        <x:f>Kuormaoptimointi!F13</x:f>
      </x:c>
      <x:c r="F21" s="194" t="str">
        <x:f>Kuormaoptimointi!G13</x:f>
      </x:c>
      <x:c r="G21" s="194" t="str">
        <x:f>Kuormaoptimointi!H13</x:f>
      </x:c>
      <x:c r="H21" s="194" t="str">
        <x:f>Kuormaoptimointi!I13</x:f>
      </x:c>
      <x:c r="I21" s="194" t="str">
        <x:f>Kuormaoptimointi!J13</x:f>
      </x:c>
      <x:c r="J21" s="194" t="str">
        <x:f>Kuormaoptimointi!K13</x:f>
      </x:c>
      <x:c r="K21" s="194" t="n">
        <x:f>Kuormaoptimointi!M13</x:f>
        <x:v>0</x:v>
      </x:c>
    </x:row>
    <x:row r="22">
      <x:c r="A22" s="194" t="n">
        <x:f>Kuormaoptimointi!A14</x:f>
        <x:v>0</x:v>
      </x:c>
      <x:c r="B22" s="194" t="n">
        <x:f>Kuormaoptimointi!C14</x:f>
        <x:v>0</x:v>
      </x:c>
      <x:c r="C22" s="194" t="n">
        <x:f>Kuormaoptimointi!D14</x:f>
        <x:v>0</x:v>
      </x:c>
      <x:c r="D22" s="194" t="n">
        <x:f>Kuormaoptimointi!E14</x:f>
        <x:v>0</x:v>
      </x:c>
      <x:c r="E22" s="194" t="n">
        <x:f>Kuormaoptimointi!F14</x:f>
        <x:v>0</x:v>
      </x:c>
      <x:c r="F22" s="194" t="n">
        <x:f>Kuormaoptimointi!G14</x:f>
        <x:v>0</x:v>
      </x:c>
      <x:c r="G22" s="194" t="n">
        <x:f>Kuormaoptimointi!H14</x:f>
        <x:v>0</x:v>
      </x:c>
      <x:c r="H22" s="194" t="n">
        <x:f>Kuormaoptimointi!I14</x:f>
        <x:v>0</x:v>
      </x:c>
      <x:c r="I22" s="194" t="n">
        <x:f>Kuormaoptimointi!J14</x:f>
        <x:v>0</x:v>
      </x:c>
      <x:c r="J22" s="194" t="n">
        <x:f>Kuormaoptimointi!K14</x:f>
        <x:v>0</x:v>
      </x:c>
      <x:c r="K22" s="194" t="n">
        <x:f>Kuormaoptimointi!M14</x:f>
        <x:v>0</x:v>
      </x:c>
    </x:row>
    <x:row r="25">
      <x:c r="A25" s="186" t="str">
        <x:v>Yhteenveto</x:v>
      </x:c>
    </x:row>
    <x:row r="26">
      <x:c r="A26" s="192" t="str">
        <x:v>Mittari</x:v>
      </x:c>
      <x:c r="B26" s="192" t="str">
        <x:v>Arvo</x:v>
      </x:c>
      <x:c r="C26" s="192" t="str">
        <x:v>Raja</x:v>
      </x:c>
      <x:c r="D26" s="192" t="str">
        <x:v>Status</x:v>
      </x:c>
      <x:c r="E26" s="192" t="str">
        <x:v>Huomio</x:v>
      </x:c>
    </x:row>
    <x:row r="27">
      <x:c r="A27" t="str">
        <x:v>Lavapaikat</x:v>
      </x:c>
      <x:c r="B27" s="194" t="n">
        <x:f>Kuormaoptimointi!B19</x:f>
        <x:v>18</x:v>
      </x:c>
      <x:c r="C27" s="194" t="n">
        <x:v>33</x:v>
      </x:c>
      <x:c r="D27" s="194" t="str">
        <x:f>Kuormaoptimointi!D19</x:f>
        <x:v>OK</x:v>
      </x:c>
      <x:c r="E27" t="str">
        <x:v>Suositellun reitin kuorma</x:v>
      </x:c>
    </x:row>
    <x:row r="28">
      <x:c r="A28" t="str">
        <x:v>Paino kg</x:v>
      </x:c>
      <x:c r="B28" s="194" t="n">
        <x:f>Kuormaoptimointi!B20</x:f>
        <x:v>5700</x:v>
      </x:c>
      <x:c r="C28" s="194" t="n">
        <x:v>24000</x:v>
      </x:c>
      <x:c r="D28" s="194" t="str">
        <x:f>Kuormaoptimointi!D20</x:f>
        <x:v>OK</x:v>
      </x:c>
      <x:c r="E28" t="str"/>
    </x:row>
    <x:row r="29">
      <x:c r="A29" t="str">
        <x:v>Täyttöaste</x:v>
      </x:c>
      <x:c r="B29" s="195" t="n">
        <x:f>Kuormaoptimointi!B21</x:f>
        <x:v>0.5454545454545454</x:v>
      </x:c>
      <x:c r="C29" s="194" t="str">
        <x:v>85–95 %</x:v>
      </x:c>
      <x:c r="D29" s="194" t="str">
        <x:f>Kuormaoptimointi!D21</x:f>
        <x:v>Vajaakuorma</x:v>
      </x:c>
      <x:c r="E29" t="str"/>
    </x:row>
    <x:row r="30">
      <x:c r="A30" t="str">
        <x:v>Purkulogiikka</x:v>
      </x:c>
      <x:c r="B30" t="str">
        <x:v>Perä → keula</x:v>
      </x:c>
      <x:c r="C30" t="str"/>
      <x:c r="D30" t="str">
        <x:v>OK</x:v>
      </x:c>
      <x:c r="E30" t="str">
        <x:v>Ensimmäinen purku perään, viimeinen keulaan</x:v>
      </x:c>
    </x:row>
  </x:sheetData>
  <x:mergeCells>
    <x:mergeCell ref="A1:N1"/>
    <x:mergeCell ref="A2:N2"/>
    <x:mergeCell ref="A4:N4"/>
    <x:mergeCell ref="A11:N11"/>
    <x:mergeCell ref="A25:N25"/>
  </x:mergeCells>
  <x:conditionalFormatting sqref="D27:D30">
    <x:cfRule type="expression" dxfId="9" priority="1">
      <x:formula>OR(D27="OK",D27="Hyvä")</x:formula>
    </x:cfRule>
    <x:cfRule type="expression" dxfId="10" priority="2">
      <x:formula>OR(D27="Vajaakuorma",D27="Ei mahdu",D27="Paino yli",D27="Liian täysi")</x:formula>
    </x:cfRule>
  </x:conditionalFormatting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82" t="str">
        <x:v>Power BI KPI Dashboard – Excel-esikatselu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  <x:c r="M1" s="56"/>
      <x:c r="N1" s="56"/>
    </x:row>
    <x:row r="2">
      <x:c r="A2" s="13" t="str">
        <x:v>Dashboard-näkymä Power BI:tä varten: kannattavuus, tyhjä ajo, ETA, riskit ja kapasiteetti.</x:v>
      </x:c>
    </x:row>
    <x:row r="4">
      <x:c r="A4" s="186" t="str">
        <x:v>KPI Cards</x:v>
      </x:c>
    </x:row>
    <x:row r="5">
      <x:c r="A5" s="192" t="str">
        <x:v>KPI</x:v>
      </x:c>
      <x:c r="B5" s="192" t="str">
        <x:v>Arvo</x:v>
      </x:c>
      <x:c r="C5" s="192" t="str">
        <x:v>Tavoite</x:v>
      </x:c>
      <x:c r="D5" s="192" t="str">
        <x:v>Status</x:v>
      </x:c>
      <x:c r="E5" s="192" t="str">
        <x:v>Lähde</x:v>
      </x:c>
      <x:c r="F5" s="192" t="str"/>
      <x:c r="G5" s="192" t="str">
        <x:v>KPI</x:v>
      </x:c>
      <x:c r="H5" s="192" t="str">
        <x:v>Arvo</x:v>
      </x:c>
      <x:c r="I5" s="192" t="str">
        <x:v>Tavoite</x:v>
      </x:c>
      <x:c r="J5" s="192" t="str">
        <x:v>Status</x:v>
      </x:c>
      <x:c r="K5" s="192" t="str">
        <x:v>Lähde</x:v>
      </x:c>
      <x:c r="L5" s="192" t="str"/>
      <x:c r="M5" s="192" t="str"/>
      <x:c r="N5" s="192" t="str"/>
    </x:row>
    <x:row r="6">
      <x:c r="A6" t="str">
        <x:v>Paras reitti</x:v>
      </x:c>
      <x:c r="B6" s="194" t="str">
        <x:f>Optimointi!B33</x:f>
        <x:v>Vantaa → Tampere → Pori</x:v>
      </x:c>
      <x:c r="C6" s="194" t="str"/>
      <x:c r="D6" s="194" t="e">
        <x:f>OK</x:f>
      </x:c>
      <x:c r="E6" t="str">
        <x:v>Optimointi</x:v>
      </x:c>
      <x:c r="G6" t="str">
        <x:v>ETA myöhässä</x:v>
      </x:c>
      <x:c r="H6" s="194" t="n">
        <x:f>COUNTIF('ETA-laskenta'!K5:K41,"Myöhässä")</x:f>
        <x:v>0</x:v>
      </x:c>
      <x:c r="I6" s="194" t="str">
        <x:v>0</x:v>
      </x:c>
      <x:c r="J6" s="194" t="str">
        <x:f>IF(H6=0,"OK","Punainen")</x:f>
        <x:v>OK</x:v>
      </x:c>
      <x:c r="K6" t="str">
        <x:v>ETA-laskenta</x:v>
      </x:c>
    </x:row>
    <x:row r="7">
      <x:c r="A7" t="str">
        <x:v>AI score</x:v>
      </x:c>
      <x:c r="B7" s="194" t="n">
        <x:f>Optimointi!C33</x:f>
        <x:v>76.18740031897926</x:v>
      </x:c>
      <x:c r="C7" s="194" t="str">
        <x:v>&gt;= 75</x:v>
      </x:c>
      <x:c r="D7" s="194" t="str">
        <x:f>IF(B7&gt;=75,"OK","Tarkista")</x:f>
        <x:v>OK</x:v>
      </x:c>
      <x:c r="E7" t="str">
        <x:v>Optimointi</x:v>
      </x:c>
      <x:c r="G7" t="str">
        <x:v>Punaiset riskit</x:v>
      </x:c>
      <x:c r="H7" s="194" t="n">
        <x:f>COUNTIF(Riskivaroitukset!M5:M41,"Punainen")</x:f>
        <x:v>2</x:v>
      </x:c>
      <x:c r="I7" s="194" t="str">
        <x:v>0</x:v>
      </x:c>
      <x:c r="J7" s="194" t="str">
        <x:f>IF(H7=0,"OK","Punainen")</x:f>
        <x:v>Punainen</x:v>
      </x:c>
      <x:c r="K7" t="str">
        <x:v>Riskivaroitukset</x:v>
      </x:c>
    </x:row>
    <x:row r="8">
      <x:c r="A8" t="str">
        <x:v>Täyttöaste</x:v>
      </x:c>
      <x:c r="B8" s="195" t="n">
        <x:f>Kuormaoptimointi!B21</x:f>
        <x:v>0.5454545454545454</x:v>
      </x:c>
      <x:c r="C8" s="194" t="str">
        <x:v>85–95 %</x:v>
      </x:c>
      <x:c r="D8" s="194" t="str">
        <x:f>Kuormaoptimointi!D21</x:f>
        <x:v>Vajaakuorma</x:v>
      </x:c>
      <x:c r="E8" t="str">
        <x:v>Kuormaoptimointi</x:v>
      </x:c>
      <x:c r="G8" t="str">
        <x:v>Kapasiteetin käyttöaste</x:v>
      </x:c>
      <x:c r="H8" s="195" t="n">
        <x:f>AVERAGE('TMS Capacity'!H5:H8)</x:f>
        <x:v>1.0107142857142857</x:v>
      </x:c>
      <x:c r="I8" s="194" t="str">
        <x:v>&gt;= 80 %</x:v>
      </x:c>
      <x:c r="J8" s="194" t="str">
        <x:f>IF(H8&gt;=0.8,"OK","Tarkista")</x:f>
        <x:v>OK</x:v>
      </x:c>
      <x:c r="K8" t="str">
        <x:v>TMS Capacity</x:v>
      </x:c>
    </x:row>
    <x:row r="9">
      <x:c r="A9" t="str">
        <x:v>Kate %</x:v>
      </x:c>
      <x:c r="B9" s="195" t="n">
        <x:f>AVERAGE('Asiakas analyysi'!F5:F8)</x:f>
        <x:v>0.15002240143369175</x:v>
      </x:c>
      <x:c r="C9" s="194" t="str">
        <x:v>&gt;= 15 %</x:v>
      </x:c>
      <x:c r="D9" s="194" t="str">
        <x:f>IF(B9&gt;=0.15,"OK","Tarkista")</x:f>
        <x:v>OK</x:v>
      </x:c>
      <x:c r="E9" t="str">
        <x:v>Asiakas analyysi</x:v>
      </x:c>
      <x:c r="G9" t="str">
        <x:v>CO₂ kg</x:v>
      </x:c>
      <x:c r="H9" s="203" t="n">
        <x:f>SUM('PowerBI karttadata'!K5:K8)</x:f>
        <x:v>1608.5</x:v>
      </x:c>
      <x:c r="I9" s="194" t="str">
        <x:v>seuranta</x:v>
      </x:c>
      <x:c r="J9" s="194" t="e">
        <x:f>OK</x:f>
      </x:c>
      <x:c r="K9" t="str">
        <x:v>PowerBI karttadata</x:v>
      </x:c>
    </x:row>
    <x:row r="10">
      <x:c r="A10" t="str">
        <x:v>Empty km %</x:v>
      </x:c>
      <x:c r="B10" s="195" t="n">
        <x:f>AVERAGE('Tyhjä ajo'!F5:F7)</x:f>
        <x:v>0.12128639334521689</x:v>
      </x:c>
      <x:c r="C10" s="194" t="str">
        <x:v>&lt;= 15 %</x:v>
      </x:c>
      <x:c r="D10" s="194" t="str">
        <x:f>IF(B10&lt;=0.15,"OK","Tarkista")</x:f>
        <x:v>OK</x:v>
      </x:c>
      <x:c r="E10" t="str">
        <x:v>Tyhjä ajo</x:v>
      </x:c>
      <x:c r="G10" t="str">
        <x:v>Reittihistorian keikat</x:v>
      </x:c>
      <x:c r="H10" s="194" t="n">
        <x:f>COUNTA(Reittihistoria!A5:A101)</x:f>
        <x:v>4</x:v>
      </x:c>
      <x:c r="I10" s="194" t="str">
        <x:v>data</x:v>
      </x:c>
      <x:c r="J10" s="194" t="e">
        <x:f>OK</x:f>
      </x:c>
      <x:c r="K10" t="str">
        <x:v>Reittihistoria</x:v>
      </x:c>
    </x:row>
    <x:row r="13">
      <x:c r="A13" s="186" t="str">
        <x:v>Reitti- ja asiakaskannattavuus</x:v>
      </x:c>
    </x:row>
    <x:row r="14">
      <x:c r="A14" s="192" t="str">
        <x:v>Reitti</x:v>
      </x:c>
      <x:c r="B14" s="192" t="str">
        <x:v>Loaded km</x:v>
      </x:c>
      <x:c r="C14" s="192" t="str">
        <x:v>Empty km</x:v>
      </x:c>
      <x:c r="D14" s="192" t="str">
        <x:v>Kate %</x:v>
      </x:c>
      <x:c r="E14" s="192" t="str">
        <x:v>On-time?</x:v>
      </x:c>
      <x:c r="G14" s="192" t="str">
        <x:v>Asiakas</x:v>
      </x:c>
      <x:c r="H14" s="192" t="str">
        <x:v>Keikkoja</x:v>
      </x:c>
      <x:c r="I14" s="192" t="str">
        <x:v>Myynti €</x:v>
      </x:c>
      <x:c r="J14" s="192" t="str">
        <x:v>Kate %</x:v>
      </x:c>
      <x:c r="K14" s="192" t="str">
        <x:v>Empty %</x:v>
      </x:c>
      <x:c r="L14" s="192" t="str">
        <x:v>Status</x:v>
      </x:c>
    </x:row>
    <x:row r="15">
      <x:c r="A15" s="194" t="str">
        <x:f>Reittihistoria!C5</x:f>
        <x:v>Vantaa → Tampere</x:v>
      </x:c>
      <x:c r="B15" s="194" t="n">
        <x:f>Reittihistoria!F5</x:f>
        <x:v>180</x:v>
      </x:c>
      <x:c r="C15" s="194" t="n">
        <x:f>Reittihistoria!G5</x:f>
        <x:v>20</x:v>
      </x:c>
      <x:c r="D15" s="195" t="n">
        <x:f>Reittihistoria!K5</x:f>
        <x:v>0.22115384615384615</x:v>
      </x:c>
      <x:c r="E15" s="194" t="str">
        <x:f>Reittihistoria!L5</x:f>
        <x:v>Kyllä</x:v>
      </x:c>
      <x:c r="G15" s="194" t="str">
        <x:f>'Asiakas analyysi'!A5</x:f>
        <x:v>Asiakas A</x:v>
      </x:c>
      <x:c r="H15" s="194" t="n">
        <x:f>'Asiakas analyysi'!B5</x:f>
        <x:v>12</x:v>
      </x:c>
      <x:c r="I15" s="204" t="n">
        <x:f>'Asiakas analyysi'!C5</x:f>
        <x:v>24000</x:v>
      </x:c>
      <x:c r="J15" s="195" t="n">
        <x:f>'Asiakas analyysi'!F5</x:f>
        <x:v>0.175</x:v>
      </x:c>
      <x:c r="K15" s="195" t="n">
        <x:f>'Asiakas analyysi'!I5</x:f>
        <x:v>0.10144927536231885</x:v>
      </x:c>
      <x:c r="L15" s="194" t="str">
        <x:f>'Asiakas analyysi'!L5</x:f>
        <x:v>OK</x:v>
      </x:c>
    </x:row>
    <x:row r="16">
      <x:c r="A16" s="194" t="str">
        <x:f>Reittihistoria!C6</x:f>
        <x:v>Vantaa → Oulu</x:v>
      </x:c>
      <x:c r="B16" s="194" t="n">
        <x:f>Reittihistoria!F6</x:f>
        <x:v>600</x:v>
      </x:c>
      <x:c r="C16" s="194" t="n">
        <x:f>Reittihistoria!G6</x:f>
        <x:v>80</x:v>
      </x:c>
      <x:c r="D16" s="195" t="n">
        <x:f>Reittihistoria!K6</x:f>
        <x:v>0.18840579710144928</x:v>
      </x:c>
      <x:c r="E16" s="194" t="str">
        <x:f>Reittihistoria!L6</x:f>
        <x:v>Kyllä</x:v>
      </x:c>
      <x:c r="G16" s="194" t="str">
        <x:f>'Asiakas analyysi'!A6</x:f>
        <x:v>Asiakas B</x:v>
      </x:c>
      <x:c r="H16" s="194" t="n">
        <x:f>'Asiakas analyysi'!B6</x:f>
        <x:v>8</x:v>
      </x:c>
      <x:c r="I16" s="204" t="n">
        <x:f>'Asiakas analyysi'!C6</x:f>
        <x:v>13500</x:v>
      </x:c>
      <x:c r="J16" s="195" t="n">
        <x:f>'Asiakas analyysi'!F6</x:f>
        <x:v>0.14074074074074075</x:v>
      </x:c>
      <x:c r="K16" s="195" t="n">
        <x:f>'Asiakas analyysi'!I6</x:f>
        <x:v>0.11926605504587157</x:v>
      </x:c>
      <x:c r="L16" s="194" t="str">
        <x:f>'Asiakas analyysi'!L6</x:f>
        <x:v>Alle tavoitteen</x:v>
      </x:c>
    </x:row>
    <x:row r="17">
      <x:c r="A17" s="194" t="str">
        <x:f>Reittihistoria!C7</x:f>
        <x:v>Turku → Rauma</x:v>
      </x:c>
      <x:c r="B17" s="194" t="n">
        <x:f>Reittihistoria!F7</x:f>
        <x:v>95</x:v>
      </x:c>
      <x:c r="C17" s="194" t="n">
        <x:f>Reittihistoria!G7</x:f>
        <x:v>15</x:v>
      </x:c>
      <x:c r="D17" s="195" t="n">
        <x:f>Reittihistoria!K7</x:f>
        <x:v>0.24242424242424243</x:v>
      </x:c>
      <x:c r="E17" s="194" t="str">
        <x:f>Reittihistoria!L7</x:f>
        <x:v>Ei</x:v>
      </x:c>
      <x:c r="G17" s="194" t="str">
        <x:f>'Asiakas analyysi'!A7</x:f>
        <x:v>Asiakas C</x:v>
      </x:c>
      <x:c r="H17" s="194" t="n">
        <x:f>'Asiakas analyysi'!B7</x:f>
        <x:v>5</x:v>
      </x:c>
      <x:c r="I17" s="204" t="n">
        <x:f>'Asiakas analyysi'!C7</x:f>
        <x:v>6200</x:v>
      </x:c>
      <x:c r="J17" s="195" t="n">
        <x:f>'Asiakas analyysi'!F7</x:f>
        <x:v>0.08064516129032258</x:v>
      </x:c>
      <x:c r="K17" s="195" t="n">
        <x:f>'Asiakas analyysi'!I7</x:f>
        <x:v>0.16666666666666666</x:v>
      </x:c>
      <x:c r="L17" s="194" t="str">
        <x:f>'Asiakas analyysi'!L7</x:f>
        <x:v>Alle tavoitteen</x:v>
      </x:c>
    </x:row>
    <x:row r="18">
      <x:c r="A18" s="194" t="str">
        <x:f>Reittihistoria!C8</x:f>
        <x:v>Tampere → Pori</x:v>
      </x:c>
      <x:c r="B18" s="194" t="n">
        <x:f>Reittihistoria!F8</x:f>
        <x:v>110</x:v>
      </x:c>
      <x:c r="C18" s="194" t="n">
        <x:f>Reittihistoria!G8</x:f>
        <x:v>25</x:v>
      </x:c>
      <x:c r="D18" s="195" t="n">
        <x:f>Reittihistoria!K8</x:f>
        <x:v>0.23255813953488372</x:v>
      </x:c>
      <x:c r="E18" s="194" t="str">
        <x:f>Reittihistoria!L8</x:f>
        <x:v>Kyllä</x:v>
      </x:c>
      <x:c r="G18" s="194" t="str">
        <x:f>'Asiakas analyysi'!A8</x:f>
        <x:v>Asiakas F</x:v>
      </x:c>
      <x:c r="H18" s="194" t="n">
        <x:f>'Asiakas analyysi'!B8</x:f>
        <x:v>4</x:v>
      </x:c>
      <x:c r="I18" s="204" t="n">
        <x:f>'Asiakas analyysi'!C8</x:f>
        <x:v>5400</x:v>
      </x:c>
      <x:c r="J18" s="195" t="n">
        <x:f>'Asiakas analyysi'!F8</x:f>
        <x:v>0.2037037037037037</x:v>
      </x:c>
      <x:c r="K18" s="195" t="n">
        <x:f>'Asiakas analyysi'!I8</x:f>
        <x:v>0.1111111111111111</x:v>
      </x:c>
      <x:c r="L18" s="194" t="str">
        <x:f>'Asiakas analyysi'!L8</x:f>
        <x:v>OK</x:v>
      </x:c>
    </x:row>
  </x:sheetData>
  <x:mergeCells>
    <x:mergeCell ref="A1:N1"/>
    <x:mergeCell ref="A2:N2"/>
    <x:mergeCell ref="A4:N4"/>
    <x:mergeCell ref="A13:N13"/>
  </x:mergeCells>
  <x:conditionalFormatting sqref="D6:D10">
    <x:cfRule type="expression" dxfId="11" priority="1">
      <x:formula>OR(D6="OK",D6="Hyvä")</x:formula>
    </x:cfRule>
    <x:cfRule type="expression" dxfId="12" priority="2">
      <x:formula>OR(D6="Tarkista",D6="Punainen",D6="Vajaakuorma")</x:formula>
    </x:cfRule>
  </x:conditionalFormatting>
  <x:conditionalFormatting sqref="J6:J10">
    <x:cfRule type="expression" dxfId="13" priority="3">
      <x:formula>J6="OK"</x:formula>
    </x:cfRule>
    <x:cfRule type="expression" dxfId="14" priority="4">
      <x:formula>OR(J6="Tarkista",J6="Punainen")</x:formula>
    </x:cfRule>
  </x:conditionalFormatting>
  <x:pageMargins left="0.7" right="0.7" top="0.75" bottom="0.75" header="0.3" footer="0.3"/>
  <x:drawing xmlns:r="http://schemas.openxmlformats.org/officeDocument/2006/relationships" r:id="R91334ceeb3414a81"/>
</x:worksheet>
</file>