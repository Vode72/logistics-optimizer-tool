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58e966f35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ähetykset" sheetId="1" r:id="R569f7fad1e20432d"/>
    <x:sheet xmlns:r="http://schemas.openxmlformats.org/officeDocument/2006/relationships" name="Reittivaihtoehdot" sheetId="2" r:id="R9d6d5032277f420e"/>
    <x:sheet xmlns:r="http://schemas.openxmlformats.org/officeDocument/2006/relationships" name="Painotukset" sheetId="3" r:id="Rf2a07eb6e8df4727"/>
    <x:sheet xmlns:r="http://schemas.openxmlformats.org/officeDocument/2006/relationships" name="Optimointi" sheetId="4" r:id="R618369b73cb345b9"/>
    <x:sheet xmlns:r="http://schemas.openxmlformats.org/officeDocument/2006/relationships" name="Kuormaoptimointi" sheetId="5" r:id="R501d8f1b80e640fd"/>
    <x:sheet xmlns:r="http://schemas.openxmlformats.org/officeDocument/2006/relationships" name="Trailer Layout" sheetId="6" r:id="R4fb48099b74045c9"/>
    <x:sheet xmlns:r="http://schemas.openxmlformats.org/officeDocument/2006/relationships" name="ETA" sheetId="7" r:id="Racc42f6033f44efa"/>
    <x:sheet xmlns:r="http://schemas.openxmlformats.org/officeDocument/2006/relationships" name="Riskit" sheetId="8" r:id="R4cd2a4d7251243ba"/>
    <x:sheet xmlns:r="http://schemas.openxmlformats.org/officeDocument/2006/relationships" name="Kustannukset" sheetId="9" r:id="R7b7cf1a6bc2b48e6"/>
    <x:sheet xmlns:r="http://schemas.openxmlformats.org/officeDocument/2006/relationships" name="Reittihistoria" sheetId="10" r:id="R1b3df43784d04135"/>
    <x:sheet xmlns:r="http://schemas.openxmlformats.org/officeDocument/2006/relationships" name="Power BI Data" sheetId="11" r:id="R06d94be22aa74ac7"/>
    <x:sheet xmlns:r="http://schemas.openxmlformats.org/officeDocument/2006/relationships" name="Dashboard" sheetId="12" r:id="R51ef83a192da4fd6"/>
    <x:sheet xmlns:r="http://schemas.openxmlformats.org/officeDocument/2006/relationships" name="Ohje" sheetId="13" r:id="R08b5acdfdafd438c"/>
    <x:sheet xmlns:r="http://schemas.openxmlformats.org/officeDocument/2006/relationships" name="Testiraportti" sheetId="14" r:id="Rfead9950b5c0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"/>
    <x:numFmt numFmtId="202" formatCode="dd.mm.yyyy hh:mm"/>
    <x:numFmt numFmtId="203" formatCode="#,##0.00 €"/>
    <x:numFmt numFmtId="204" formatCode="dd.mm.yyyy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0"/>
      <x:color rgb="666666"/>
      <x:name val="Carlito"/>
    </x:font>
    <x:font>
      <x:b/>
      <x:sz val="11"/>
      <x:color rgb="000000"/>
      <x:name val="Carlito"/>
    </x:font>
    <x:font>
      <x:sz val="11"/>
      <x:color rgb="0000FF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4FB"/>
      </x:patternFill>
    </x:fill>
    <x:fill>
      <x:patternFill patternType="solid">
        <x:fgColor rgb="F1F8EC"/>
      </x:patternFill>
    </x:fill>
    <x:fill>
      <x:patternFill patternType="solid">
        <x:fgColor rgb="17365D"/>
      </x:patternFill>
    </x:fill>
    <x:fill>
      <x:patternFill patternType="solid">
        <x:fgColor rgb="E2F0D9"/>
      </x:patternFill>
    </x:fill>
  </x:fills>
  <x:borders count="4">
    <x:border/>
    <x:border/>
    <x:border>
      <x:bottom>
        <x:color rgb="E5E7EB"/>
      </x:bottom>
    </x:border>
    <x:border>
      <x:bottom>
        <x:color rgb="E5E7EB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202" fontId="4" fillId="4" borderId="0" xfId="0" applyNumberFormat="1" applyFont="1" applyFill="1" applyBorder="1" applyAlignment="1">
      <x:alignment wrapText="1"/>
    </x:xf>
    <x:xf numFmtId="202" fontId="4" fillId="4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3" fontId="4" fillId="4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4" fontId="4" fillId="4" borderId="0" xfId="0" applyNumberFormat="1" applyFont="1" applyFill="1" applyBorder="1" applyAlignment="1">
      <x:alignment wrapText="1"/>
    </x:xf>
    <x:xf numFmtId="204" fontId="4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ill>
        <x:patternFill patternType="solid">
          <x:bgColor rgb="F4CCCC"/>
        </x:patternFill>
      </x:fill>
    </x:dxf>
    <x:dxf>
      <x:font>
        <x:b/>
      </x:font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5fb2fade74df6" /><Relationship Type="http://schemas.openxmlformats.org/officeDocument/2006/relationships/theme" Target="/xl/theme/theme1.xml" Id="Rcc315ab8a7f8415a" /><Relationship Type="http://schemas.openxmlformats.org/officeDocument/2006/relationships/sharedStrings" Target="/xl/sharedStrings.xml" Id="R902ea8fdf8064f05" /><Relationship Type="http://schemas.openxmlformats.org/officeDocument/2006/relationships/worksheet" Target="/xl/worksheets/sheet1.xml" Id="R569f7fad1e20432d" /><Relationship Type="http://schemas.openxmlformats.org/officeDocument/2006/relationships/worksheet" Target="/xl/worksheets/sheet2.xml" Id="R9d6d5032277f420e" /><Relationship Type="http://schemas.openxmlformats.org/officeDocument/2006/relationships/worksheet" Target="/xl/worksheets/sheet3.xml" Id="Rf2a07eb6e8df4727" /><Relationship Type="http://schemas.openxmlformats.org/officeDocument/2006/relationships/worksheet" Target="/xl/worksheets/sheet4.xml" Id="R618369b73cb345b9" /><Relationship Type="http://schemas.openxmlformats.org/officeDocument/2006/relationships/worksheet" Target="/xl/worksheets/sheet5.xml" Id="R501d8f1b80e640fd" /><Relationship Type="http://schemas.openxmlformats.org/officeDocument/2006/relationships/worksheet" Target="/xl/worksheets/sheet6.xml" Id="R4fb48099b74045c9" /><Relationship Type="http://schemas.openxmlformats.org/officeDocument/2006/relationships/worksheet" Target="/xl/worksheets/sheet7.xml" Id="Racc42f6033f44efa" /><Relationship Type="http://schemas.openxmlformats.org/officeDocument/2006/relationships/worksheet" Target="/xl/worksheets/sheet8.xml" Id="R4cd2a4d7251243ba" /><Relationship Type="http://schemas.openxmlformats.org/officeDocument/2006/relationships/worksheet" Target="/xl/worksheets/sheet9.xml" Id="R7b7cf1a6bc2b48e6" /><Relationship Type="http://schemas.openxmlformats.org/officeDocument/2006/relationships/worksheet" Target="/xl/worksheets/sheet10.xml" Id="R1b3df43784d04135" /><Relationship Type="http://schemas.openxmlformats.org/officeDocument/2006/relationships/worksheet" Target="/xl/worksheets/sheet11.xml" Id="R06d94be22aa74ac7" /><Relationship Type="http://schemas.openxmlformats.org/officeDocument/2006/relationships/worksheet" Target="/xl/worksheets/sheet12.xml" Id="R51ef83a192da4fd6" /><Relationship Type="http://schemas.openxmlformats.org/officeDocument/2006/relationships/worksheet" Target="/xl/worksheets/sheet13.xml" Id="R08b5acdfdafd438c" /><Relationship Type="http://schemas.openxmlformats.org/officeDocument/2006/relationships/worksheet" Target="/xl/worksheets/sheet14.xml" Id="Rfead9950b5c04a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28" hidden="0" customWidth="1"/>
  </x:cols>
  <x:sheetData>
    <x:row r="1">
      <x:c r="A1" s="6" t="str">
        <x:v>Lähetykset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Syötä kuljetustarpeet. Tämä toimii optimointilogiikan lähtödatana.</x:v>
      </x:c>
    </x:row>
    <x:row r="4">
      <x:c r="A4" s="20" t="str">
        <x:v>Lähetys</x:v>
      </x:c>
      <x:c r="B4" s="20" t="str">
        <x:v>Nouto</x:v>
      </x:c>
      <x:c r="C4" s="20" t="str">
        <x:v>Toimitus</x:v>
      </x:c>
      <x:c r="D4" s="20" t="str">
        <x:v>Lavapaikat</x:v>
      </x:c>
      <x:c r="E4" s="20" t="str">
        <x:v>Paino kg</x:v>
      </x:c>
      <x:c r="F4" s="20" t="str">
        <x:v>Lämpö min</x:v>
      </x:c>
      <x:c r="G4" s="20" t="str">
        <x:v>Lämpö max</x:v>
      </x:c>
      <x:c r="H4" s="20" t="str">
        <x:v>ADR?</x:v>
      </x:c>
      <x:c r="I4" s="20" t="str">
        <x:v>Deadline</x:v>
      </x:c>
      <x:c r="J4" s="20" t="str">
        <x:v>Pakollinen?</x:v>
      </x:c>
      <x:c r="K4" s="20" t="str">
        <x:v>Huomio</x:v>
      </x:c>
    </x:row>
    <x:row r="5">
      <x:c r="A5" s="28" t="str">
        <x:v>A</x:v>
      </x:c>
      <x:c r="B5" s="28" t="str">
        <x:v>Vantaa</x:v>
      </x:c>
      <x:c r="C5" s="28" t="str">
        <x:v>Tampere</x:v>
      </x:c>
      <x:c r="D5" s="28" t="n">
        <x:v>8</x:v>
      </x:c>
      <x:c r="E5" s="28" t="n">
        <x:v>2500</x:v>
      </x:c>
      <x:c r="F5" s="28" t="n">
        <x:v>2</x:v>
      </x:c>
      <x:c r="G5" s="28" t="n">
        <x:v>6</x:v>
      </x:c>
      <x:c r="H5" s="28" t="str">
        <x:v>Ei</x:v>
      </x:c>
      <x:c r="I5" s="28" t="str">
        <x:v>14:00</x:v>
      </x:c>
      <x:c r="J5" s="28" t="str">
        <x:v>Kyllä</x:v>
      </x:c>
      <x:c r="K5" s="28" t="str">
        <x:v>Thermo +4</x:v>
      </x:c>
    </x:row>
    <x:row r="6">
      <x:c r="A6" s="28" t="str">
        <x:v>B</x:v>
      </x:c>
      <x:c r="B6" s="28" t="str">
        <x:v>Vantaa</x:v>
      </x:c>
      <x:c r="C6" s="28" t="str">
        <x:v>Pori</x:v>
      </x:c>
      <x:c r="D6" s="28" t="n">
        <x:v>10</x:v>
      </x:c>
      <x:c r="E6" s="28" t="n">
        <x:v>3200</x:v>
      </x:c>
      <x:c r="F6" s="28" t="n">
        <x:v>2</x:v>
      </x:c>
      <x:c r="G6" s="28" t="n">
        <x:v>6</x:v>
      </x:c>
      <x:c r="H6" s="28" t="str">
        <x:v>Ei</x:v>
      </x:c>
      <x:c r="I6" s="28" t="str">
        <x:v>16:00</x:v>
      </x:c>
      <x:c r="J6" s="28" t="str">
        <x:v>Kyllä</x:v>
      </x:c>
      <x:c r="K6" s="28" t="str">
        <x:v>Thermo +4</x:v>
      </x:c>
    </x:row>
    <x:row r="7">
      <x:c r="A7" s="28" t="str">
        <x:v>C</x:v>
      </x:c>
      <x:c r="B7" s="28" t="str">
        <x:v>Tampere</x:v>
      </x:c>
      <x:c r="C7" s="28" t="str">
        <x:v>Oulu</x:v>
      </x:c>
      <x:c r="D7" s="28" t="n">
        <x:v>12</x:v>
      </x:c>
      <x:c r="E7" s="28" t="n">
        <x:v>5000</x:v>
      </x:c>
      <x:c r="F7" s="28"/>
      <x:c r="G7" s="28"/>
      <x:c r="H7" s="28" t="str">
        <x:v>Ei</x:v>
      </x:c>
      <x:c r="I7" s="28" t="str">
        <x:v>22:00</x:v>
      </x:c>
      <x:c r="J7" s="28" t="str">
        <x:v>Ei</x:v>
      </x:c>
      <x:c r="K7" s="28" t="str">
        <x:v>Kuiva jatkoreitti</x:v>
      </x:c>
    </x:row>
    <x:row r="8">
      <x:c r="A8" s="28" t="str">
        <x:v>D</x:v>
      </x:c>
      <x:c r="B8" s="28" t="str">
        <x:v>Vantaa</x:v>
      </x:c>
      <x:c r="C8" s="28" t="str">
        <x:v>Turku</x:v>
      </x:c>
      <x:c r="D8" s="28" t="n">
        <x:v>6</x:v>
      </x:c>
      <x:c r="E8" s="28" t="n">
        <x:v>1800</x:v>
      </x:c>
      <x:c r="F8" s="28"/>
      <x:c r="G8" s="28"/>
      <x:c r="H8" s="28" t="str">
        <x:v>Kyllä</x:v>
      </x:c>
      <x:c r="I8" s="28" t="str">
        <x:v>15:00</x:v>
      </x:c>
      <x:c r="J8" s="28" t="str">
        <x:v>Ei</x:v>
      </x:c>
      <x:c r="K8" s="28" t="str">
        <x:v>ADR-lisä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</x:sheetData>
  <x:dataValidations count="2">
    <x:dataValidation type="list" sqref="H5:H30">
      <x:formula1>"Kyllä,Ei"</x:formula1>
    </x:dataValidation>
    <x:dataValidation type="list" sqref="J5:J30">
      <x:formula1>"Kyllä,Ei"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20" hidden="0" customWidth="1"/>
    <x:col min="12" max="12" width="28" hidden="0" customWidth="1"/>
  </x:cols>
  <x:sheetData>
    <x:row r="1">
      <x:c r="A1" s="6" t="str">
        <x:v>Reittivaihtoehdot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Syötä mahdolliset reitit ja niiden perustiedot.</x:v>
      </x:c>
    </x:row>
    <x:row r="4">
      <x:c r="A4" s="20" t="str">
        <x:v>Vaihtoehto</x:v>
      </x:c>
      <x:c r="B4" s="20" t="str">
        <x:v>Reitti</x:v>
      </x:c>
      <x:c r="C4" s="20" t="str">
        <x:v>Km</x:v>
      </x:c>
      <x:c r="D4" s="20" t="str">
        <x:v>Ajoaika h</x:v>
      </x:c>
      <x:c r="E4" s="20" t="str">
        <x:v>Työaika h</x:v>
      </x:c>
      <x:c r="F4" s="20" t="str">
        <x:v>Tauko min</x:v>
      </x:c>
      <x:c r="G4" s="20" t="str">
        <x:v>Lavapaikat</x:v>
      </x:c>
      <x:c r="H4" s="20" t="str">
        <x:v>Max lavapaikat</x:v>
      </x:c>
      <x:c r="I4" s="20" t="str">
        <x:v>Kate %</x:v>
      </x:c>
      <x:c r="J4" s="20" t="str">
        <x:v>Riskipisteet</x:v>
      </x:c>
      <x:c r="K4" s="20" t="str">
        <x:v>Sisältää lähetykset</x:v>
      </x:c>
      <x:c r="L4" s="20" t="str">
        <x:v>Huomio</x:v>
      </x:c>
    </x:row>
    <x:row r="5">
      <x:c r="A5" s="28" t="str">
        <x:v>R1</x:v>
      </x:c>
      <x:c r="B5" s="28" t="str">
        <x:v>Vantaa → Tampere → Pori</x:v>
      </x:c>
      <x:c r="C5" s="28" t="n">
        <x:v>290</x:v>
      </x:c>
      <x:c r="D5" s="28" t="n">
        <x:v>3.9</x:v>
      </x:c>
      <x:c r="E5" s="28" t="n">
        <x:v>5.4</x:v>
      </x:c>
      <x:c r="F5" s="28" t="n">
        <x:v>0</x:v>
      </x:c>
      <x:c r="G5" s="28" t="n">
        <x:v>18</x:v>
      </x:c>
      <x:c r="H5" s="28" t="n">
        <x:v>33</x:v>
      </x:c>
      <x:c r="I5" s="32" t="n">
        <x:v>0.18</x:v>
      </x:c>
      <x:c r="J5" s="28" t="n">
        <x:v>2</x:v>
      </x:c>
      <x:c r="K5" s="28" t="str">
        <x:v>A,B</x:v>
      </x:c>
      <x:c r="L5" s="28" t="str">
        <x:v>Paras perusvaihtoehto</x:v>
      </x:c>
    </x:row>
    <x:row r="6">
      <x:c r="A6" s="28" t="str">
        <x:v>R2</x:v>
      </x:c>
      <x:c r="B6" s="28" t="str">
        <x:v>Vantaa → Pori → Tampere</x:v>
      </x:c>
      <x:c r="C6" s="28" t="n">
        <x:v>330</x:v>
      </x:c>
      <x:c r="D6" s="28" t="n">
        <x:v>4.4</x:v>
      </x:c>
      <x:c r="E6" s="28" t="n">
        <x:v>5.9</x:v>
      </x:c>
      <x:c r="F6" s="28" t="n">
        <x:v>0</x:v>
      </x:c>
      <x:c r="G6" s="28" t="n">
        <x:v>18</x:v>
      </x:c>
      <x:c r="H6" s="28" t="n">
        <x:v>33</x:v>
      </x:c>
      <x:c r="I6" s="32" t="n">
        <x:v>0.15</x:v>
      </x:c>
      <x:c r="J6" s="28" t="n">
        <x:v>3</x:v>
      </x:c>
      <x:c r="K6" s="28" t="str">
        <x:v>A,B</x:v>
      </x:c>
      <x:c r="L6" s="28" t="str">
        <x:v>Hieman pidempi</x:v>
      </x:c>
    </x:row>
    <x:row r="7">
      <x:c r="A7" s="28" t="str">
        <x:v>R3</x:v>
      </x:c>
      <x:c r="B7" s="28" t="str">
        <x:v>Vantaa → Tampere → Pori → Oulu</x:v>
      </x:c>
      <x:c r="C7" s="28" t="n">
        <x:v>610</x:v>
      </x:c>
      <x:c r="D7" s="28" t="n">
        <x:v>8.1</x:v>
      </x:c>
      <x:c r="E7" s="28" t="n">
        <x:v>10.2</x:v>
      </x:c>
      <x:c r="F7" s="28" t="n">
        <x:v>45</x:v>
      </x:c>
      <x:c r="G7" s="28" t="n">
        <x:v>30</x:v>
      </x:c>
      <x:c r="H7" s="28" t="n">
        <x:v>33</x:v>
      </x:c>
      <x:c r="I7" s="32" t="n">
        <x:v>0.16</x:v>
      </x:c>
      <x:c r="J7" s="28" t="n">
        <x:v>5</x:v>
      </x:c>
      <x:c r="K7" s="28" t="str">
        <x:v>A,B,C</x:v>
      </x:c>
      <x:c r="L7" s="28" t="str">
        <x:v>Pitkä mutta hyvä täyttö</x:v>
      </x:c>
    </x:row>
    <x:row r="8">
      <x:c r="A8" s="28" t="str">
        <x:v>R4</x:v>
      </x:c>
      <x:c r="B8" s="28" t="str">
        <x:v>Jaetaan kahteen autoon</x:v>
      </x:c>
      <x:c r="C8" s="28" t="n">
        <x:v>410</x:v>
      </x:c>
      <x:c r="D8" s="28" t="n">
        <x:v>5.5</x:v>
      </x:c>
      <x:c r="E8" s="28" t="n">
        <x:v>7.5</x:v>
      </x:c>
      <x:c r="F8" s="28" t="n">
        <x:v>45</x:v>
      </x:c>
      <x:c r="G8" s="28" t="n">
        <x:v>18</x:v>
      </x:c>
      <x:c r="H8" s="28" t="n">
        <x:v>66</x:v>
      </x:c>
      <x:c r="I8" s="32" t="n">
        <x:v>0.1</x:v>
      </x:c>
      <x:c r="J8" s="28" t="n">
        <x:v>2</x:v>
      </x:c>
      <x:c r="K8" s="28" t="str">
        <x:v>A,B</x:v>
      </x:c>
      <x:c r="L8" s="28" t="str">
        <x:v>Vähemmän riskiä, huono käyttöaste</x:v>
      </x:c>
    </x:row>
    <x:row r="9">
      <x:c r="A9" s="28" t="str">
        <x:v>R5</x:v>
      </x:c>
      <x:c r="B9" s="28" t="str">
        <x:v>Vantaa → Turku → Tampere → Pori</x:v>
      </x:c>
      <x:c r="C9" s="28" t="n">
        <x:v>455</x:v>
      </x:c>
      <x:c r="D9" s="28" t="n">
        <x:v>6.1</x:v>
      </x:c>
      <x:c r="E9" s="28" t="n">
        <x:v>8.1</x:v>
      </x:c>
      <x:c r="F9" s="28" t="n">
        <x:v>45</x:v>
      </x:c>
      <x:c r="G9" s="28" t="n">
        <x:v>24</x:v>
      </x:c>
      <x:c r="H9" s="28" t="n">
        <x:v>33</x:v>
      </x:c>
      <x:c r="I9" s="32" t="n">
        <x:v>0.17</x:v>
      </x:c>
      <x:c r="J9" s="28" t="n">
        <x:v>4</x:v>
      </x:c>
      <x:c r="K9" s="28" t="str">
        <x:v>A,B,D</x:v>
      </x:c>
      <x:c r="L9" s="28" t="str">
        <x:v>ADR mukana</x:v>
      </x:c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32"/>
      <x:c r="J10" s="28"/>
      <x:c r="K10" s="28"/>
      <x:c r="L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32"/>
      <x:c r="J11" s="28"/>
      <x:c r="K11" s="28"/>
      <x:c r="L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32"/>
      <x:c r="J12" s="28"/>
      <x:c r="K12" s="28"/>
      <x:c r="L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32"/>
      <x:c r="J13" s="28"/>
      <x:c r="K13" s="28"/>
      <x:c r="L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32"/>
      <x:c r="J14" s="28"/>
      <x:c r="K14" s="28"/>
      <x:c r="L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32"/>
      <x:c r="J15" s="28"/>
      <x:c r="K15" s="28"/>
      <x:c r="L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32"/>
      <x:c r="J16" s="28"/>
      <x:c r="K16" s="28"/>
      <x:c r="L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32"/>
      <x:c r="J17" s="28"/>
      <x:c r="K17" s="28"/>
      <x:c r="L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32"/>
      <x:c r="J18" s="28"/>
      <x:c r="K18" s="28"/>
      <x:c r="L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32"/>
      <x:c r="J19" s="28"/>
      <x:c r="K19" s="28"/>
      <x:c r="L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32"/>
      <x:c r="J20" s="28"/>
      <x:c r="K20" s="28"/>
      <x:c r="L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32"/>
      <x:c r="J21" s="28"/>
      <x:c r="K21" s="28"/>
      <x:c r="L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32"/>
      <x:c r="J22" s="28"/>
      <x:c r="K22" s="28"/>
      <x:c r="L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32"/>
      <x:c r="J23" s="28"/>
      <x:c r="K23" s="28"/>
      <x:c r="L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32"/>
      <x:c r="J24" s="28"/>
      <x:c r="K24" s="28"/>
      <x:c r="L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32"/>
      <x:c r="J25" s="28"/>
      <x:c r="K25" s="28"/>
      <x:c r="L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32"/>
      <x:c r="J26" s="28"/>
      <x:c r="K26" s="28"/>
      <x:c r="L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32"/>
      <x:c r="J27" s="28"/>
      <x:c r="K27" s="28"/>
      <x:c r="L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32"/>
      <x:c r="J28" s="28"/>
      <x:c r="K28" s="28"/>
      <x:c r="L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32"/>
      <x:c r="J29" s="28"/>
      <x:c r="K29" s="28"/>
      <x:c r="L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32"/>
      <x:c r="J30" s="28"/>
      <x:c r="K30" s="28"/>
      <x:c r="L3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2" hidden="0" customWidth="1"/>
    <x:col min="4" max="4" width="16" hidden="0" customWidth="1"/>
    <x:col min="5" max="5" width="16" hidden="0" customWidth="1"/>
  </x:cols>
  <x:sheetData>
    <x:row r="1">
      <x:c r="A1" s="6" t="str">
        <x:v>Painotukset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Muuta optimoinnin painotuksia. Painojen summa tulisi olla 100 %.</x:v>
      </x:c>
    </x:row>
    <x:row r="4">
      <x:c r="A4" s="20" t="str">
        <x:v>Tekijä</x:v>
      </x:c>
      <x:c r="B4" s="20" t="str">
        <x:v>Paino</x:v>
      </x:c>
      <x:c r="C4" s="20" t="str">
        <x:v>Selitys</x:v>
      </x:c>
      <x:c r="D4" s="20" t="str">
        <x:v>Minimi</x:v>
      </x:c>
      <x:c r="E4" s="20" t="str">
        <x:v>Maksimi</x:v>
      </x:c>
    </x:row>
    <x:row r="5">
      <x:c r="A5" t="str">
        <x:v>Km-score</x:v>
      </x:c>
      <x:c r="B5" s="32" t="n">
        <x:v>0.3</x:v>
      </x:c>
      <x:c r="C5" t="str">
        <x:v>Lyhyempi reitti saa paremman pisteen</x:v>
      </x:c>
      <x:c r="D5" t="n">
        <x:v>250</x:v>
      </x:c>
      <x:c r="E5" t="n">
        <x:v>700</x:v>
      </x:c>
    </x:row>
    <x:row r="6">
      <x:c r="A6" t="str">
        <x:v>Ajoaika-score</x:v>
      </x:c>
      <x:c r="B6" s="32" t="n">
        <x:v>0.2</x:v>
      </x:c>
      <x:c r="C6" t="str">
        <x:v>Lyhyempi ajoaika saa paremman pisteen</x:v>
      </x:c>
      <x:c r="D6" t="n">
        <x:v>3</x:v>
      </x:c>
      <x:c r="E6" t="n">
        <x:v>9</x:v>
      </x:c>
    </x:row>
    <x:row r="7">
      <x:c r="A7" t="str">
        <x:v>Täyttöaste-score</x:v>
      </x:c>
      <x:c r="B7" s="32" t="n">
        <x:v>0.25</x:v>
      </x:c>
      <x:c r="C7" t="str">
        <x:v>Tavoite 85–95 %</x:v>
      </x:c>
      <x:c r="D7" s="40" t="n">
        <x:v>0.7</x:v>
      </x:c>
      <x:c r="E7" s="40" t="n">
        <x:v>0.95</x:v>
      </x:c>
    </x:row>
    <x:row r="8">
      <x:c r="A8" t="str">
        <x:v>Kate-score</x:v>
      </x:c>
      <x:c r="B8" s="32" t="n">
        <x:v>0.15</x:v>
      </x:c>
      <x:c r="C8" t="str">
        <x:v>Suurempi kate nostaa pistettä</x:v>
      </x:c>
      <x:c r="D8" s="40" t="n">
        <x:v>0.1</x:v>
      </x:c>
      <x:c r="E8" s="40" t="n">
        <x:v>0.22</x:v>
      </x:c>
    </x:row>
    <x:row r="9">
      <x:c r="A9" t="str">
        <x:v>Riski-score</x:v>
      </x:c>
      <x:c r="B9" s="32" t="n">
        <x:v>0.1</x:v>
      </x:c>
      <x:c r="C9" t="str">
        <x:v>Matalampi riski nostaa pistettä</x:v>
      </x:c>
      <x:c r="D9" t="n">
        <x:v>0</x:v>
      </x:c>
      <x:c r="E9" t="n">
        <x:v>8</x:v>
      </x:c>
    </x:row>
    <x:row r="10">
      <x:c r="A10" t="str">
        <x:v>Yhteensä</x:v>
      </x:c>
      <x:c r="B10" s="38" t="n">
        <x:f>SUM(B5:B9)</x:f>
        <x:v>1</x:v>
      </x:c>
      <x:c r="C10" t="str">
        <x:v>Painojen summa</x:v>
      </x:c>
      <x:c r="D10"/>
      <x:c r="E10"/>
    </x:row>
  </x:sheetData>
  <x:conditionalFormatting sqref="B10:B10">
    <x:cfRule type="expression" dxfId="0" priority="1">
      <x:formula>ABS(B10-1)&gt;0.001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</x:cols>
  <x:sheetData>
    <x:row r="1">
      <x:c r="A1" s="6" t="str">
        <x:v>AI-tyylinen optimointimoottori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Pisteyttää reittivaihtoehdot painotusten mukaan ja valitsee parhaan.</x:v>
      </x:c>
    </x:row>
    <x:row r="4">
      <x:c r="A4" s="20" t="str">
        <x:v>Vaihtoehto</x:v>
      </x:c>
      <x:c r="B4" s="20" t="str">
        <x:v>Reitti</x:v>
      </x:c>
      <x:c r="C4" s="20" t="str">
        <x:v>Km</x:v>
      </x:c>
      <x:c r="D4" s="20" t="str">
        <x:v>Ajoaika h</x:v>
      </x:c>
      <x:c r="E4" s="20" t="str">
        <x:v>Täyttöaste</x:v>
      </x:c>
      <x:c r="F4" s="20" t="str">
        <x:v>Kate %</x:v>
      </x:c>
      <x:c r="G4" s="20" t="str">
        <x:v>Riskipisteet</x:v>
      </x:c>
      <x:c r="H4" s="20" t="str">
        <x:v>Km-score</x:v>
      </x:c>
      <x:c r="I4" s="20" t="str">
        <x:v>Aika-score</x:v>
      </x:c>
      <x:c r="J4" s="20" t="str">
        <x:v>Täyttö-score</x:v>
      </x:c>
      <x:c r="K4" s="20" t="str">
        <x:v>Kate-score</x:v>
      </x:c>
      <x:c r="L4" s="20" t="str">
        <x:v>Riski-score</x:v>
      </x:c>
      <x:c r="M4" s="20" t="str">
        <x:v>Kokonaispiste</x:v>
      </x:c>
      <x:c r="N4" s="20" t="str">
        <x:v>Päätös</x:v>
      </x:c>
    </x:row>
    <x:row r="5">
      <x:c r="A5" s="35" t="str">
        <x:f>IF(Reittivaihtoehdot!A5="","",Reittivaihtoehdot!A5)</x:f>
        <x:v>R1</x:v>
      </x:c>
      <x:c r="B5" s="35" t="str">
        <x:f>IF(Reittivaihtoehdot!A5="","",Reittivaihtoehdot!B5)</x:f>
        <x:v>Vantaa → Tampere → Pori</x:v>
      </x:c>
      <x:c r="C5" s="35" t="n">
        <x:f>IF(Reittivaihtoehdot!A5="","",Reittivaihtoehdot!C5)</x:f>
        <x:v>290</x:v>
      </x:c>
      <x:c r="D5" s="35" t="n">
        <x:f>IF(Reittivaihtoehdot!A5="","",Reittivaihtoehdot!D5)</x:f>
        <x:v>3.9</x:v>
      </x:c>
      <x:c r="E5" s="38" t="n">
        <x:f>IF(Reittivaihtoehdot!A5="","",IF(Reittivaihtoehdot!H5=0,0,Reittivaihtoehdot!G5/Reittivaihtoehdot!H5))</x:f>
        <x:v>0.5454545454545454</x:v>
      </x:c>
      <x:c r="F5" s="38" t="n">
        <x:f>IF(Reittivaihtoehdot!A5="","",Reittivaihtoehdot!I5)</x:f>
        <x:v>0.18</x:v>
      </x:c>
      <x:c r="G5" s="35" t="n">
        <x:f>IF(Reittivaihtoehdot!A5="","",Reittivaihtoehdot!J5)</x:f>
        <x:v>2</x:v>
      </x:c>
      <x:c r="H5" s="42" t="n">
        <x:f>IF(A5="","",MAX(0,MIN(100,100*(1-(C5-Painotukset!D5)/(Painotukset!E5-Painotukset!D5)))))</x:f>
        <x:v>91.11111111111111</x:v>
      </x:c>
      <x:c r="I5" s="42" t="n">
        <x:f>IF(A5="","",MAX(0,MIN(100,100*(1-(D5-Painotukset!D6)/(Painotukset!E6-Painotukset!D6)))))</x:f>
        <x:v>85</x:v>
      </x:c>
      <x:c r="J5" s="42" t="n">
        <x:f>IF(A5="","",MAX(0,MIN(100,IF(E5&lt;=Painotukset!E7,100*(E5/Painotukset!E7),100*(1-(E5-Painotukset!E7)/(1-Painotukset!E7))))))</x:f>
        <x:v>57.41626794258373</x:v>
      </x:c>
      <x:c r="K5" s="42" t="n">
        <x:f>IF(A5="","",MAX(0,MIN(100,100*((F5-Painotukset!D8)/(Painotukset!E8-Painotukset!D8)))))</x:f>
        <x:v>66.66666666666666</x:v>
      </x:c>
      <x:c r="L5" s="42" t="n">
        <x:f>IF(A5="","",MAX(0,MIN(100,100*(1-(G5-Painotukset!D9)/(Painotukset!E9-Painotukset!D9)))))</x:f>
        <x:v>75</x:v>
      </x:c>
      <x:c r="M5" s="42" t="n">
        <x:f>IF(A5="","",H5*Painotukset!B5+I5*Painotukset!B6+J5*Painotukset!B7+K5*Painotukset!B8+L5*Painotukset!B9)</x:f>
        <x:v>76.18740031897926</x:v>
      </x:c>
      <x:c r="N5" s="35" t="str">
        <x:f>IF(A5="","",IF(M5=MAX($M$5:$M$14),"SUOSITUS",""))</x:f>
        <x:v>SUOSITUS</x:v>
      </x:c>
    </x:row>
    <x:row r="6">
      <x:c r="A6" s="35" t="str">
        <x:f>IF(Reittivaihtoehdot!A6="","",Reittivaihtoehdot!A6)</x:f>
        <x:v>R2</x:v>
      </x:c>
      <x:c r="B6" s="35" t="str">
        <x:f>IF(Reittivaihtoehdot!A6="","",Reittivaihtoehdot!B6)</x:f>
        <x:v>Vantaa → Pori → Tampere</x:v>
      </x:c>
      <x:c r="C6" s="35" t="n">
        <x:f>IF(Reittivaihtoehdot!A6="","",Reittivaihtoehdot!C6)</x:f>
        <x:v>330</x:v>
      </x:c>
      <x:c r="D6" s="35" t="n">
        <x:f>IF(Reittivaihtoehdot!A6="","",Reittivaihtoehdot!D6)</x:f>
        <x:v>4.4</x:v>
      </x:c>
      <x:c r="E6" s="38" t="n">
        <x:f>IF(Reittivaihtoehdot!A6="","",IF(Reittivaihtoehdot!H6=0,0,Reittivaihtoehdot!G6/Reittivaihtoehdot!H6))</x:f>
        <x:v>0.5454545454545454</x:v>
      </x:c>
      <x:c r="F6" s="38" t="n">
        <x:f>IF(Reittivaihtoehdot!A6="","",Reittivaihtoehdot!I6)</x:f>
        <x:v>0.15</x:v>
      </x:c>
      <x:c r="G6" s="35" t="n">
        <x:f>IF(Reittivaihtoehdot!A6="","",Reittivaihtoehdot!J6)</x:f>
        <x:v>3</x:v>
      </x:c>
      <x:c r="H6" s="42" t="n">
        <x:f>IF(A6="","",MAX(0,MIN(100,100*(1-(C6-Painotukset!D5)/(Painotukset!E5-Painotukset!D5)))))</x:f>
        <x:v>82.22222222222221</x:v>
      </x:c>
      <x:c r="I6" s="42" t="n">
        <x:f>IF(A6="","",MAX(0,MIN(100,100*(1-(D6-Painotukset!D6)/(Painotukset!E6-Painotukset!D6)))))</x:f>
        <x:v>76.66666666666666</x:v>
      </x:c>
      <x:c r="J6" s="42" t="n">
        <x:f>IF(A6="","",MAX(0,MIN(100,IF(E6&lt;=Painotukset!E7,100*(E6/Painotukset!E7),100*(1-(E6-Painotukset!E7)/(1-Painotukset!E7))))))</x:f>
        <x:v>57.41626794258373</x:v>
      </x:c>
      <x:c r="K6" s="42" t="n">
        <x:f>IF(A6="","",MAX(0,MIN(100,100*((F6-Painotukset!D8)/(Painotukset!E8-Painotukset!D8)))))</x:f>
        <x:v>41.66666666666666</x:v>
      </x:c>
      <x:c r="L6" s="42" t="n">
        <x:f>IF(A6="","",MAX(0,MIN(100,100*(1-(G6-Painotukset!D9)/(Painotukset!E9-Painotukset!D9)))))</x:f>
        <x:v>62.5</x:v>
      </x:c>
      <x:c r="M6" s="42" t="n">
        <x:f>IF(A6="","",H6*Painotukset!B5+I6*Painotukset!B6+J6*Painotukset!B7+K6*Painotukset!B8+L6*Painotukset!B9)</x:f>
        <x:v>66.85406698564593</x:v>
      </x:c>
      <x:c r="N6" s="35" t="str">
        <x:f>IF(A6="","",IF(M6=MAX($M$5:$M$14),"SUOSITUS",""))</x:f>
      </x:c>
    </x:row>
    <x:row r="7">
      <x:c r="A7" s="35" t="str">
        <x:f>IF(Reittivaihtoehdot!A7="","",Reittivaihtoehdot!A7)</x:f>
        <x:v>R3</x:v>
      </x:c>
      <x:c r="B7" s="35" t="str">
        <x:f>IF(Reittivaihtoehdot!A7="","",Reittivaihtoehdot!B7)</x:f>
        <x:v>Vantaa → Tampere → Pori → Oulu</x:v>
      </x:c>
      <x:c r="C7" s="35" t="n">
        <x:f>IF(Reittivaihtoehdot!A7="","",Reittivaihtoehdot!C7)</x:f>
        <x:v>610</x:v>
      </x:c>
      <x:c r="D7" s="35" t="n">
        <x:f>IF(Reittivaihtoehdot!A7="","",Reittivaihtoehdot!D7)</x:f>
        <x:v>8.1</x:v>
      </x:c>
      <x:c r="E7" s="38" t="n">
        <x:f>IF(Reittivaihtoehdot!A7="","",IF(Reittivaihtoehdot!H7=0,0,Reittivaihtoehdot!G7/Reittivaihtoehdot!H7))</x:f>
        <x:v>0.9090909090909091</x:v>
      </x:c>
      <x:c r="F7" s="38" t="n">
        <x:f>IF(Reittivaihtoehdot!A7="","",Reittivaihtoehdot!I7)</x:f>
        <x:v>0.16</x:v>
      </x:c>
      <x:c r="G7" s="35" t="n">
        <x:f>IF(Reittivaihtoehdot!A7="","",Reittivaihtoehdot!J7)</x:f>
        <x:v>5</x:v>
      </x:c>
      <x:c r="H7" s="42" t="n">
        <x:f>IF(A7="","",MAX(0,MIN(100,100*(1-(C7-Painotukset!D5)/(Painotukset!E5-Painotukset!D5)))))</x:f>
        <x:v>19.999999999999996</x:v>
      </x:c>
      <x:c r="I7" s="42" t="n">
        <x:f>IF(A7="","",MAX(0,MIN(100,100*(1-(D7-Painotukset!D6)/(Painotukset!E6-Painotukset!D6)))))</x:f>
        <x:v>15.000000000000002</x:v>
      </x:c>
      <x:c r="J7" s="42" t="n">
        <x:f>IF(A7="","",MAX(0,MIN(100,IF(E7&lt;=Painotukset!E7,100*(E7/Painotukset!E7),100*(1-(E7-Painotukset!E7)/(1-Painotukset!E7))))))</x:f>
        <x:v>95.69377990430623</x:v>
      </x:c>
      <x:c r="K7" s="42" t="n">
        <x:f>IF(A7="","",MAX(0,MIN(100,100*((F7-Painotukset!D8)/(Painotukset!E8-Painotukset!D8)))))</x:f>
        <x:v>50</x:v>
      </x:c>
      <x:c r="L7" s="42" t="n">
        <x:f>IF(A7="","",MAX(0,MIN(100,100*(1-(G7-Painotukset!D9)/(Painotukset!E9-Painotukset!D9)))))</x:f>
        <x:v>37.5</x:v>
      </x:c>
      <x:c r="M7" s="42" t="n">
        <x:f>IF(A7="","",H7*Painotukset!B5+I7*Painotukset!B6+J7*Painotukset!B7+K7*Painotukset!B8+L7*Painotukset!B9)</x:f>
        <x:v>44.17344497607655</x:v>
      </x:c>
      <x:c r="N7" s="35" t="str">
        <x:f>IF(A7="","",IF(M7=MAX($M$5:$M$14),"SUOSITUS",""))</x:f>
      </x:c>
    </x:row>
    <x:row r="8">
      <x:c r="A8" s="35" t="str">
        <x:f>IF(Reittivaihtoehdot!A8="","",Reittivaihtoehdot!A8)</x:f>
        <x:v>R4</x:v>
      </x:c>
      <x:c r="B8" s="35" t="str">
        <x:f>IF(Reittivaihtoehdot!A8="","",Reittivaihtoehdot!B8)</x:f>
        <x:v>Jaetaan kahteen autoon</x:v>
      </x:c>
      <x:c r="C8" s="35" t="n">
        <x:f>IF(Reittivaihtoehdot!A8="","",Reittivaihtoehdot!C8)</x:f>
        <x:v>410</x:v>
      </x:c>
      <x:c r="D8" s="35" t="n">
        <x:f>IF(Reittivaihtoehdot!A8="","",Reittivaihtoehdot!D8)</x:f>
        <x:v>5.5</x:v>
      </x:c>
      <x:c r="E8" s="38" t="n">
        <x:f>IF(Reittivaihtoehdot!A8="","",IF(Reittivaihtoehdot!H8=0,0,Reittivaihtoehdot!G8/Reittivaihtoehdot!H8))</x:f>
        <x:v>0.2727272727272727</x:v>
      </x:c>
      <x:c r="F8" s="38" t="n">
        <x:f>IF(Reittivaihtoehdot!A8="","",Reittivaihtoehdot!I8)</x:f>
        <x:v>0.1</x:v>
      </x:c>
      <x:c r="G8" s="35" t="n">
        <x:f>IF(Reittivaihtoehdot!A8="","",Reittivaihtoehdot!J8)</x:f>
        <x:v>2</x:v>
      </x:c>
      <x:c r="H8" s="42" t="n">
        <x:f>IF(A8="","",MAX(0,MIN(100,100*(1-(C8-Painotukset!D5)/(Painotukset!E5-Painotukset!D5)))))</x:f>
        <x:v>64.44444444444444</x:v>
      </x:c>
      <x:c r="I8" s="42" t="n">
        <x:f>IF(A8="","",MAX(0,MIN(100,100*(1-(D8-Painotukset!D6)/(Painotukset!E6-Painotukset!D6)))))</x:f>
        <x:v>58.33333333333333</x:v>
      </x:c>
      <x:c r="J8" s="42" t="n">
        <x:f>IF(A8="","",MAX(0,MIN(100,IF(E8&lt;=Painotukset!E7,100*(E8/Painotukset!E7),100*(1-(E8-Painotukset!E7)/(1-Painotukset!E7))))))</x:f>
        <x:v>28.708133971291865</x:v>
      </x:c>
      <x:c r="K8" s="42" t="n">
        <x:f>IF(A8="","",MAX(0,MIN(100,100*((F8-Painotukset!D8)/(Painotukset!E8-Painotukset!D8)))))</x:f>
        <x:v>0</x:v>
      </x:c>
      <x:c r="L8" s="42" t="n">
        <x:f>IF(A8="","",MAX(0,MIN(100,100*(1-(G8-Painotukset!D9)/(Painotukset!E9-Painotukset!D9)))))</x:f>
        <x:v>75</x:v>
      </x:c>
      <x:c r="M8" s="42" t="n">
        <x:f>IF(A8="","",H8*Painotukset!B5+I8*Painotukset!B6+J8*Painotukset!B7+K8*Painotukset!B8+L8*Painotukset!B9)</x:f>
        <x:v>45.677033492822964</x:v>
      </x:c>
      <x:c r="N8" s="35" t="str">
        <x:f>IF(A8="","",IF(M8=MAX($M$5:$M$14),"SUOSITUS",""))</x:f>
      </x:c>
    </x:row>
    <x:row r="9">
      <x:c r="A9" s="35" t="str">
        <x:f>IF(Reittivaihtoehdot!A9="","",Reittivaihtoehdot!A9)</x:f>
        <x:v>R5</x:v>
      </x:c>
      <x:c r="B9" s="35" t="str">
        <x:f>IF(Reittivaihtoehdot!A9="","",Reittivaihtoehdot!B9)</x:f>
        <x:v>Vantaa → Turku → Tampere → Pori</x:v>
      </x:c>
      <x:c r="C9" s="35" t="n">
        <x:f>IF(Reittivaihtoehdot!A9="","",Reittivaihtoehdot!C9)</x:f>
        <x:v>455</x:v>
      </x:c>
      <x:c r="D9" s="35" t="n">
        <x:f>IF(Reittivaihtoehdot!A9="","",Reittivaihtoehdot!D9)</x:f>
        <x:v>6.1</x:v>
      </x:c>
      <x:c r="E9" s="38" t="n">
        <x:f>IF(Reittivaihtoehdot!A9="","",IF(Reittivaihtoehdot!H9=0,0,Reittivaihtoehdot!G9/Reittivaihtoehdot!H9))</x:f>
        <x:v>0.7272727272727273</x:v>
      </x:c>
      <x:c r="F9" s="38" t="n">
        <x:f>IF(Reittivaihtoehdot!A9="","",Reittivaihtoehdot!I9)</x:f>
        <x:v>0.17</x:v>
      </x:c>
      <x:c r="G9" s="35" t="n">
        <x:f>IF(Reittivaihtoehdot!A9="","",Reittivaihtoehdot!J9)</x:f>
        <x:v>4</x:v>
      </x:c>
      <x:c r="H9" s="42" t="n">
        <x:f>IF(A9="","",MAX(0,MIN(100,100*(1-(C9-Painotukset!D5)/(Painotukset!E5-Painotukset!D5)))))</x:f>
        <x:v>54.44444444444445</x:v>
      </x:c>
      <x:c r="I9" s="42" t="n">
        <x:f>IF(A9="","",MAX(0,MIN(100,100*(1-(D9-Painotukset!D6)/(Painotukset!E6-Painotukset!D6)))))</x:f>
        <x:v>48.33333333333334</x:v>
      </x:c>
      <x:c r="J9" s="42" t="n">
        <x:f>IF(A9="","",MAX(0,MIN(100,IF(E9&lt;=Painotukset!E7,100*(E9/Painotukset!E7),100*(1-(E9-Painotukset!E7)/(1-Painotukset!E7))))))</x:f>
        <x:v>76.55502392344499</x:v>
      </x:c>
      <x:c r="K9" s="42" t="n">
        <x:f>IF(A9="","",MAX(0,MIN(100,100*((F9-Painotukset!D8)/(Painotukset!E8-Painotukset!D8)))))</x:f>
        <x:v>58.333333333333336</x:v>
      </x:c>
      <x:c r="L9" s="42" t="n">
        <x:f>IF(A9="","",MAX(0,MIN(100,100*(1-(G9-Painotukset!D9)/(Painotukset!E9-Painotukset!D9)))))</x:f>
        <x:v>50</x:v>
      </x:c>
      <x:c r="M9" s="42" t="n">
        <x:f>IF(A9="","",H9*Painotukset!B5+I9*Painotukset!B6+J9*Painotukset!B7+K9*Painotukset!B8+L9*Painotukset!B9)</x:f>
        <x:v>58.888755980861255</x:v>
      </x:c>
      <x:c r="N9" s="35" t="str">
        <x:f>IF(A9="","",IF(M9=MAX($M$5:$M$14),"SUOSITUS",""))</x:f>
      </x:c>
    </x:row>
    <x:row r="10">
      <x:c r="A10" s="35" t="str">
        <x:f>IF(Reittivaihtoehdot!A10="","",Reittivaihtoehdot!A10)</x:f>
      </x:c>
      <x:c r="B10" s="35" t="str">
        <x:f>IF(Reittivaihtoehdot!A10="","",Reittivaihtoehdot!B10)</x:f>
      </x:c>
      <x:c r="C10" s="35" t="str">
        <x:f>IF(Reittivaihtoehdot!A10="","",Reittivaihtoehdot!C10)</x:f>
      </x:c>
      <x:c r="D10" s="35" t="str">
        <x:f>IF(Reittivaihtoehdot!A10="","",Reittivaihtoehdot!D10)</x:f>
      </x:c>
      <x:c r="E10" s="38" t="str">
        <x:f>IF(Reittivaihtoehdot!A10="","",IF(Reittivaihtoehdot!H10=0,0,Reittivaihtoehdot!G10/Reittivaihtoehdot!H10))</x:f>
      </x:c>
      <x:c r="F10" s="38" t="str">
        <x:f>IF(Reittivaihtoehdot!A10="","",Reittivaihtoehdot!I10)</x:f>
      </x:c>
      <x:c r="G10" s="35" t="str">
        <x:f>IF(Reittivaihtoehdot!A10="","",Reittivaihtoehdot!J10)</x:f>
      </x:c>
      <x:c r="H10" s="42" t="str">
        <x:f>IF(A10="","",MAX(0,MIN(100,100*(1-(C10-Painotukset!D5)/(Painotukset!E5-Painotukset!D5)))))</x:f>
      </x:c>
      <x:c r="I10" s="42" t="str">
        <x:f>IF(A10="","",MAX(0,MIN(100,100*(1-(D10-Painotukset!D6)/(Painotukset!E6-Painotukset!D6)))))</x:f>
      </x:c>
      <x:c r="J10" s="42" t="str">
        <x:f>IF(A10="","",MAX(0,MIN(100,IF(E10&lt;=Painotukset!E7,100*(E10/Painotukset!E7),100*(1-(E10-Painotukset!E7)/(1-Painotukset!E7))))))</x:f>
      </x:c>
      <x:c r="K10" s="42" t="str">
        <x:f>IF(A10="","",MAX(0,MIN(100,100*((F10-Painotukset!D8)/(Painotukset!E8-Painotukset!D8)))))</x:f>
      </x:c>
      <x:c r="L10" s="42" t="str">
        <x:f>IF(A10="","",MAX(0,MIN(100,100*(1-(G10-Painotukset!D9)/(Painotukset!E9-Painotukset!D9)))))</x:f>
      </x:c>
      <x:c r="M10" s="42" t="str">
        <x:f>IF(A10="","",H10*Painotukset!B5+I10*Painotukset!B6+J10*Painotukset!B7+K10*Painotukset!B8+L10*Painotukset!B9)</x:f>
      </x:c>
      <x:c r="N10" s="35" t="str">
        <x:f>IF(A10="","",IF(M10=MAX($M$5:$M$14),"SUOSITUS",""))</x:f>
      </x:c>
    </x:row>
    <x:row r="11">
      <x:c r="A11" s="35" t="str">
        <x:f>IF(Reittivaihtoehdot!A11="","",Reittivaihtoehdot!A11)</x:f>
      </x:c>
      <x:c r="B11" s="35" t="str">
        <x:f>IF(Reittivaihtoehdot!A11="","",Reittivaihtoehdot!B11)</x:f>
      </x:c>
      <x:c r="C11" s="35" t="str">
        <x:f>IF(Reittivaihtoehdot!A11="","",Reittivaihtoehdot!C11)</x:f>
      </x:c>
      <x:c r="D11" s="35" t="str">
        <x:f>IF(Reittivaihtoehdot!A11="","",Reittivaihtoehdot!D11)</x:f>
      </x:c>
      <x:c r="E11" s="38" t="str">
        <x:f>IF(Reittivaihtoehdot!A11="","",IF(Reittivaihtoehdot!H11=0,0,Reittivaihtoehdot!G11/Reittivaihtoehdot!H11))</x:f>
      </x:c>
      <x:c r="F11" s="38" t="str">
        <x:f>IF(Reittivaihtoehdot!A11="","",Reittivaihtoehdot!I11)</x:f>
      </x:c>
      <x:c r="G11" s="35" t="str">
        <x:f>IF(Reittivaihtoehdot!A11="","",Reittivaihtoehdot!J11)</x:f>
      </x:c>
      <x:c r="H11" s="42" t="str">
        <x:f>IF(A11="","",MAX(0,MIN(100,100*(1-(C11-Painotukset!D5)/(Painotukset!E5-Painotukset!D5)))))</x:f>
      </x:c>
      <x:c r="I11" s="42" t="str">
        <x:f>IF(A11="","",MAX(0,MIN(100,100*(1-(D11-Painotukset!D6)/(Painotukset!E6-Painotukset!D6)))))</x:f>
      </x:c>
      <x:c r="J11" s="42" t="str">
        <x:f>IF(A11="","",MAX(0,MIN(100,IF(E11&lt;=Painotukset!E7,100*(E11/Painotukset!E7),100*(1-(E11-Painotukset!E7)/(1-Painotukset!E7))))))</x:f>
      </x:c>
      <x:c r="K11" s="42" t="str">
        <x:f>IF(A11="","",MAX(0,MIN(100,100*((F11-Painotukset!D8)/(Painotukset!E8-Painotukset!D8)))))</x:f>
      </x:c>
      <x:c r="L11" s="42" t="str">
        <x:f>IF(A11="","",MAX(0,MIN(100,100*(1-(G11-Painotukset!D9)/(Painotukset!E9-Painotukset!D9)))))</x:f>
      </x:c>
      <x:c r="M11" s="42" t="str">
        <x:f>IF(A11="","",H11*Painotukset!B5+I11*Painotukset!B6+J11*Painotukset!B7+K11*Painotukset!B8+L11*Painotukset!B9)</x:f>
      </x:c>
      <x:c r="N11" s="35" t="str">
        <x:f>IF(A11="","",IF(M11=MAX($M$5:$M$14),"SUOSITUS",""))</x:f>
      </x:c>
    </x:row>
    <x:row r="12">
      <x:c r="A12" s="35" t="str">
        <x:f>IF(Reittivaihtoehdot!A12="","",Reittivaihtoehdot!A12)</x:f>
      </x:c>
      <x:c r="B12" s="35" t="str">
        <x:f>IF(Reittivaihtoehdot!A12="","",Reittivaihtoehdot!B12)</x:f>
      </x:c>
      <x:c r="C12" s="35" t="str">
        <x:f>IF(Reittivaihtoehdot!A12="","",Reittivaihtoehdot!C12)</x:f>
      </x:c>
      <x:c r="D12" s="35" t="str">
        <x:f>IF(Reittivaihtoehdot!A12="","",Reittivaihtoehdot!D12)</x:f>
      </x:c>
      <x:c r="E12" s="38" t="str">
        <x:f>IF(Reittivaihtoehdot!A12="","",IF(Reittivaihtoehdot!H12=0,0,Reittivaihtoehdot!G12/Reittivaihtoehdot!H12))</x:f>
      </x:c>
      <x:c r="F12" s="38" t="str">
        <x:f>IF(Reittivaihtoehdot!A12="","",Reittivaihtoehdot!I12)</x:f>
      </x:c>
      <x:c r="G12" s="35" t="str">
        <x:f>IF(Reittivaihtoehdot!A12="","",Reittivaihtoehdot!J12)</x:f>
      </x:c>
      <x:c r="H12" s="42" t="str">
        <x:f>IF(A12="","",MAX(0,MIN(100,100*(1-(C12-Painotukset!D5)/(Painotukset!E5-Painotukset!D5)))))</x:f>
      </x:c>
      <x:c r="I12" s="42" t="str">
        <x:f>IF(A12="","",MAX(0,MIN(100,100*(1-(D12-Painotukset!D6)/(Painotukset!E6-Painotukset!D6)))))</x:f>
      </x:c>
      <x:c r="J12" s="42" t="str">
        <x:f>IF(A12="","",MAX(0,MIN(100,IF(E12&lt;=Painotukset!E7,100*(E12/Painotukset!E7),100*(1-(E12-Painotukset!E7)/(1-Painotukset!E7))))))</x:f>
      </x:c>
      <x:c r="K12" s="42" t="str">
        <x:f>IF(A12="","",MAX(0,MIN(100,100*((F12-Painotukset!D8)/(Painotukset!E8-Painotukset!D8)))))</x:f>
      </x:c>
      <x:c r="L12" s="42" t="str">
        <x:f>IF(A12="","",MAX(0,MIN(100,100*(1-(G12-Painotukset!D9)/(Painotukset!E9-Painotukset!D9)))))</x:f>
      </x:c>
      <x:c r="M12" s="42" t="str">
        <x:f>IF(A12="","",H12*Painotukset!B5+I12*Painotukset!B6+J12*Painotukset!B7+K12*Painotukset!B8+L12*Painotukset!B9)</x:f>
      </x:c>
      <x:c r="N12" s="35" t="str">
        <x:f>IF(A12="","",IF(M12=MAX($M$5:$M$14),"SUOSITUS",""))</x:f>
      </x:c>
    </x:row>
    <x:row r="13">
      <x:c r="A13" s="35" t="str">
        <x:f>IF(Reittivaihtoehdot!A13="","",Reittivaihtoehdot!A13)</x:f>
      </x:c>
      <x:c r="B13" s="35" t="str">
        <x:f>IF(Reittivaihtoehdot!A13="","",Reittivaihtoehdot!B13)</x:f>
      </x:c>
      <x:c r="C13" s="35" t="str">
        <x:f>IF(Reittivaihtoehdot!A13="","",Reittivaihtoehdot!C13)</x:f>
      </x:c>
      <x:c r="D13" s="35" t="str">
        <x:f>IF(Reittivaihtoehdot!A13="","",Reittivaihtoehdot!D13)</x:f>
      </x:c>
      <x:c r="E13" s="38" t="str">
        <x:f>IF(Reittivaihtoehdot!A13="","",IF(Reittivaihtoehdot!H13=0,0,Reittivaihtoehdot!G13/Reittivaihtoehdot!H13))</x:f>
      </x:c>
      <x:c r="F13" s="38" t="str">
        <x:f>IF(Reittivaihtoehdot!A13="","",Reittivaihtoehdot!I13)</x:f>
      </x:c>
      <x:c r="G13" s="35" t="str">
        <x:f>IF(Reittivaihtoehdot!A13="","",Reittivaihtoehdot!J13)</x:f>
      </x:c>
      <x:c r="H13" s="42" t="str">
        <x:f>IF(A13="","",MAX(0,MIN(100,100*(1-(C13-Painotukset!D5)/(Painotukset!E5-Painotukset!D5)))))</x:f>
      </x:c>
      <x:c r="I13" s="42" t="str">
        <x:f>IF(A13="","",MAX(0,MIN(100,100*(1-(D13-Painotukset!D6)/(Painotukset!E6-Painotukset!D6)))))</x:f>
      </x:c>
      <x:c r="J13" s="42" t="str">
        <x:f>IF(A13="","",MAX(0,MIN(100,IF(E13&lt;=Painotukset!E7,100*(E13/Painotukset!E7),100*(1-(E13-Painotukset!E7)/(1-Painotukset!E7))))))</x:f>
      </x:c>
      <x:c r="K13" s="42" t="str">
        <x:f>IF(A13="","",MAX(0,MIN(100,100*((F13-Painotukset!D8)/(Painotukset!E8-Painotukset!D8)))))</x:f>
      </x:c>
      <x:c r="L13" s="42" t="str">
        <x:f>IF(A13="","",MAX(0,MIN(100,100*(1-(G13-Painotukset!D9)/(Painotukset!E9-Painotukset!D9)))))</x:f>
      </x:c>
      <x:c r="M13" s="42" t="str">
        <x:f>IF(A13="","",H13*Painotukset!B5+I13*Painotukset!B6+J13*Painotukset!B7+K13*Painotukset!B8+L13*Painotukset!B9)</x:f>
      </x:c>
      <x:c r="N13" s="35" t="str">
        <x:f>IF(A13="","",IF(M13=MAX($M$5:$M$14),"SUOSITUS",""))</x:f>
      </x:c>
    </x:row>
    <x:row r="14">
      <x:c r="A14" s="35" t="str">
        <x:f>IF(Reittivaihtoehdot!A14="","",Reittivaihtoehdot!A14)</x:f>
      </x:c>
      <x:c r="B14" s="35" t="str">
        <x:f>IF(Reittivaihtoehdot!A14="","",Reittivaihtoehdot!B14)</x:f>
      </x:c>
      <x:c r="C14" s="35" t="str">
        <x:f>IF(Reittivaihtoehdot!A14="","",Reittivaihtoehdot!C14)</x:f>
      </x:c>
      <x:c r="D14" s="35" t="str">
        <x:f>IF(Reittivaihtoehdot!A14="","",Reittivaihtoehdot!D14)</x:f>
      </x:c>
      <x:c r="E14" s="38" t="str">
        <x:f>IF(Reittivaihtoehdot!A14="","",IF(Reittivaihtoehdot!H14=0,0,Reittivaihtoehdot!G14/Reittivaihtoehdot!H14))</x:f>
      </x:c>
      <x:c r="F14" s="38" t="str">
        <x:f>IF(Reittivaihtoehdot!A14="","",Reittivaihtoehdot!I14)</x:f>
      </x:c>
      <x:c r="G14" s="35" t="str">
        <x:f>IF(Reittivaihtoehdot!A14="","",Reittivaihtoehdot!J14)</x:f>
      </x:c>
      <x:c r="H14" s="42" t="str">
        <x:f>IF(A14="","",MAX(0,MIN(100,100*(1-(C14-Painotukset!D5)/(Painotukset!E5-Painotukset!D5)))))</x:f>
      </x:c>
      <x:c r="I14" s="42" t="str">
        <x:f>IF(A14="","",MAX(0,MIN(100,100*(1-(D14-Painotukset!D6)/(Painotukset!E6-Painotukset!D6)))))</x:f>
      </x:c>
      <x:c r="J14" s="42" t="str">
        <x:f>IF(A14="","",MAX(0,MIN(100,IF(E14&lt;=Painotukset!E7,100*(E14/Painotukset!E7),100*(1-(E14-Painotukset!E7)/(1-Painotukset!E7))))))</x:f>
      </x:c>
      <x:c r="K14" s="42" t="str">
        <x:f>IF(A14="","",MAX(0,MIN(100,100*((F14-Painotukset!D8)/(Painotukset!E8-Painotukset!D8)))))</x:f>
      </x:c>
      <x:c r="L14" s="42" t="str">
        <x:f>IF(A14="","",MAX(0,MIN(100,100*(1-(G14-Painotukset!D9)/(Painotukset!E9-Painotukset!D9)))))</x:f>
      </x:c>
      <x:c r="M14" s="42" t="str">
        <x:f>IF(A14="","",H14*Painotukset!B5+I14*Painotukset!B6+J14*Painotukset!B7+K14*Painotukset!B8+L14*Painotukset!B9)</x:f>
      </x:c>
      <x:c r="N14" s="35" t="str">
        <x:f>IF(A14="","",IF(M14=MAX($M$5:$M$14),"SUOSITUS",""))</x:f>
      </x:c>
    </x:row>
    <x:row r="17">
      <x:c r="A17" s="47" t="str">
        <x:v>Paras vaihtoehto</x:v>
      </x:c>
    </x:row>
    <x:row r="18">
      <x:c r="A18" s="20" t="str">
        <x:v>Reitti</x:v>
      </x:c>
      <x:c r="B18" s="20" t="str">
        <x:v>Pisteet</x:v>
      </x:c>
      <x:c r="C18" s="20" t="str">
        <x:v>Km</x:v>
      </x:c>
      <x:c r="D18" s="20" t="str">
        <x:v>Ajoaika</x:v>
      </x:c>
      <x:c r="E18" s="20" t="str">
        <x:v>Täyttöaste</x:v>
      </x:c>
      <x:c r="F18" s="20" t="str">
        <x:v>Kate %</x:v>
      </x:c>
      <x:c r="G18" s="20" t="str">
        <x:v>Riskitaso</x:v>
      </x:c>
      <x:c r="H18" s="20" t="str">
        <x:v>Päätös</x:v>
      </x:c>
      <x:c r="I18" s="20" t="str">
        <x:v>Perustelu</x:v>
      </x:c>
      <x:c r="J18" s="20" t="str">
        <x:v>Portfolio-huomio</x:v>
      </x:c>
    </x:row>
    <x:row r="19">
      <x:c r="A19" s="35" t="str">
        <x:f>INDEX(B5:B14,MATCH(MAX(M5:M14),M5:M14,0))</x:f>
        <x:v>Vantaa → Tampere → Pori</x:v>
      </x:c>
      <x:c r="B19" s="35" t="n">
        <x:f>MAX(M5:M14)</x:f>
        <x:v>76.18740031897926</x:v>
      </x:c>
      <x:c r="C19" s="35" t="n">
        <x:f>INDEX(C5:C14,MATCH(MAX(M5:M14),M5:M14,0))</x:f>
        <x:v>290</x:v>
      </x:c>
      <x:c r="D19" s="35" t="n">
        <x:f>INDEX(D5:D14,MATCH(MAX(M5:M14),M5:M14,0))</x:f>
        <x:v>3.9</x:v>
      </x:c>
      <x:c r="E19" s="38" t="n">
        <x:f>INDEX(E5:E14,MATCH(MAX(M5:M14),M5:M14,0))</x:f>
        <x:v>0.5454545454545454</x:v>
      </x:c>
      <x:c r="F19" s="38" t="n">
        <x:f>INDEX(F5:F14,MATCH(MAX(M5:M14),M5:M14,0))</x:f>
        <x:v>0.18</x:v>
      </x:c>
      <x:c r="G19" s="35" t="str">
        <x:f>IF(INDEX(G5:G14,MATCH(MAX(M5:M14),M5:M14,0))&gt;=5,"Korkea",IF(INDEX(G5:G14,MATCH(MAX(M5:M14),M5:M14,0))&gt;=3,"Keskitaso","Matala"))</x:f>
        <x:v>Matala</x:v>
      </x:c>
      <x:c r="H19" s="35" t="str">
        <x:f>IF(B19&gt;=75,"Aja tällä vaihtoehdolla",IF(B19&gt;=60,"Tarkista manuaalisesti","Ei suositella"))</x:f>
        <x:v>Aja tällä vaihtoehdolla</x:v>
      </x:c>
      <x:c r="I19" s="35" t="str">
        <x:f>TEXTJOIN(", ",TRUE,IF(D19&lt;=4.5,"ei taukopakkoa","tauko huomioitava"),IF(E19&gt;=0.85,"hyvä täyttöaste","täyttöaste tarkistettava"),IF(F19&gt;=0.15,"kate ok","kate matala"))</x:f>
        <x:v>ei taukopakkoa, täyttöaste tarkistettava, kate ok</x:v>
      </x:c>
      <x:c r="J19" s="35" t="str">
        <x:v>Sääntöpohjainen AI-score-malli</x:v>
      </x:c>
    </x:row>
  </x:sheetData>
  <x:conditionalFormatting sqref="M5:M14">
    <x:cfRule type="colorScale" priority="1">
      <x:colorScale>
        <x:cfvo type="min"/>
        <x:cfvo type="percentile" val="50"/>
        <x:cfvo type="max"/>
        <x:color rgb="F4CCCC"/>
        <x:color rgb="FFF2CC"/>
        <x:color rgb="E2F0D9"/>
      </x:colorScale>
    </x:cfRule>
  </x:conditionalFormatting>
  <x:conditionalFormatting sqref="N5:N14">
    <x:cfRule type="expression" dxfId="1" priority="2">
      <x:formula>N5="SUOSITUS"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</x:cols>
  <x:sheetData>
    <x:row r="1">
      <x:c r="A1" s="6" t="str">
        <x:v>Kuormaoptimointi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Laskee vain suositeltuun reittiin kuuluvat lähetykset.</x:v>
      </x:c>
    </x:row>
    <x:row r="4">
      <x:c r="A4" s="20" t="str">
        <x:v>Lähetys</x:v>
      </x:c>
      <x:c r="B4" s="20" t="str">
        <x:v>Mukana suosituksessa?</x:v>
      </x:c>
      <x:c r="C4" s="20" t="str">
        <x:v>Toimitus</x:v>
      </x:c>
      <x:c r="D4" s="20" t="str">
        <x:v>Lavapaikat</x:v>
      </x:c>
      <x:c r="E4" s="20" t="str">
        <x:v>Paino kg</x:v>
      </x:c>
      <x:c r="F4" s="20" t="str">
        <x:v>Lämpö min</x:v>
      </x:c>
      <x:c r="G4" s="20" t="str">
        <x:v>Lämpö max</x:v>
      </x:c>
      <x:c r="H4" s="20" t="str">
        <x:v>ADR?</x:v>
      </x:c>
      <x:c r="I4" s="20" t="str">
        <x:v>Purkujärjestys</x:v>
      </x:c>
      <x:c r="J4" s="20" t="str">
        <x:v>Sijoitus</x:v>
      </x:c>
      <x:c r="K4" s="20" t="str">
        <x:v>Sopii kuormaan?</x:v>
      </x:c>
      <x:c r="L4" s="20" t="str">
        <x:v>Riski</x:v>
      </x:c>
      <x:c r="M4" s="20" t="str">
        <x:v>Huomio</x:v>
      </x:c>
    </x:row>
    <x:row r="5">
      <x:c r="A5" s="35" t="str">
        <x:f>IF('Lähetykset'!A5="","",'Lähetykset'!A5)</x:f>
        <x:v>A</x:v>
      </x:c>
      <x:c r="B5" s="35" t="str">
        <x:f>IF(A5="","",IF(ISNUMBER(SEARCH(A5,INDEX(Reittivaihtoehdot!K:K,MATCH(INDEX(Optimointi!A5:A14,MATCH(MAX(Optimointi!M5:M14),Optimointi!M5:M14,0)),Reittivaihtoehdot!A:A,0)))),"Kyllä","Ei"))</x:f>
        <x:v>Kyllä</x:v>
      </x:c>
      <x:c r="C5" s="35" t="str">
        <x:f>IF(A5="","",'Lähetykset'!C5)</x:f>
        <x:v>Tampere</x:v>
      </x:c>
      <x:c r="D5" s="35" t="n">
        <x:f>IF(A5="","",'Lähetykset'!D5)</x:f>
        <x:v>8</x:v>
      </x:c>
      <x:c r="E5" s="35" t="n">
        <x:f>IF(A5="","",'Lähetykset'!E5)</x:f>
        <x:v>2500</x:v>
      </x:c>
      <x:c r="F5" s="35" t="n">
        <x:f>IF(OR(A5="",'Lähetykset'!F5=""),"",'Lähetykset'!F5)</x:f>
        <x:v>2</x:v>
      </x:c>
      <x:c r="G5" s="35" t="n">
        <x:f>IF(OR(A5="",'Lähetykset'!G5=""),"",'Lähetykset'!G5)</x:f>
        <x:v>6</x:v>
      </x:c>
      <x:c r="H5" s="35" t="str">
        <x:f>IF(A5="","",'Lähetykset'!H5)</x:f>
        <x:v>Ei</x:v>
      </x:c>
      <x:c r="I5" s="35" t="n">
        <x:f>IF(A5="","",COUNTIF($B$5:B5,"Kyllä"))</x:f>
        <x:v>1</x:v>
      </x:c>
      <x:c r="J5" s="35" t="str">
        <x:f>IF(B5&lt;&gt;"Kyllä","",IF(I5=1,"Perä",IF(I5=2,"Keskiosa","Keula")))</x:f>
        <x:v>Perä</x:v>
      </x:c>
      <x:c r="K5" s="35" t="str">
        <x:f>IF(B5&lt;&gt;"Kyllä","",IF(SUMIF($B$5:$B$14,"Kyllä",$D$5:$D$14)&gt;33,"Ei mahdu",IF(SUMIF($B$5:$B$14,"Kyllä",$E$5:$E$14)&gt;24000,"Paino yli","OK")))</x:f>
        <x:v>OK</x:v>
      </x:c>
      <x:c r="L5" s="35" t="str">
        <x:f>IF(B5&lt;&gt;"Kyllä","",IF(H5="Kyllä","ADR",IF(AND(F5&lt;&gt;"",G5&lt;&gt;""),"Thermo","Normaali")))</x:f>
        <x:v>Thermo</x:v>
      </x:c>
      <x:c r="M5" s="35" t="str">
        <x:f>IF(B5&lt;&gt;"Kyllä","",IF(K5&lt;&gt;"OK","Tarkista kapasiteetti",IF(L5="ADR","ADR-lisä",IF(L5="Thermo","Thermolisä",""))))</x:f>
        <x:v>Thermolisä</x:v>
      </x:c>
    </x:row>
    <x:row r="6">
      <x:c r="A6" s="35" t="str">
        <x:f>IF('Lähetykset'!A6="","",'Lähetykset'!A6)</x:f>
        <x:v>B</x:v>
      </x:c>
      <x:c r="B6" s="35" t="str">
        <x:f>IF(A6="","",IF(ISNUMBER(SEARCH(A6,INDEX(Reittivaihtoehdot!K:K,MATCH(INDEX(Optimointi!A5:A14,MATCH(MAX(Optimointi!M5:M14),Optimointi!M5:M14,0)),Reittivaihtoehdot!A:A,0)))),"Kyllä","Ei"))</x:f>
        <x:v>Kyllä</x:v>
      </x:c>
      <x:c r="C6" s="35" t="str">
        <x:f>IF(A6="","",'Lähetykset'!C6)</x:f>
        <x:v>Pori</x:v>
      </x:c>
      <x:c r="D6" s="35" t="n">
        <x:f>IF(A6="","",'Lähetykset'!D6)</x:f>
        <x:v>10</x:v>
      </x:c>
      <x:c r="E6" s="35" t="n">
        <x:f>IF(A6="","",'Lähetykset'!E6)</x:f>
        <x:v>3200</x:v>
      </x:c>
      <x:c r="F6" s="35" t="n">
        <x:f>IF(OR(A6="",'Lähetykset'!F6=""),"",'Lähetykset'!F6)</x:f>
        <x:v>2</x:v>
      </x:c>
      <x:c r="G6" s="35" t="n">
        <x:f>IF(OR(A6="",'Lähetykset'!G6=""),"",'Lähetykset'!G6)</x:f>
        <x:v>6</x:v>
      </x:c>
      <x:c r="H6" s="35" t="str">
        <x:f>IF(A6="","",'Lähetykset'!H6)</x:f>
        <x:v>Ei</x:v>
      </x:c>
      <x:c r="I6" s="35" t="n">
        <x:f>IF(A6="","",COUNTIF($B$5:B6,"Kyllä"))</x:f>
        <x:v>2</x:v>
      </x:c>
      <x:c r="J6" s="35" t="str">
        <x:f>IF(B6&lt;&gt;"Kyllä","",IF(I6=1,"Perä",IF(I6=2,"Keskiosa","Keula")))</x:f>
        <x:v>Keskiosa</x:v>
      </x:c>
      <x:c r="K6" s="35" t="str">
        <x:f>IF(B6&lt;&gt;"Kyllä","",IF(SUMIF($B$5:$B$14,"Kyllä",$D$5:$D$14)&gt;33,"Ei mahdu",IF(SUMIF($B$5:$B$14,"Kyllä",$E$5:$E$14)&gt;24000,"Paino yli","OK")))</x:f>
        <x:v>OK</x:v>
      </x:c>
      <x:c r="L6" s="35" t="str">
        <x:f>IF(B6&lt;&gt;"Kyllä","",IF(H6="Kyllä","ADR",IF(AND(F6&lt;&gt;"",G6&lt;&gt;""),"Thermo","Normaali")))</x:f>
        <x:v>Thermo</x:v>
      </x:c>
      <x:c r="M6" s="35" t="str">
        <x:f>IF(B6&lt;&gt;"Kyllä","",IF(K6&lt;&gt;"OK","Tarkista kapasiteetti",IF(L6="ADR","ADR-lisä",IF(L6="Thermo","Thermolisä",""))))</x:f>
        <x:v>Thermolisä</x:v>
      </x:c>
    </x:row>
    <x:row r="7">
      <x:c r="A7" s="35" t="str">
        <x:f>IF('Lähetykset'!A7="","",'Lähetykset'!A7)</x:f>
        <x:v>C</x:v>
      </x:c>
      <x:c r="B7" s="35" t="str">
        <x:f>IF(A7="","",IF(ISNUMBER(SEARCH(A7,INDEX(Reittivaihtoehdot!K:K,MATCH(INDEX(Optimointi!A5:A14,MATCH(MAX(Optimointi!M5:M14),Optimointi!M5:M14,0)),Reittivaihtoehdot!A:A,0)))),"Kyllä","Ei"))</x:f>
        <x:v>Ei</x:v>
      </x:c>
      <x:c r="C7" s="35" t="str">
        <x:f>IF(A7="","",'Lähetykset'!C7)</x:f>
        <x:v>Oulu</x:v>
      </x:c>
      <x:c r="D7" s="35" t="n">
        <x:f>IF(A7="","",'Lähetykset'!D7)</x:f>
        <x:v>12</x:v>
      </x:c>
      <x:c r="E7" s="35" t="n">
        <x:f>IF(A7="","",'Lähetykset'!E7)</x:f>
        <x:v>5000</x:v>
      </x:c>
      <x:c r="F7" s="35" t="str">
        <x:f>IF(OR(A7="",'Lähetykset'!F7=""),"",'Lähetykset'!F7)</x:f>
      </x:c>
      <x:c r="G7" s="35" t="str">
        <x:f>IF(OR(A7="",'Lähetykset'!G7=""),"",'Lähetykset'!G7)</x:f>
      </x:c>
      <x:c r="H7" s="35" t="str">
        <x:f>IF(A7="","",'Lähetykset'!H7)</x:f>
        <x:v>Ei</x:v>
      </x:c>
      <x:c r="I7" s="35" t="n">
        <x:f>IF(A7="","",COUNTIF($B$5:B7,"Kyllä"))</x:f>
        <x:v>2</x:v>
      </x:c>
      <x:c r="J7" s="35" t="str">
        <x:f>IF(B7&lt;&gt;"Kyllä","",IF(I7=1,"Perä",IF(I7=2,"Keskiosa","Keula")))</x:f>
      </x:c>
      <x:c r="K7" s="35" t="str">
        <x:f>IF(B7&lt;&gt;"Kyllä","",IF(SUMIF($B$5:$B$14,"Kyllä",$D$5:$D$14)&gt;33,"Ei mahdu",IF(SUMIF($B$5:$B$14,"Kyllä",$E$5:$E$14)&gt;24000,"Paino yli","OK")))</x:f>
      </x:c>
      <x:c r="L7" s="35" t="str">
        <x:f>IF(B7&lt;&gt;"Kyllä","",IF(H7="Kyllä","ADR",IF(AND(F7&lt;&gt;"",G7&lt;&gt;""),"Thermo","Normaali")))</x:f>
      </x:c>
      <x:c r="M7" s="35" t="str">
        <x:f>IF(B7&lt;&gt;"Kyllä","",IF(K7&lt;&gt;"OK","Tarkista kapasiteetti",IF(L7="ADR","ADR-lisä",IF(L7="Thermo","Thermolisä",""))))</x:f>
      </x:c>
    </x:row>
    <x:row r="8">
      <x:c r="A8" s="35" t="str">
        <x:f>IF('Lähetykset'!A8="","",'Lähetykset'!A8)</x:f>
        <x:v>D</x:v>
      </x:c>
      <x:c r="B8" s="35" t="str">
        <x:f>IF(A8="","",IF(ISNUMBER(SEARCH(A8,INDEX(Reittivaihtoehdot!K:K,MATCH(INDEX(Optimointi!A5:A14,MATCH(MAX(Optimointi!M5:M14),Optimointi!M5:M14,0)),Reittivaihtoehdot!A:A,0)))),"Kyllä","Ei"))</x:f>
        <x:v>Ei</x:v>
      </x:c>
      <x:c r="C8" s="35" t="str">
        <x:f>IF(A8="","",'Lähetykset'!C8)</x:f>
        <x:v>Turku</x:v>
      </x:c>
      <x:c r="D8" s="35" t="n">
        <x:f>IF(A8="","",'Lähetykset'!D8)</x:f>
        <x:v>6</x:v>
      </x:c>
      <x:c r="E8" s="35" t="n">
        <x:f>IF(A8="","",'Lähetykset'!E8)</x:f>
        <x:v>1800</x:v>
      </x:c>
      <x:c r="F8" s="35" t="str">
        <x:f>IF(OR(A8="",'Lähetykset'!F8=""),"",'Lähetykset'!F8)</x:f>
      </x:c>
      <x:c r="G8" s="35" t="str">
        <x:f>IF(OR(A8="",'Lähetykset'!G8=""),"",'Lähetykset'!G8)</x:f>
      </x:c>
      <x:c r="H8" s="35" t="str">
        <x:f>IF(A8="","",'Lähetykset'!H8)</x:f>
        <x:v>Kyllä</x:v>
      </x:c>
      <x:c r="I8" s="35" t="n">
        <x:f>IF(A8="","",COUNTIF($B$5:B8,"Kyllä"))</x:f>
        <x:v>2</x:v>
      </x:c>
      <x:c r="J8" s="35" t="str">
        <x:f>IF(B8&lt;&gt;"Kyllä","",IF(I8=1,"Perä",IF(I8=2,"Keskiosa","Keula")))</x:f>
      </x:c>
      <x:c r="K8" s="35" t="str">
        <x:f>IF(B8&lt;&gt;"Kyllä","",IF(SUMIF($B$5:$B$14,"Kyllä",$D$5:$D$14)&gt;33,"Ei mahdu",IF(SUMIF($B$5:$B$14,"Kyllä",$E$5:$E$14)&gt;24000,"Paino yli","OK")))</x:f>
      </x:c>
      <x:c r="L8" s="35" t="str">
        <x:f>IF(B8&lt;&gt;"Kyllä","",IF(H8="Kyllä","ADR",IF(AND(F8&lt;&gt;"",G8&lt;&gt;""),"Thermo","Normaali")))</x:f>
      </x:c>
      <x:c r="M8" s="35" t="str">
        <x:f>IF(B8&lt;&gt;"Kyllä","",IF(K8&lt;&gt;"OK","Tarkista kapasiteetti",IF(L8="ADR","ADR-lisä",IF(L8="Thermo","Thermolisä",""))))</x:f>
      </x:c>
    </x:row>
    <x:row r="9">
      <x:c r="A9" s="35" t="str">
        <x:f>IF('Lähetykset'!A9="","",'Lähetykset'!A9)</x:f>
      </x:c>
      <x:c r="B9" s="35" t="str">
        <x:f>IF(A9="","",IF(ISNUMBER(SEARCH(A9,INDEX(Reittivaihtoehdot!K:K,MATCH(INDEX(Optimointi!A5:A14,MATCH(MAX(Optimointi!M5:M14),Optimointi!M5:M14,0)),Reittivaihtoehdot!A:A,0)))),"Kyllä","Ei"))</x:f>
      </x:c>
      <x:c r="C9" s="35" t="str">
        <x:f>IF(A9="","",'Lähetykset'!C9)</x:f>
      </x:c>
      <x:c r="D9" s="35" t="str">
        <x:f>IF(A9="","",'Lähetykset'!D9)</x:f>
      </x:c>
      <x:c r="E9" s="35" t="str">
        <x:f>IF(A9="","",'Lähetykset'!E9)</x:f>
      </x:c>
      <x:c r="F9" s="35" t="str">
        <x:f>IF(OR(A9="",'Lähetykset'!F9=""),"",'Lähetykset'!F9)</x:f>
      </x:c>
      <x:c r="G9" s="35" t="str">
        <x:f>IF(OR(A9="",'Lähetykset'!G9=""),"",'Lähetykset'!G9)</x:f>
      </x:c>
      <x:c r="H9" s="35" t="str">
        <x:f>IF(A9="","",'Lähetykset'!H9)</x:f>
      </x:c>
      <x:c r="I9" s="35" t="str">
        <x:f>IF(A9="","",COUNTIF($B$5:B9,"Kyllä"))</x:f>
      </x:c>
      <x:c r="J9" s="35" t="str">
        <x:f>IF(B9&lt;&gt;"Kyllä","",IF(I9=1,"Perä",IF(I9=2,"Keskiosa","Keula")))</x:f>
      </x:c>
      <x:c r="K9" s="35" t="str">
        <x:f>IF(B9&lt;&gt;"Kyllä","",IF(SUMIF($B$5:$B$14,"Kyllä",$D$5:$D$14)&gt;33,"Ei mahdu",IF(SUMIF($B$5:$B$14,"Kyllä",$E$5:$E$14)&gt;24000,"Paino yli","OK")))</x:f>
      </x:c>
      <x:c r="L9" s="35" t="str">
        <x:f>IF(B9&lt;&gt;"Kyllä","",IF(H9="Kyllä","ADR",IF(AND(F9&lt;&gt;"",G9&lt;&gt;""),"Thermo","Normaali")))</x:f>
      </x:c>
      <x:c r="M9" s="35" t="str">
        <x:f>IF(B9&lt;&gt;"Kyllä","",IF(K9&lt;&gt;"OK","Tarkista kapasiteetti",IF(L9="ADR","ADR-lisä",IF(L9="Thermo","Thermolisä",""))))</x:f>
      </x:c>
    </x:row>
    <x:row r="10">
      <x:c r="A10" s="35" t="str">
        <x:f>IF('Lähetykset'!A10="","",'Lähetykset'!A10)</x:f>
      </x:c>
      <x:c r="B10" s="35" t="str">
        <x:f>IF(A10="","",IF(ISNUMBER(SEARCH(A10,INDEX(Reittivaihtoehdot!K:K,MATCH(INDEX(Optimointi!A5:A14,MATCH(MAX(Optimointi!M5:M14),Optimointi!M5:M14,0)),Reittivaihtoehdot!A:A,0)))),"Kyllä","Ei"))</x:f>
      </x:c>
      <x:c r="C10" s="35" t="str">
        <x:f>IF(A10="","",'Lähetykset'!C10)</x:f>
      </x:c>
      <x:c r="D10" s="35" t="str">
        <x:f>IF(A10="","",'Lähetykset'!D10)</x:f>
      </x:c>
      <x:c r="E10" s="35" t="str">
        <x:f>IF(A10="","",'Lähetykset'!E10)</x:f>
      </x:c>
      <x:c r="F10" s="35" t="str">
        <x:f>IF(OR(A10="",'Lähetykset'!F10=""),"",'Lähetykset'!F10)</x:f>
      </x:c>
      <x:c r="G10" s="35" t="str">
        <x:f>IF(OR(A10="",'Lähetykset'!G10=""),"",'Lähetykset'!G10)</x:f>
      </x:c>
      <x:c r="H10" s="35" t="str">
        <x:f>IF(A10="","",'Lähetykset'!H10)</x:f>
      </x:c>
      <x:c r="I10" s="35" t="str">
        <x:f>IF(A10="","",COUNTIF($B$5:B10,"Kyllä"))</x:f>
      </x:c>
      <x:c r="J10" s="35" t="str">
        <x:f>IF(B10&lt;&gt;"Kyllä","",IF(I10=1,"Perä",IF(I10=2,"Keskiosa","Keula")))</x:f>
      </x:c>
      <x:c r="K10" s="35" t="str">
        <x:f>IF(B10&lt;&gt;"Kyllä","",IF(SUMIF($B$5:$B$14,"Kyllä",$D$5:$D$14)&gt;33,"Ei mahdu",IF(SUMIF($B$5:$B$14,"Kyllä",$E$5:$E$14)&gt;24000,"Paino yli","OK")))</x:f>
      </x:c>
      <x:c r="L10" s="35" t="str">
        <x:f>IF(B10&lt;&gt;"Kyllä","",IF(H10="Kyllä","ADR",IF(AND(F10&lt;&gt;"",G10&lt;&gt;""),"Thermo","Normaali")))</x:f>
      </x:c>
      <x:c r="M10" s="35" t="str">
        <x:f>IF(B10&lt;&gt;"Kyllä","",IF(K10&lt;&gt;"OK","Tarkista kapasiteetti",IF(L10="ADR","ADR-lisä",IF(L10="Thermo","Thermolisä",""))))</x:f>
      </x:c>
    </x:row>
    <x:row r="11">
      <x:c r="A11" s="35" t="str">
        <x:f>IF('Lähetykset'!A11="","",'Lähetykset'!A11)</x:f>
      </x:c>
      <x:c r="B11" s="35" t="str">
        <x:f>IF(A11="","",IF(ISNUMBER(SEARCH(A11,INDEX(Reittivaihtoehdot!K:K,MATCH(INDEX(Optimointi!A5:A14,MATCH(MAX(Optimointi!M5:M14),Optimointi!M5:M14,0)),Reittivaihtoehdot!A:A,0)))),"Kyllä","Ei"))</x:f>
      </x:c>
      <x:c r="C11" s="35" t="str">
        <x:f>IF(A11="","",'Lähetykset'!C11)</x:f>
      </x:c>
      <x:c r="D11" s="35" t="str">
        <x:f>IF(A11="","",'Lähetykset'!D11)</x:f>
      </x:c>
      <x:c r="E11" s="35" t="str">
        <x:f>IF(A11="","",'Lähetykset'!E11)</x:f>
      </x:c>
      <x:c r="F11" s="35" t="str">
        <x:f>IF(OR(A11="",'Lähetykset'!F11=""),"",'Lähetykset'!F11)</x:f>
      </x:c>
      <x:c r="G11" s="35" t="str">
        <x:f>IF(OR(A11="",'Lähetykset'!G11=""),"",'Lähetykset'!G11)</x:f>
      </x:c>
      <x:c r="H11" s="35" t="str">
        <x:f>IF(A11="","",'Lähetykset'!H11)</x:f>
      </x:c>
      <x:c r="I11" s="35" t="str">
        <x:f>IF(A11="","",COUNTIF($B$5:B11,"Kyllä"))</x:f>
      </x:c>
      <x:c r="J11" s="35" t="str">
        <x:f>IF(B11&lt;&gt;"Kyllä","",IF(I11=1,"Perä",IF(I11=2,"Keskiosa","Keula")))</x:f>
      </x:c>
      <x:c r="K11" s="35" t="str">
        <x:f>IF(B11&lt;&gt;"Kyllä","",IF(SUMIF($B$5:$B$14,"Kyllä",$D$5:$D$14)&gt;33,"Ei mahdu",IF(SUMIF($B$5:$B$14,"Kyllä",$E$5:$E$14)&gt;24000,"Paino yli","OK")))</x:f>
      </x:c>
      <x:c r="L11" s="35" t="str">
        <x:f>IF(B11&lt;&gt;"Kyllä","",IF(H11="Kyllä","ADR",IF(AND(F11&lt;&gt;"",G11&lt;&gt;""),"Thermo","Normaali")))</x:f>
      </x:c>
      <x:c r="M11" s="35" t="str">
        <x:f>IF(B11&lt;&gt;"Kyllä","",IF(K11&lt;&gt;"OK","Tarkista kapasiteetti",IF(L11="ADR","ADR-lisä",IF(L11="Thermo","Thermolisä",""))))</x:f>
      </x:c>
    </x:row>
    <x:row r="12">
      <x:c r="A12" s="35" t="str">
        <x:f>IF('Lähetykset'!A12="","",'Lähetykset'!A12)</x:f>
      </x:c>
      <x:c r="B12" s="35" t="str">
        <x:f>IF(A12="","",IF(ISNUMBER(SEARCH(A12,INDEX(Reittivaihtoehdot!K:K,MATCH(INDEX(Optimointi!A5:A14,MATCH(MAX(Optimointi!M5:M14),Optimointi!M5:M14,0)),Reittivaihtoehdot!A:A,0)))),"Kyllä","Ei"))</x:f>
      </x:c>
      <x:c r="C12" s="35" t="str">
        <x:f>IF(A12="","",'Lähetykset'!C12)</x:f>
      </x:c>
      <x:c r="D12" s="35" t="str">
        <x:f>IF(A12="","",'Lähetykset'!D12)</x:f>
      </x:c>
      <x:c r="E12" s="35" t="str">
        <x:f>IF(A12="","",'Lähetykset'!E12)</x:f>
      </x:c>
      <x:c r="F12" s="35" t="str">
        <x:f>IF(OR(A12="",'Lähetykset'!F12=""),"",'Lähetykset'!F12)</x:f>
      </x:c>
      <x:c r="G12" s="35" t="str">
        <x:f>IF(OR(A12="",'Lähetykset'!G12=""),"",'Lähetykset'!G12)</x:f>
      </x:c>
      <x:c r="H12" s="35" t="str">
        <x:f>IF(A12="","",'Lähetykset'!H12)</x:f>
      </x:c>
      <x:c r="I12" s="35" t="str">
        <x:f>IF(A12="","",COUNTIF($B$5:B12,"Kyllä"))</x:f>
      </x:c>
      <x:c r="J12" s="35" t="str">
        <x:f>IF(B12&lt;&gt;"Kyllä","",IF(I12=1,"Perä",IF(I12=2,"Keskiosa","Keula")))</x:f>
      </x:c>
      <x:c r="K12" s="35" t="str">
        <x:f>IF(B12&lt;&gt;"Kyllä","",IF(SUMIF($B$5:$B$14,"Kyllä",$D$5:$D$14)&gt;33,"Ei mahdu",IF(SUMIF($B$5:$B$14,"Kyllä",$E$5:$E$14)&gt;24000,"Paino yli","OK")))</x:f>
      </x:c>
      <x:c r="L12" s="35" t="str">
        <x:f>IF(B12&lt;&gt;"Kyllä","",IF(H12="Kyllä","ADR",IF(AND(F12&lt;&gt;"",G12&lt;&gt;""),"Thermo","Normaali")))</x:f>
      </x:c>
      <x:c r="M12" s="35" t="str">
        <x:f>IF(B12&lt;&gt;"Kyllä","",IF(K12&lt;&gt;"OK","Tarkista kapasiteetti",IF(L12="ADR","ADR-lisä",IF(L12="Thermo","Thermolisä",""))))</x:f>
      </x:c>
    </x:row>
    <x:row r="13">
      <x:c r="A13" s="35" t="str">
        <x:f>IF('Lähetykset'!A13="","",'Lähetykset'!A13)</x:f>
      </x:c>
      <x:c r="B13" s="35" t="str">
        <x:f>IF(A13="","",IF(ISNUMBER(SEARCH(A13,INDEX(Reittivaihtoehdot!K:K,MATCH(INDEX(Optimointi!A5:A14,MATCH(MAX(Optimointi!M5:M14),Optimointi!M5:M14,0)),Reittivaihtoehdot!A:A,0)))),"Kyllä","Ei"))</x:f>
      </x:c>
      <x:c r="C13" s="35" t="str">
        <x:f>IF(A13="","",'Lähetykset'!C13)</x:f>
      </x:c>
      <x:c r="D13" s="35" t="str">
        <x:f>IF(A13="","",'Lähetykset'!D13)</x:f>
      </x:c>
      <x:c r="E13" s="35" t="str">
        <x:f>IF(A13="","",'Lähetykset'!E13)</x:f>
      </x:c>
      <x:c r="F13" s="35" t="str">
        <x:f>IF(OR(A13="",'Lähetykset'!F13=""),"",'Lähetykset'!F13)</x:f>
      </x:c>
      <x:c r="G13" s="35" t="str">
        <x:f>IF(OR(A13="",'Lähetykset'!G13=""),"",'Lähetykset'!G13)</x:f>
      </x:c>
      <x:c r="H13" s="35" t="str">
        <x:f>IF(A13="","",'Lähetykset'!H13)</x:f>
      </x:c>
      <x:c r="I13" s="35" t="str">
        <x:f>IF(A13="","",COUNTIF($B$5:B13,"Kyllä"))</x:f>
      </x:c>
      <x:c r="J13" s="35" t="str">
        <x:f>IF(B13&lt;&gt;"Kyllä","",IF(I13=1,"Perä",IF(I13=2,"Keskiosa","Keula")))</x:f>
      </x:c>
      <x:c r="K13" s="35" t="str">
        <x:f>IF(B13&lt;&gt;"Kyllä","",IF(SUMIF($B$5:$B$14,"Kyllä",$D$5:$D$14)&gt;33,"Ei mahdu",IF(SUMIF($B$5:$B$14,"Kyllä",$E$5:$E$14)&gt;24000,"Paino yli","OK")))</x:f>
      </x:c>
      <x:c r="L13" s="35" t="str">
        <x:f>IF(B13&lt;&gt;"Kyllä","",IF(H13="Kyllä","ADR",IF(AND(F13&lt;&gt;"",G13&lt;&gt;""),"Thermo","Normaali")))</x:f>
      </x:c>
      <x:c r="M13" s="35" t="str">
        <x:f>IF(B13&lt;&gt;"Kyllä","",IF(K13&lt;&gt;"OK","Tarkista kapasiteetti",IF(L13="ADR","ADR-lisä",IF(L13="Thermo","Thermolisä",""))))</x:f>
      </x:c>
    </x:row>
    <x:row r="14">
      <x:c r="A14" s="35" t="str">
        <x:f>IF('Lähetykset'!A14="","",'Lähetykset'!A14)</x:f>
      </x:c>
      <x:c r="B14" s="35" t="str">
        <x:f>IF(A14="","",IF(ISNUMBER(SEARCH(A14,INDEX(Reittivaihtoehdot!K:K,MATCH(INDEX(Optimointi!A5:A14,MATCH(MAX(Optimointi!M5:M14),Optimointi!M5:M14,0)),Reittivaihtoehdot!A:A,0)))),"Kyllä","Ei"))</x:f>
      </x:c>
      <x:c r="C14" s="35" t="str">
        <x:f>IF(A14="","",'Lähetykset'!C14)</x:f>
      </x:c>
      <x:c r="D14" s="35" t="str">
        <x:f>IF(A14="","",'Lähetykset'!D14)</x:f>
      </x:c>
      <x:c r="E14" s="35" t="str">
        <x:f>IF(A14="","",'Lähetykset'!E14)</x:f>
      </x:c>
      <x:c r="F14" s="35" t="str">
        <x:f>IF(OR(A14="",'Lähetykset'!F14=""),"",'Lähetykset'!F14)</x:f>
      </x:c>
      <x:c r="G14" s="35" t="str">
        <x:f>IF(OR(A14="",'Lähetykset'!G14=""),"",'Lähetykset'!G14)</x:f>
      </x:c>
      <x:c r="H14" s="35" t="str">
        <x:f>IF(A14="","",'Lähetykset'!H14)</x:f>
      </x:c>
      <x:c r="I14" s="35" t="str">
        <x:f>IF(A14="","",COUNTIF($B$5:B14,"Kyllä"))</x:f>
      </x:c>
      <x:c r="J14" s="35" t="str">
        <x:f>IF(B14&lt;&gt;"Kyllä","",IF(I14=1,"Perä",IF(I14=2,"Keskiosa","Keula")))</x:f>
      </x:c>
      <x:c r="K14" s="35" t="str">
        <x:f>IF(B14&lt;&gt;"Kyllä","",IF(SUMIF($B$5:$B$14,"Kyllä",$D$5:$D$14)&gt;33,"Ei mahdu",IF(SUMIF($B$5:$B$14,"Kyllä",$E$5:$E$14)&gt;24000,"Paino yli","OK")))</x:f>
      </x:c>
      <x:c r="L14" s="35" t="str">
        <x:f>IF(B14&lt;&gt;"Kyllä","",IF(H14="Kyllä","ADR",IF(AND(F14&lt;&gt;"",G14&lt;&gt;""),"Thermo","Normaali")))</x:f>
      </x:c>
      <x:c r="M14" s="35" t="str">
        <x:f>IF(B14&lt;&gt;"Kyllä","",IF(K14&lt;&gt;"OK","Tarkista kapasiteetti",IF(L14="ADR","ADR-lisä",IF(L14="Thermo","Thermolisä",""))))</x:f>
      </x:c>
    </x:row>
    <x:row r="17">
      <x:c r="A17" s="47" t="str">
        <x:v>Kuorman yhteenveto</x:v>
      </x:c>
    </x:row>
    <x:row r="18">
      <x:c r="A18" s="20" t="str">
        <x:v>Mittari</x:v>
      </x:c>
      <x:c r="B18" s="20" t="str">
        <x:v>Arvo</x:v>
      </x:c>
      <x:c r="C18" s="20" t="str">
        <x:v>Raja</x:v>
      </x:c>
      <x:c r="D18" s="20" t="str">
        <x:v>Status</x:v>
      </x:c>
      <x:c r="E18" s="20" t="str">
        <x:v>Huomio</x:v>
      </x:c>
    </x:row>
    <x:row r="19">
      <x:c r="A19" t="str">
        <x:v>Lavapaikat yhteensä</x:v>
      </x:c>
      <x:c r="B19" s="35" t="n">
        <x:f>SUMIF($B$5:$B$14,"Kyllä",$D$5:$D$14)</x:f>
        <x:v>18</x:v>
      </x:c>
      <x:c r="C19" s="35" t="n">
        <x:v>33</x:v>
      </x:c>
      <x:c r="D19" s="35" t="str">
        <x:f>IF(B19&gt;C19,"Ei mahdu",IF(B19&gt;=29,"Lähes täysi","OK"))</x:f>
        <x:v>OK</x:v>
      </x:c>
      <x:c r="E19" t="str">
        <x:v>Vain suosituksen lähetykset</x:v>
      </x:c>
    </x:row>
    <x:row r="20">
      <x:c r="A20" t="str">
        <x:v>Paino kg yhteensä</x:v>
      </x:c>
      <x:c r="B20" s="35" t="n">
        <x:f>SUMIF($B$5:$B$14,"Kyllä",$E$5:$E$14)</x:f>
        <x:v>5700</x:v>
      </x:c>
      <x:c r="C20" s="35" t="n">
        <x:v>24000</x:v>
      </x:c>
      <x:c r="D20" s="35" t="str">
        <x:f>IF(B20&gt;C20,"Paino yli","OK")</x:f>
        <x:v>OK</x:v>
      </x:c>
      <x:c r="E20" t="str">
        <x:v>Vain suosituksen lähetykset</x:v>
      </x:c>
    </x:row>
    <x:row r="21">
      <x:c r="A21" t="str">
        <x:v>Täyttöaste</x:v>
      </x:c>
      <x:c r="B21" s="38" t="n">
        <x:f>B19/C19</x:f>
        <x:v>0.5454545454545454</x:v>
      </x:c>
      <x:c r="C21" s="35" t="str">
        <x:v>85–95 % tavoite</x:v>
      </x:c>
      <x:c r="D21" s="35" t="str">
        <x:f>IF(B21&lt;0.7,"Vajaakuorma",IF(B21&gt;0.95,"Liian täysi","Hyvä"))</x:f>
        <x:v>Vajaakuorma</x:v>
      </x:c>
      <x:c r="E21" t="str"/>
    </x:row>
    <x:row r="22">
      <x:c r="A22" t="str">
        <x:v>ADR-lähetyksiä</x:v>
      </x:c>
      <x:c r="B22" s="35" t="n">
        <x:f>COUNTIFS($B$5:$B$14,"Kyllä",$H$5:$H$14,"Kyllä")</x:f>
        <x:v>0</x:v>
      </x:c>
      <x:c r="C22" s="35" t="str"/>
      <x:c r="D22" s="35" t="str">
        <x:f>IF(B22&gt;0,"ADR-lisä","OK")</x:f>
        <x:v>OK</x:v>
      </x:c>
      <x:c r="E22" t="str"/>
    </x:row>
    <x:row r="23">
      <x:c r="A23" t="str">
        <x:v>Thermo-lähetyksiä</x:v>
      </x:c>
      <x:c r="B23" s="35" t="n">
        <x:f>COUNTIFS($B$5:$B$14,"Kyllä",$L$5:$L$14,"Thermo")</x:f>
        <x:v>2</x:v>
      </x:c>
      <x:c r="C23" s="35" t="str"/>
      <x:c r="D23" s="35" t="str">
        <x:f>IF(B23&gt;0,"Thermolisä","OK")</x:f>
        <x:v>Thermolisä</x:v>
      </x:c>
      <x:c r="E2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4" hidden="0" customWidth="1"/>
  </x:cols>
  <x:sheetData>
    <x:row r="1">
      <x:c r="A1" s="6" t="str">
        <x:v>Trailer Layout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Visuaalinen 33 lavapaikan trailerin kuormatila.</x:v>
      </x:c>
    </x:row>
    <x:row r="4">
      <x:c r="A4" s="20" t="str">
        <x:v>Ovi/perä</x:v>
      </x:c>
      <x:c r="B4" s="20" t="str">
        <x:v>1</x:v>
      </x:c>
      <x:c r="C4" s="20" t="str">
        <x:v>2</x:v>
      </x:c>
      <x:c r="D4" s="20" t="str">
        <x:v>3</x:v>
      </x:c>
      <x:c r="E4" s="20" t="str">
        <x:v>4</x:v>
      </x:c>
      <x:c r="F4" s="20" t="str">
        <x:v>5</x:v>
      </x:c>
      <x:c r="G4" s="20" t="str">
        <x:v>6</x:v>
      </x:c>
      <x:c r="H4" s="20" t="str">
        <x:v>7</x:v>
      </x:c>
      <x:c r="I4" s="20" t="str">
        <x:v>8</x:v>
      </x:c>
      <x:c r="J4" s="20" t="str">
        <x:v>9</x:v>
      </x:c>
      <x:c r="K4" s="20" t="str">
        <x:v>10</x:v>
      </x:c>
      <x:c r="L4" s="20" t="str">
        <x:v>11</x:v>
      </x:c>
      <x:c r="M4" s="20" t="str">
        <x:v>Keula</x:v>
      </x:c>
      <x:c r="N4" s="20" t="str">
        <x:v>Huomio</x:v>
      </x:c>
    </x:row>
    <x:row r="5">
      <x:c r="A5" s="55" t="str">
        <x:v>Rivi A</x:v>
      </x:c>
      <x:c r="B5" s="59" t="str">
        <x:v>A Tampere</x:v>
      </x:c>
      <x:c r="C5" s="59" t="str">
        <x:v>A Tampere</x:v>
      </x:c>
      <x:c r="D5" s="59" t="str">
        <x:v>A Tampere</x:v>
      </x:c>
      <x:c r="E5" s="59" t="str">
        <x:v>A Tampere</x:v>
      </x:c>
      <x:c r="F5" s="61" t="str">
        <x:v>B Pori</x:v>
      </x:c>
      <x:c r="G5" s="61" t="str">
        <x:v>B Pori</x:v>
      </x:c>
      <x:c r="H5" s="61" t="str">
        <x:v>B Pori</x:v>
      </x:c>
      <x:c r="I5" s="61" t="str">
        <x:v>B Pori</x:v>
      </x:c>
      <x:c r="J5" s="61" t="str">
        <x:v>B Pori</x:v>
      </x:c>
      <x:c r="K5" s="61" t="str">
        <x:v>B Pori</x:v>
      </x:c>
      <x:c r="L5" s="55" t="str"/>
      <x:c r="M5" s="55" t="str">
        <x:v>Keula</x:v>
      </x:c>
      <x:c r="N5" s="55" t="str">
        <x:v>A puretaan ensin, B viimeisenä</x:v>
      </x:c>
    </x:row>
    <x:row r="6">
      <x:c r="A6" s="55" t="str">
        <x:v>Rivi B</x:v>
      </x:c>
      <x:c r="B6" s="59" t="str">
        <x:v>A Tampere</x:v>
      </x:c>
      <x:c r="C6" s="59" t="str">
        <x:v>A Tampere</x:v>
      </x:c>
      <x:c r="D6" s="59" t="str">
        <x:v>A Tampere</x:v>
      </x:c>
      <x:c r="E6" s="59" t="str">
        <x:v>A Tampere</x:v>
      </x:c>
      <x:c r="F6" s="61" t="str">
        <x:v>B Pori</x:v>
      </x:c>
      <x:c r="G6" s="61" t="str">
        <x:v>B Pori</x:v>
      </x:c>
      <x:c r="H6" s="61" t="str">
        <x:v>B Pori</x:v>
      </x:c>
      <x:c r="I6" s="61" t="str">
        <x:v>B Pori</x:v>
      </x:c>
      <x:c r="J6" s="61" t="str"/>
      <x:c r="K6" s="61" t="str"/>
      <x:c r="L6" s="55" t="str"/>
      <x:c r="M6" s="55" t="str">
        <x:v>Keula</x:v>
      </x:c>
      <x:c r="N6" s="55" t="str"/>
    </x:row>
    <x:row r="7">
      <x:c r="A7" s="55" t="str">
        <x:v>Rivi C</x:v>
      </x:c>
      <x:c r="B7" s="55" t="str"/>
      <x:c r="C7" s="55" t="str"/>
      <x:c r="D7" s="55" t="str"/>
      <x:c r="E7" s="55" t="str"/>
      <x:c r="F7" s="55" t="str"/>
      <x:c r="G7" s="55" t="str"/>
      <x:c r="H7" s="55" t="str"/>
      <x:c r="I7" s="55" t="str"/>
      <x:c r="J7" s="55" t="str"/>
      <x:c r="K7" s="55" t="str"/>
      <x:c r="L7" s="55" t="str"/>
      <x:c r="M7" s="55" t="str">
        <x:v>Keula</x:v>
      </x:c>
      <x:c r="N7" s="55" t="str"/>
    </x:row>
    <x:row r="10">
      <x:c r="A10" s="47" t="str">
        <x:v>Kuorman yhteenveto</x:v>
      </x:c>
    </x:row>
    <x:row r="11">
      <x:c r="A11" s="20" t="str">
        <x:v>Mittari</x:v>
      </x:c>
      <x:c r="B11" s="20" t="str">
        <x:v>Arvo</x:v>
      </x:c>
      <x:c r="C11" s="20" t="str">
        <x:v>Raja</x:v>
      </x:c>
      <x:c r="D11" s="20" t="str">
        <x:v>Status</x:v>
      </x:c>
      <x:c r="E11" s="20" t="str">
        <x:v>Huomio</x:v>
      </x:c>
    </x:row>
    <x:row r="12">
      <x:c r="A12" t="str">
        <x:v>Lavapaikat</x:v>
      </x:c>
      <x:c r="B12" s="35" t="n">
        <x:f>Kuormaoptimointi!B19</x:f>
        <x:v>18</x:v>
      </x:c>
      <x:c r="C12" s="35" t="n">
        <x:v>33</x:v>
      </x:c>
      <x:c r="D12" s="35" t="str">
        <x:f>Kuormaoptimointi!D19</x:f>
        <x:v>OK</x:v>
      </x:c>
      <x:c r="E12" t="str"/>
    </x:row>
    <x:row r="13">
      <x:c r="A13" t="str">
        <x:v>Paino kg</x:v>
      </x:c>
      <x:c r="B13" s="35" t="n">
        <x:f>Kuormaoptimointi!B20</x:f>
        <x:v>5700</x:v>
      </x:c>
      <x:c r="C13" s="35" t="n">
        <x:v>24000</x:v>
      </x:c>
      <x:c r="D13" s="35" t="str">
        <x:f>Kuormaoptimointi!D20</x:f>
        <x:v>OK</x:v>
      </x:c>
      <x:c r="E13" t="str"/>
    </x:row>
    <x:row r="14">
      <x:c r="A14" t="str">
        <x:v>Täyttöaste</x:v>
      </x:c>
      <x:c r="B14" s="38" t="n">
        <x:f>Kuormaoptimointi!B21</x:f>
        <x:v>0.5454545454545454</x:v>
      </x:c>
      <x:c r="C14" s="35" t="str">
        <x:v>85–95 %</x:v>
      </x:c>
      <x:c r="D14" s="35" t="str">
        <x:f>Kuormaoptimointi!D21</x:f>
        <x:v>Vajaakuorma</x:v>
      </x:c>
      <x:c r="E14" t="str"/>
    </x:row>
    <x:row r="15">
      <x:c r="A15" t="str">
        <x:v>Purkulogiikka</x:v>
      </x:c>
      <x:c r="B15" t="str">
        <x:v>Perä → keula</x:v>
      </x:c>
      <x:c r="C15" t="str"/>
      <x:c r="D15" t="str">
        <x:v>OK</x:v>
      </x:c>
      <x:c r="E15" t="str">
        <x:v>Ensimmäinen purku perään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6" t="str">
        <x:v>ETA-laskenta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Arvioitu saapumisaika: lähtö + ajoaika + tauot + lastaus/purku + viiveet.</x:v>
      </x:c>
    </x:row>
    <x:row r="4">
      <x:c r="A4" s="20" t="str">
        <x:v>Keikka</x:v>
      </x:c>
      <x:c r="B4" s="20" t="str">
        <x:v>Reitti</x:v>
      </x:c>
      <x:c r="C4" s="20" t="str">
        <x:v>Lähtöaika</x:v>
      </x:c>
      <x:c r="D4" s="20" t="str">
        <x:v>Ajoaika h</x:v>
      </x:c>
      <x:c r="E4" s="20" t="str">
        <x:v>Tauko min</x:v>
      </x:c>
      <x:c r="F4" s="20" t="str">
        <x:v>Lastaus min</x:v>
      </x:c>
      <x:c r="G4" s="20" t="str">
        <x:v>Purku min</x:v>
      </x:c>
      <x:c r="H4" s="20" t="str">
        <x:v>Viive min</x:v>
      </x:c>
      <x:c r="I4" s="20" t="str">
        <x:v>ETA suunniteltu</x:v>
      </x:c>
      <x:c r="J4" s="20" t="str">
        <x:v>Deadline</x:v>
      </x:c>
      <x:c r="K4" s="20" t="str">
        <x:v>ETA status</x:v>
      </x:c>
      <x:c r="L4" s="20" t="str">
        <x:v>Myöhässä min</x:v>
      </x:c>
      <x:c r="M4" s="20" t="str">
        <x:v>Riskitaso</x:v>
      </x:c>
      <x:c r="N4" s="20" t="str">
        <x:v>Huomio</x:v>
      </x:c>
    </x:row>
    <x:row r="5">
      <x:c r="A5" s="28" t="str">
        <x:v>K-001</x:v>
      </x:c>
      <x:c r="B5" s="28" t="str">
        <x:v>Vantaa → Tampere → Pori</x:v>
      </x:c>
      <x:c r="C5" s="63" t="n">
        <x:v>46147.25</x:v>
      </x:c>
      <x:c r="D5" s="28" t="n">
        <x:v>3.9</x:v>
      </x:c>
      <x:c r="E5" s="28" t="n">
        <x:v>0</x:v>
      </x:c>
      <x:c r="F5" s="28" t="n">
        <x:v>45</x:v>
      </x:c>
      <x:c r="G5" s="28" t="n">
        <x:v>45</x:v>
      </x:c>
      <x:c r="H5" s="28" t="n">
        <x:v>15</x:v>
      </x:c>
      <x:c r="I5" s="65" t="n">
        <x:f>IF(A5="","",C5+D5/24+SUM(E5:H5)/1440)</x:f>
        <x:v>46147.48541666666</x:v>
      </x:c>
      <x:c r="J5" s="63" t="n">
        <x:v>46147.5</x:v>
      </x:c>
      <x:c r="K5" s="35" t="str">
        <x:f>IF(A5="","",IF(I5&lt;=J5,"Ajoissa","Myöhässä"))</x:f>
        <x:v>Ajoissa</x:v>
      </x:c>
      <x:c r="L5" s="35" t="n">
        <x:f>IF(A5="","",MAX(0,(I5-J5)*1440))</x:f>
        <x:v>0</x:v>
      </x:c>
      <x:c r="M5" s="35" t="str">
        <x:f>IF(A5="","",IF(L5&gt;60,"Korkea",IF(L5&gt;15,"Keskitaso","Matala")))</x:f>
        <x:v>Matala</x:v>
      </x:c>
      <x:c r="N5" t="str"/>
    </x:row>
    <x:row r="6">
      <x:c r="A6" s="28" t="str">
        <x:v>K-002</x:v>
      </x:c>
      <x:c r="B6" s="28" t="str">
        <x:v>Vantaa → Oulu</x:v>
      </x:c>
      <x:c r="C6" s="63" t="n">
        <x:v>46147.25</x:v>
      </x:c>
      <x:c r="D6" s="28" t="n">
        <x:v>8</x:v>
      </x:c>
      <x:c r="E6" s="28" t="n">
        <x:v>45</x:v>
      </x:c>
      <x:c r="F6" s="28" t="n">
        <x:v>45</x:v>
      </x:c>
      <x:c r="G6" s="28" t="n">
        <x:v>45</x:v>
      </x:c>
      <x:c r="H6" s="28" t="n">
        <x:v>30</x:v>
      </x:c>
      <x:c r="I6" s="65" t="n">
        <x:f>IF(A6="","",C6+D6/24+SUM(E6:H6)/1440)</x:f>
        <x:v>46147.69791666667</x:v>
      </x:c>
      <x:c r="J6" s="63" t="n">
        <x:v>46147.708333333336</x:v>
      </x:c>
      <x:c r="K6" s="35" t="str">
        <x:f>IF(A6="","",IF(I6&lt;=J6,"Ajoissa","Myöhässä"))</x:f>
        <x:v>Ajoissa</x:v>
      </x:c>
      <x:c r="L6" s="35" t="n">
        <x:f>IF(A6="","",MAX(0,(I6-J6)*1440))</x:f>
        <x:v>0</x:v>
      </x:c>
      <x:c r="M6" s="35" t="str">
        <x:f>IF(A6="","",IF(L6&gt;60,"Korkea",IF(L6&gt;15,"Keskitaso","Matala")))</x:f>
        <x:v>Matala</x:v>
      </x:c>
      <x:c r="N6" t="str"/>
    </x:row>
    <x:row r="7">
      <x:c r="A7" s="28" t="str">
        <x:v>K-003</x:v>
      </x:c>
      <x:c r="B7" s="28" t="str">
        <x:v>Vantaa → Hollanti</x:v>
      </x:c>
      <x:c r="C7" s="63" t="n">
        <x:v>46147.25</x:v>
      </x:c>
      <x:c r="D7" s="28" t="n">
        <x:v>7.1</x:v>
      </x:c>
      <x:c r="E7" s="28" t="n">
        <x:v>45</x:v>
      </x:c>
      <x:c r="F7" s="28" t="n">
        <x:v>60</x:v>
      </x:c>
      <x:c r="G7" s="28" t="n">
        <x:v>60</x:v>
      </x:c>
      <x:c r="H7" s="28" t="n">
        <x:v>90</x:v>
      </x:c>
      <x:c r="I7" s="65" t="n">
        <x:f>IF(A7="","",C7+D7/24+SUM(E7:H7)/1440)</x:f>
        <x:v>46147.722916666666</x:v>
      </x:c>
      <x:c r="J7" s="63" t="n">
        <x:v>46147.770833333336</x:v>
      </x:c>
      <x:c r="K7" s="35" t="str">
        <x:f>IF(A7="","",IF(I7&lt;=J7,"Ajoissa","Myöhässä"))</x:f>
        <x:v>Ajoissa</x:v>
      </x:c>
      <x:c r="L7" s="35" t="n">
        <x:f>IF(A7="","",MAX(0,(I7-J7)*1440))</x:f>
        <x:v>0</x:v>
      </x:c>
      <x:c r="M7" s="35" t="str">
        <x:f>IF(A7="","",IF(L7&gt;60,"Korkea",IF(L7&gt;15,"Keskitaso","Matala")))</x:f>
        <x:v>Matala</x:v>
      </x:c>
      <x:c r="N7" t="str"/>
    </x:row>
    <x:row r="8">
      <x:c r="A8" s="28"/>
      <x:c r="B8" s="28"/>
      <x:c r="C8" s="63"/>
      <x:c r="D8" s="28"/>
      <x:c r="E8" s="28"/>
      <x:c r="F8" s="28"/>
      <x:c r="G8" s="28"/>
      <x:c r="H8" s="28"/>
      <x:c r="I8" s="65" t="str">
        <x:f>IF(A8="","",C8+D8/24+SUM(E8:H8)/1440)</x:f>
      </x:c>
      <x:c r="J8" s="63"/>
      <x:c r="K8" s="35" t="str">
        <x:f>IF(A8="","",IF(I8&lt;=J8,"Ajoissa","Myöhässä"))</x:f>
      </x:c>
      <x:c r="L8" s="35" t="str">
        <x:f>IF(A8="","",MAX(0,(I8-J8)*1440))</x:f>
      </x:c>
      <x:c r="M8" s="35" t="str">
        <x:f>IF(A8="","",IF(L8&gt;60,"Korkea",IF(L8&gt;15,"Keskitaso","Matala")))</x:f>
      </x:c>
    </x:row>
    <x:row r="9">
      <x:c r="A9" s="28"/>
      <x:c r="B9" s="28"/>
      <x:c r="C9" s="63"/>
      <x:c r="D9" s="28"/>
      <x:c r="E9" s="28"/>
      <x:c r="F9" s="28"/>
      <x:c r="G9" s="28"/>
      <x:c r="H9" s="28"/>
      <x:c r="I9" s="65" t="str">
        <x:f>IF(A9="","",C9+D9/24+SUM(E9:H9)/1440)</x:f>
      </x:c>
      <x:c r="J9" s="63"/>
      <x:c r="K9" s="35" t="str">
        <x:f>IF(A9="","",IF(I9&lt;=J9,"Ajoissa","Myöhässä"))</x:f>
      </x:c>
      <x:c r="L9" s="35" t="str">
        <x:f>IF(A9="","",MAX(0,(I9-J9)*1440))</x:f>
      </x:c>
      <x:c r="M9" s="35" t="str">
        <x:f>IF(A9="","",IF(L9&gt;60,"Korkea",IF(L9&gt;15,"Keskitaso","Matala")))</x:f>
      </x:c>
    </x:row>
    <x:row r="10">
      <x:c r="A10" s="28"/>
      <x:c r="B10" s="28"/>
      <x:c r="C10" s="63"/>
      <x:c r="D10" s="28"/>
      <x:c r="E10" s="28"/>
      <x:c r="F10" s="28"/>
      <x:c r="G10" s="28"/>
      <x:c r="H10" s="28"/>
      <x:c r="I10" s="65" t="str">
        <x:f>IF(A10="","",C10+D10/24+SUM(E10:H10)/1440)</x:f>
      </x:c>
      <x:c r="J10" s="63"/>
      <x:c r="K10" s="35" t="str">
        <x:f>IF(A10="","",IF(I10&lt;=J10,"Ajoissa","Myöhässä"))</x:f>
      </x:c>
      <x:c r="L10" s="35" t="str">
        <x:f>IF(A10="","",MAX(0,(I10-J10)*1440))</x:f>
      </x:c>
      <x:c r="M10" s="35" t="str">
        <x:f>IF(A10="","",IF(L10&gt;60,"Korkea",IF(L10&gt;15,"Keskitaso","Matala")))</x:f>
      </x:c>
    </x:row>
    <x:row r="11">
      <x:c r="A11" s="28"/>
      <x:c r="B11" s="28"/>
      <x:c r="C11" s="63"/>
      <x:c r="D11" s="28"/>
      <x:c r="E11" s="28"/>
      <x:c r="F11" s="28"/>
      <x:c r="G11" s="28"/>
      <x:c r="H11" s="28"/>
      <x:c r="I11" s="65" t="str">
        <x:f>IF(A11="","",C11+D11/24+SUM(E11:H11)/1440)</x:f>
      </x:c>
      <x:c r="J11" s="63"/>
      <x:c r="K11" s="35" t="str">
        <x:f>IF(A11="","",IF(I11&lt;=J11,"Ajoissa","Myöhässä"))</x:f>
      </x:c>
      <x:c r="L11" s="35" t="str">
        <x:f>IF(A11="","",MAX(0,(I11-J11)*1440))</x:f>
      </x:c>
      <x:c r="M11" s="35" t="str">
        <x:f>IF(A11="","",IF(L11&gt;60,"Korkea",IF(L11&gt;15,"Keskitaso","Matala")))</x:f>
      </x:c>
    </x:row>
    <x:row r="12">
      <x:c r="A12" s="28"/>
      <x:c r="B12" s="28"/>
      <x:c r="C12" s="63"/>
      <x:c r="D12" s="28"/>
      <x:c r="E12" s="28"/>
      <x:c r="F12" s="28"/>
      <x:c r="G12" s="28"/>
      <x:c r="H12" s="28"/>
      <x:c r="I12" s="65" t="str">
        <x:f>IF(A12="","",C12+D12/24+SUM(E12:H12)/1440)</x:f>
      </x:c>
      <x:c r="J12" s="63"/>
      <x:c r="K12" s="35" t="str">
        <x:f>IF(A12="","",IF(I12&lt;=J12,"Ajoissa","Myöhässä"))</x:f>
      </x:c>
      <x:c r="L12" s="35" t="str">
        <x:f>IF(A12="","",MAX(0,(I12-J12)*1440))</x:f>
      </x:c>
      <x:c r="M12" s="35" t="str">
        <x:f>IF(A12="","",IF(L12&gt;60,"Korkea",IF(L12&gt;15,"Keskitaso","Matala")))</x:f>
      </x:c>
    </x:row>
    <x:row r="13">
      <x:c r="A13" s="28"/>
      <x:c r="B13" s="28"/>
      <x:c r="C13" s="63"/>
      <x:c r="D13" s="28"/>
      <x:c r="E13" s="28"/>
      <x:c r="F13" s="28"/>
      <x:c r="G13" s="28"/>
      <x:c r="H13" s="28"/>
      <x:c r="I13" s="65" t="str">
        <x:f>IF(A13="","",C13+D13/24+SUM(E13:H13)/1440)</x:f>
      </x:c>
      <x:c r="J13" s="63"/>
      <x:c r="K13" s="35" t="str">
        <x:f>IF(A13="","",IF(I13&lt;=J13,"Ajoissa","Myöhässä"))</x:f>
      </x:c>
      <x:c r="L13" s="35" t="str">
        <x:f>IF(A13="","",MAX(0,(I13-J13)*1440))</x:f>
      </x:c>
      <x:c r="M13" s="35" t="str">
        <x:f>IF(A13="","",IF(L13&gt;60,"Korkea",IF(L13&gt;15,"Keskitaso","Matala")))</x:f>
      </x:c>
    </x:row>
    <x:row r="14">
      <x:c r="A14" s="28"/>
      <x:c r="B14" s="28"/>
      <x:c r="C14" s="63"/>
      <x:c r="D14" s="28"/>
      <x:c r="E14" s="28"/>
      <x:c r="F14" s="28"/>
      <x:c r="G14" s="28"/>
      <x:c r="H14" s="28"/>
      <x:c r="I14" s="65" t="str">
        <x:f>IF(A14="","",C14+D14/24+SUM(E14:H14)/1440)</x:f>
      </x:c>
      <x:c r="J14" s="63"/>
      <x:c r="K14" s="35" t="str">
        <x:f>IF(A14="","",IF(I14&lt;=J14,"Ajoissa","Myöhässä"))</x:f>
      </x:c>
      <x:c r="L14" s="35" t="str">
        <x:f>IF(A14="","",MAX(0,(I14-J14)*1440))</x:f>
      </x:c>
      <x:c r="M14" s="35" t="str">
        <x:f>IF(A14="","",IF(L14&gt;60,"Korkea",IF(L14&gt;15,"Keskitaso","Matala")))</x:f>
      </x:c>
    </x:row>
    <x:row r="15">
      <x:c r="A15" s="28"/>
      <x:c r="B15" s="28"/>
      <x:c r="C15" s="63"/>
      <x:c r="D15" s="28"/>
      <x:c r="E15" s="28"/>
      <x:c r="F15" s="28"/>
      <x:c r="G15" s="28"/>
      <x:c r="H15" s="28"/>
      <x:c r="I15" s="65" t="str">
        <x:f>IF(A15="","",C15+D15/24+SUM(E15:H15)/1440)</x:f>
      </x:c>
      <x:c r="J15" s="63"/>
      <x:c r="K15" s="35" t="str">
        <x:f>IF(A15="","",IF(I15&lt;=J15,"Ajoissa","Myöhässä"))</x:f>
      </x:c>
      <x:c r="L15" s="35" t="str">
        <x:f>IF(A15="","",MAX(0,(I15-J15)*1440))</x:f>
      </x:c>
      <x:c r="M15" s="35" t="str">
        <x:f>IF(A15="","",IF(L15&gt;60,"Korkea",IF(L15&gt;15,"Keskitaso","Matala")))</x:f>
      </x:c>
    </x:row>
    <x:row r="16">
      <x:c r="A16" s="28"/>
      <x:c r="B16" s="28"/>
      <x:c r="C16" s="63"/>
      <x:c r="D16" s="28"/>
      <x:c r="E16" s="28"/>
      <x:c r="F16" s="28"/>
      <x:c r="G16" s="28"/>
      <x:c r="H16" s="28"/>
      <x:c r="I16" s="65" t="str">
        <x:f>IF(A16="","",C16+D16/24+SUM(E16:H16)/1440)</x:f>
      </x:c>
      <x:c r="J16" s="63"/>
      <x:c r="K16" s="35" t="str">
        <x:f>IF(A16="","",IF(I16&lt;=J16,"Ajoissa","Myöhässä"))</x:f>
      </x:c>
      <x:c r="L16" s="35" t="str">
        <x:f>IF(A16="","",MAX(0,(I16-J16)*1440))</x:f>
      </x:c>
      <x:c r="M16" s="35" t="str">
        <x:f>IF(A16="","",IF(L16&gt;60,"Korkea",IF(L16&gt;15,"Keskitaso","Matala")))</x:f>
      </x:c>
    </x:row>
    <x:row r="17">
      <x:c r="A17" s="28"/>
      <x:c r="B17" s="28"/>
      <x:c r="C17" s="63"/>
      <x:c r="D17" s="28"/>
      <x:c r="E17" s="28"/>
      <x:c r="F17" s="28"/>
      <x:c r="G17" s="28"/>
      <x:c r="H17" s="28"/>
      <x:c r="I17" s="65" t="str">
        <x:f>IF(A17="","",C17+D17/24+SUM(E17:H17)/1440)</x:f>
      </x:c>
      <x:c r="J17" s="63"/>
      <x:c r="K17" s="35" t="str">
        <x:f>IF(A17="","",IF(I17&lt;=J17,"Ajoissa","Myöhässä"))</x:f>
      </x:c>
      <x:c r="L17" s="35" t="str">
        <x:f>IF(A17="","",MAX(0,(I17-J17)*1440))</x:f>
      </x:c>
      <x:c r="M17" s="35" t="str">
        <x:f>IF(A17="","",IF(L17&gt;60,"Korkea",IF(L17&gt;15,"Keskitaso","Matala")))</x:f>
      </x:c>
    </x:row>
    <x:row r="18">
      <x:c r="A18" s="28"/>
      <x:c r="B18" s="28"/>
      <x:c r="C18" s="63"/>
      <x:c r="D18" s="28"/>
      <x:c r="E18" s="28"/>
      <x:c r="F18" s="28"/>
      <x:c r="G18" s="28"/>
      <x:c r="H18" s="28"/>
      <x:c r="I18" s="65" t="str">
        <x:f>IF(A18="","",C18+D18/24+SUM(E18:H18)/1440)</x:f>
      </x:c>
      <x:c r="J18" s="63"/>
      <x:c r="K18" s="35" t="str">
        <x:f>IF(A18="","",IF(I18&lt;=J18,"Ajoissa","Myöhässä"))</x:f>
      </x:c>
      <x:c r="L18" s="35" t="str">
        <x:f>IF(A18="","",MAX(0,(I18-J18)*1440))</x:f>
      </x:c>
      <x:c r="M18" s="35" t="str">
        <x:f>IF(A18="","",IF(L18&gt;60,"Korkea",IF(L18&gt;15,"Keskitaso","Matala")))</x:f>
      </x:c>
    </x:row>
    <x:row r="19">
      <x:c r="A19" s="28"/>
      <x:c r="B19" s="28"/>
      <x:c r="C19" s="63"/>
      <x:c r="D19" s="28"/>
      <x:c r="E19" s="28"/>
      <x:c r="F19" s="28"/>
      <x:c r="G19" s="28"/>
      <x:c r="H19" s="28"/>
      <x:c r="I19" s="65" t="str">
        <x:f>IF(A19="","",C19+D19/24+SUM(E19:H19)/1440)</x:f>
      </x:c>
      <x:c r="J19" s="63"/>
      <x:c r="K19" s="35" t="str">
        <x:f>IF(A19="","",IF(I19&lt;=J19,"Ajoissa","Myöhässä"))</x:f>
      </x:c>
      <x:c r="L19" s="35" t="str">
        <x:f>IF(A19="","",MAX(0,(I19-J19)*1440))</x:f>
      </x:c>
      <x:c r="M19" s="35" t="str">
        <x:f>IF(A19="","",IF(L19&gt;60,"Korkea",IF(L19&gt;15,"Keskitaso","Matala")))</x:f>
      </x:c>
    </x:row>
    <x:row r="20">
      <x:c r="A20" s="28"/>
      <x:c r="B20" s="28"/>
      <x:c r="C20" s="63"/>
      <x:c r="D20" s="28"/>
      <x:c r="E20" s="28"/>
      <x:c r="F20" s="28"/>
      <x:c r="G20" s="28"/>
      <x:c r="H20" s="28"/>
      <x:c r="I20" s="65" t="str">
        <x:f>IF(A20="","",C20+D20/24+SUM(E20:H20)/1440)</x:f>
      </x:c>
      <x:c r="J20" s="63"/>
      <x:c r="K20" s="35" t="str">
        <x:f>IF(A20="","",IF(I20&lt;=J20,"Ajoissa","Myöhässä"))</x:f>
      </x:c>
      <x:c r="L20" s="35" t="str">
        <x:f>IF(A20="","",MAX(0,(I20-J20)*1440))</x:f>
      </x:c>
      <x:c r="M20" s="35" t="str">
        <x:f>IF(A20="","",IF(L20&gt;60,"Korkea",IF(L20&gt;15,"Keskitaso","Matala")))</x:f>
      </x:c>
    </x:row>
    <x:row r="21">
      <x:c r="A21" s="28"/>
      <x:c r="B21" s="28"/>
      <x:c r="C21" s="63"/>
      <x:c r="D21" s="28"/>
      <x:c r="E21" s="28"/>
      <x:c r="F21" s="28"/>
      <x:c r="G21" s="28"/>
      <x:c r="H21" s="28"/>
      <x:c r="I21" s="65" t="str">
        <x:f>IF(A21="","",C21+D21/24+SUM(E21:H21)/1440)</x:f>
      </x:c>
      <x:c r="J21" s="63"/>
      <x:c r="K21" s="35" t="str">
        <x:f>IF(A21="","",IF(I21&lt;=J21,"Ajoissa","Myöhässä"))</x:f>
      </x:c>
      <x:c r="L21" s="35" t="str">
        <x:f>IF(A21="","",MAX(0,(I21-J21)*1440))</x:f>
      </x:c>
      <x:c r="M21" s="35" t="str">
        <x:f>IF(A21="","",IF(L21&gt;60,"Korkea",IF(L21&gt;15,"Keskitaso","Matala")))</x:f>
      </x:c>
    </x:row>
    <x:row r="22">
      <x:c r="A22" s="28"/>
      <x:c r="B22" s="28"/>
      <x:c r="C22" s="63"/>
      <x:c r="D22" s="28"/>
      <x:c r="E22" s="28"/>
      <x:c r="F22" s="28"/>
      <x:c r="G22" s="28"/>
      <x:c r="H22" s="28"/>
      <x:c r="I22" s="65" t="str">
        <x:f>IF(A22="","",C22+D22/24+SUM(E22:H22)/1440)</x:f>
      </x:c>
      <x:c r="J22" s="63"/>
      <x:c r="K22" s="35" t="str">
        <x:f>IF(A22="","",IF(I22&lt;=J22,"Ajoissa","Myöhässä"))</x:f>
      </x:c>
      <x:c r="L22" s="35" t="str">
        <x:f>IF(A22="","",MAX(0,(I22-J22)*1440))</x:f>
      </x:c>
      <x:c r="M22" s="35" t="str">
        <x:f>IF(A22="","",IF(L22&gt;60,"Korkea",IF(L22&gt;15,"Keskitaso","Matala")))</x:f>
      </x:c>
    </x:row>
    <x:row r="23">
      <x:c r="A23" s="28"/>
      <x:c r="B23" s="28"/>
      <x:c r="C23" s="63"/>
      <x:c r="D23" s="28"/>
      <x:c r="E23" s="28"/>
      <x:c r="F23" s="28"/>
      <x:c r="G23" s="28"/>
      <x:c r="H23" s="28"/>
      <x:c r="I23" s="65" t="str">
        <x:f>IF(A23="","",C23+D23/24+SUM(E23:H23)/1440)</x:f>
      </x:c>
      <x:c r="J23" s="63"/>
      <x:c r="K23" s="35" t="str">
        <x:f>IF(A23="","",IF(I23&lt;=J23,"Ajoissa","Myöhässä"))</x:f>
      </x:c>
      <x:c r="L23" s="35" t="str">
        <x:f>IF(A23="","",MAX(0,(I23-J23)*1440))</x:f>
      </x:c>
      <x:c r="M23" s="35" t="str">
        <x:f>IF(A23="","",IF(L23&gt;60,"Korkea",IF(L23&gt;15,"Keskitaso","Matala")))</x:f>
      </x:c>
    </x:row>
    <x:row r="24">
      <x:c r="A24" s="28"/>
      <x:c r="B24" s="28"/>
      <x:c r="C24" s="63"/>
      <x:c r="D24" s="28"/>
      <x:c r="E24" s="28"/>
      <x:c r="F24" s="28"/>
      <x:c r="G24" s="28"/>
      <x:c r="H24" s="28"/>
      <x:c r="I24" s="65" t="str">
        <x:f>IF(A24="","",C24+D24/24+SUM(E24:H24)/1440)</x:f>
      </x:c>
      <x:c r="J24" s="63"/>
      <x:c r="K24" s="35" t="str">
        <x:f>IF(A24="","",IF(I24&lt;=J24,"Ajoissa","Myöhässä"))</x:f>
      </x:c>
      <x:c r="L24" s="35" t="str">
        <x:f>IF(A24="","",MAX(0,(I24-J24)*1440))</x:f>
      </x:c>
      <x:c r="M24" s="35" t="str">
        <x:f>IF(A24="","",IF(L24&gt;60,"Korkea",IF(L24&gt;15,"Keskitaso","Matala")))</x:f>
      </x:c>
    </x:row>
    <x:row r="25">
      <x:c r="A25" s="28"/>
      <x:c r="B25" s="28"/>
      <x:c r="C25" s="63"/>
      <x:c r="D25" s="28"/>
      <x:c r="E25" s="28"/>
      <x:c r="F25" s="28"/>
      <x:c r="G25" s="28"/>
      <x:c r="H25" s="28"/>
      <x:c r="I25" s="65" t="str">
        <x:f>IF(A25="","",C25+D25/24+SUM(E25:H25)/1440)</x:f>
      </x:c>
      <x:c r="J25" s="63"/>
      <x:c r="K25" s="35" t="str">
        <x:f>IF(A25="","",IF(I25&lt;=J25,"Ajoissa","Myöhässä"))</x:f>
      </x:c>
      <x:c r="L25" s="35" t="str">
        <x:f>IF(A25="","",MAX(0,(I25-J25)*1440))</x:f>
      </x:c>
      <x:c r="M25" s="35" t="str">
        <x:f>IF(A25="","",IF(L25&gt;60,"Korkea",IF(L25&gt;15,"Keskitaso","Matala")))</x:f>
      </x:c>
    </x:row>
    <x:row r="26">
      <x:c r="A26" s="28"/>
      <x:c r="B26" s="28"/>
      <x:c r="C26" s="63"/>
      <x:c r="D26" s="28"/>
      <x:c r="E26" s="28"/>
      <x:c r="F26" s="28"/>
      <x:c r="G26" s="28"/>
      <x:c r="H26" s="28"/>
      <x:c r="I26" s="65" t="str">
        <x:f>IF(A26="","",C26+D26/24+SUM(E26:H26)/1440)</x:f>
      </x:c>
      <x:c r="J26" s="63"/>
      <x:c r="K26" s="35" t="str">
        <x:f>IF(A26="","",IF(I26&lt;=J26,"Ajoissa","Myöhässä"))</x:f>
      </x:c>
      <x:c r="L26" s="35" t="str">
        <x:f>IF(A26="","",MAX(0,(I26-J26)*1440))</x:f>
      </x:c>
      <x:c r="M26" s="35" t="str">
        <x:f>IF(A26="","",IF(L26&gt;60,"Korkea",IF(L26&gt;15,"Keskitaso","Matala")))</x:f>
      </x:c>
    </x:row>
    <x:row r="27">
      <x:c r="A27" s="28"/>
      <x:c r="B27" s="28"/>
      <x:c r="C27" s="63"/>
      <x:c r="D27" s="28"/>
      <x:c r="E27" s="28"/>
      <x:c r="F27" s="28"/>
      <x:c r="G27" s="28"/>
      <x:c r="H27" s="28"/>
      <x:c r="I27" s="65" t="str">
        <x:f>IF(A27="","",C27+D27/24+SUM(E27:H27)/1440)</x:f>
      </x:c>
      <x:c r="J27" s="63"/>
      <x:c r="K27" s="35" t="str">
        <x:f>IF(A27="","",IF(I27&lt;=J27,"Ajoissa","Myöhässä"))</x:f>
      </x:c>
      <x:c r="L27" s="35" t="str">
        <x:f>IF(A27="","",MAX(0,(I27-J27)*1440))</x:f>
      </x:c>
      <x:c r="M27" s="35" t="str">
        <x:f>IF(A27="","",IF(L27&gt;60,"Korkea",IF(L27&gt;15,"Keskitaso","Matala")))</x:f>
      </x:c>
    </x:row>
    <x:row r="28">
      <x:c r="A28" s="28"/>
      <x:c r="B28" s="28"/>
      <x:c r="C28" s="63"/>
      <x:c r="D28" s="28"/>
      <x:c r="E28" s="28"/>
      <x:c r="F28" s="28"/>
      <x:c r="G28" s="28"/>
      <x:c r="H28" s="28"/>
      <x:c r="I28" s="65" t="str">
        <x:f>IF(A28="","",C28+D28/24+SUM(E28:H28)/1440)</x:f>
      </x:c>
      <x:c r="J28" s="63"/>
      <x:c r="K28" s="35" t="str">
        <x:f>IF(A28="","",IF(I28&lt;=J28,"Ajoissa","Myöhässä"))</x:f>
      </x:c>
      <x:c r="L28" s="35" t="str">
        <x:f>IF(A28="","",MAX(0,(I28-J28)*1440))</x:f>
      </x:c>
      <x:c r="M28" s="35" t="str">
        <x:f>IF(A28="","",IF(L28&gt;60,"Korkea",IF(L28&gt;15,"Keskitaso","Matala")))</x:f>
      </x:c>
    </x:row>
    <x:row r="29">
      <x:c r="A29" s="28"/>
      <x:c r="B29" s="28"/>
      <x:c r="C29" s="63"/>
      <x:c r="D29" s="28"/>
      <x:c r="E29" s="28"/>
      <x:c r="F29" s="28"/>
      <x:c r="G29" s="28"/>
      <x:c r="H29" s="28"/>
      <x:c r="I29" s="65" t="str">
        <x:f>IF(A29="","",C29+D29/24+SUM(E29:H29)/1440)</x:f>
      </x:c>
      <x:c r="J29" s="63"/>
      <x:c r="K29" s="35" t="str">
        <x:f>IF(A29="","",IF(I29&lt;=J29,"Ajoissa","Myöhässä"))</x:f>
      </x:c>
      <x:c r="L29" s="35" t="str">
        <x:f>IF(A29="","",MAX(0,(I29-J29)*1440))</x:f>
      </x:c>
      <x:c r="M29" s="35" t="str">
        <x:f>IF(A29="","",IF(L29&gt;60,"Korkea",IF(L29&gt;15,"Keskitaso","Matala")))</x:f>
      </x:c>
    </x:row>
    <x:row r="30">
      <x:c r="A30" s="28"/>
      <x:c r="B30" s="28"/>
      <x:c r="C30" s="63"/>
      <x:c r="D30" s="28"/>
      <x:c r="E30" s="28"/>
      <x:c r="F30" s="28"/>
      <x:c r="G30" s="28"/>
      <x:c r="H30" s="28"/>
      <x:c r="I30" s="65" t="str">
        <x:f>IF(A30="","",C30+D30/24+SUM(E30:H30)/1440)</x:f>
      </x:c>
      <x:c r="J30" s="63"/>
      <x:c r="K30" s="35" t="str">
        <x:f>IF(A30="","",IF(I30&lt;=J30,"Ajoissa","Myöhässä"))</x:f>
      </x:c>
      <x:c r="L30" s="35" t="str">
        <x:f>IF(A30="","",MAX(0,(I30-J30)*1440))</x:f>
      </x:c>
      <x:c r="M30" s="35" t="str">
        <x:f>IF(A30="","",IF(L30&gt;60,"Korkea",IF(L30&gt;15,"Keskitaso","Matala")))</x:f>
      </x:c>
    </x:row>
    <x:row r="31">
      <x:c r="A31" s="28"/>
      <x:c r="B31" s="28"/>
      <x:c r="C31" s="63"/>
      <x:c r="D31" s="28"/>
      <x:c r="E31" s="28"/>
      <x:c r="F31" s="28"/>
      <x:c r="G31" s="28"/>
      <x:c r="H31" s="28"/>
      <x:c r="I31" s="65" t="str">
        <x:f>IF(A31="","",C31+D31/24+SUM(E31:H31)/1440)</x:f>
      </x:c>
      <x:c r="J31" s="63"/>
      <x:c r="K31" s="35" t="str">
        <x:f>IF(A31="","",IF(I31&lt;=J31,"Ajoissa","Myöhässä"))</x:f>
      </x:c>
      <x:c r="L31" s="35" t="str">
        <x:f>IF(A31="","",MAX(0,(I31-J31)*1440))</x:f>
      </x:c>
      <x:c r="M31" s="35" t="str">
        <x:f>IF(A31="","",IF(L31&gt;60,"Korkea",IF(L31&gt;15,"Keskitaso","Matala")))</x:f>
      </x:c>
    </x:row>
    <x:row r="32">
      <x:c r="A32" s="28"/>
      <x:c r="B32" s="28"/>
      <x:c r="C32" s="63"/>
      <x:c r="D32" s="28"/>
      <x:c r="E32" s="28"/>
      <x:c r="F32" s="28"/>
      <x:c r="G32" s="28"/>
      <x:c r="H32" s="28"/>
      <x:c r="I32" s="65" t="str">
        <x:f>IF(A32="","",C32+D32/24+SUM(E32:H32)/1440)</x:f>
      </x:c>
      <x:c r="J32" s="63"/>
      <x:c r="K32" s="35" t="str">
        <x:f>IF(A32="","",IF(I32&lt;=J32,"Ajoissa","Myöhässä"))</x:f>
      </x:c>
      <x:c r="L32" s="35" t="str">
        <x:f>IF(A32="","",MAX(0,(I32-J32)*1440))</x:f>
      </x:c>
      <x:c r="M32" s="35" t="str">
        <x:f>IF(A32="","",IF(L32&gt;60,"Korkea",IF(L32&gt;15,"Keskitaso","Matala")))</x:f>
      </x:c>
    </x:row>
    <x:row r="33">
      <x:c r="A33" s="28"/>
      <x:c r="B33" s="28"/>
      <x:c r="C33" s="63"/>
      <x:c r="D33" s="28"/>
      <x:c r="E33" s="28"/>
      <x:c r="F33" s="28"/>
      <x:c r="G33" s="28"/>
      <x:c r="H33" s="28"/>
      <x:c r="I33" s="65" t="str">
        <x:f>IF(A33="","",C33+D33/24+SUM(E33:H33)/1440)</x:f>
      </x:c>
      <x:c r="J33" s="63"/>
      <x:c r="K33" s="35" t="str">
        <x:f>IF(A33="","",IF(I33&lt;=J33,"Ajoissa","Myöhässä"))</x:f>
      </x:c>
      <x:c r="L33" s="35" t="str">
        <x:f>IF(A33="","",MAX(0,(I33-J33)*1440))</x:f>
      </x:c>
      <x:c r="M33" s="35" t="str">
        <x:f>IF(A33="","",IF(L33&gt;60,"Korkea",IF(L33&gt;15,"Keskitaso","Matala")))</x:f>
      </x:c>
    </x:row>
    <x:row r="34">
      <x:c r="A34" s="28"/>
      <x:c r="B34" s="28"/>
      <x:c r="C34" s="63"/>
      <x:c r="D34" s="28"/>
      <x:c r="E34" s="28"/>
      <x:c r="F34" s="28"/>
      <x:c r="G34" s="28"/>
      <x:c r="H34" s="28"/>
      <x:c r="I34" s="65" t="str">
        <x:f>IF(A34="","",C34+D34/24+SUM(E34:H34)/1440)</x:f>
      </x:c>
      <x:c r="J34" s="63"/>
      <x:c r="K34" s="35" t="str">
        <x:f>IF(A34="","",IF(I34&lt;=J34,"Ajoissa","Myöhässä"))</x:f>
      </x:c>
      <x:c r="L34" s="35" t="str">
        <x:f>IF(A34="","",MAX(0,(I34-J34)*1440))</x:f>
      </x:c>
      <x:c r="M34" s="35" t="str">
        <x:f>IF(A34="","",IF(L34&gt;60,"Korkea",IF(L34&gt;15,"Keskitaso","Matala")))</x:f>
      </x:c>
    </x:row>
    <x:row r="35">
      <x:c r="A35" s="28"/>
      <x:c r="B35" s="28"/>
      <x:c r="C35" s="63"/>
      <x:c r="D35" s="28"/>
      <x:c r="E35" s="28"/>
      <x:c r="F35" s="28"/>
      <x:c r="G35" s="28"/>
      <x:c r="H35" s="28"/>
      <x:c r="I35" s="65" t="str">
        <x:f>IF(A35="","",C35+D35/24+SUM(E35:H35)/1440)</x:f>
      </x:c>
      <x:c r="J35" s="63"/>
      <x:c r="K35" s="35" t="str">
        <x:f>IF(A35="","",IF(I35&lt;=J35,"Ajoissa","Myöhässä"))</x:f>
      </x:c>
      <x:c r="L35" s="35" t="str">
        <x:f>IF(A35="","",MAX(0,(I35-J35)*1440))</x:f>
      </x:c>
      <x:c r="M35" s="35" t="str">
        <x:f>IF(A35="","",IF(L35&gt;60,"Korkea",IF(L35&gt;15,"Keskitaso","Matala")))</x:f>
      </x:c>
    </x:row>
    <x:row r="36">
      <x:c r="A36" s="28"/>
      <x:c r="B36" s="28"/>
      <x:c r="C36" s="63"/>
      <x:c r="D36" s="28"/>
      <x:c r="E36" s="28"/>
      <x:c r="F36" s="28"/>
      <x:c r="G36" s="28"/>
      <x:c r="H36" s="28"/>
      <x:c r="I36" s="65" t="str">
        <x:f>IF(A36="","",C36+D36/24+SUM(E36:H36)/1440)</x:f>
      </x:c>
      <x:c r="J36" s="63"/>
      <x:c r="K36" s="35" t="str">
        <x:f>IF(A36="","",IF(I36&lt;=J36,"Ajoissa","Myöhässä"))</x:f>
      </x:c>
      <x:c r="L36" s="35" t="str">
        <x:f>IF(A36="","",MAX(0,(I36-J36)*1440))</x:f>
      </x:c>
      <x:c r="M36" s="35" t="str">
        <x:f>IF(A36="","",IF(L36&gt;60,"Korkea",IF(L36&gt;15,"Keskitaso","Matala")))</x:f>
      </x:c>
    </x:row>
    <x:row r="37">
      <x:c r="A37" s="28"/>
      <x:c r="B37" s="28"/>
      <x:c r="C37" s="63"/>
      <x:c r="D37" s="28"/>
      <x:c r="E37" s="28"/>
      <x:c r="F37" s="28"/>
      <x:c r="G37" s="28"/>
      <x:c r="H37" s="28"/>
      <x:c r="I37" s="65" t="str">
        <x:f>IF(A37="","",C37+D37/24+SUM(E37:H37)/1440)</x:f>
      </x:c>
      <x:c r="J37" s="63"/>
      <x:c r="K37" s="35" t="str">
        <x:f>IF(A37="","",IF(I37&lt;=J37,"Ajoissa","Myöhässä"))</x:f>
      </x:c>
      <x:c r="L37" s="35" t="str">
        <x:f>IF(A37="","",MAX(0,(I37-J37)*1440))</x:f>
      </x:c>
      <x:c r="M37" s="35" t="str">
        <x:f>IF(A37="","",IF(L37&gt;60,"Korkea",IF(L37&gt;15,"Keskitaso","Matala")))</x:f>
      </x:c>
    </x:row>
    <x:row r="38">
      <x:c r="A38" s="28"/>
      <x:c r="B38" s="28"/>
      <x:c r="C38" s="63"/>
      <x:c r="D38" s="28"/>
      <x:c r="E38" s="28"/>
      <x:c r="F38" s="28"/>
      <x:c r="G38" s="28"/>
      <x:c r="H38" s="28"/>
      <x:c r="I38" s="65" t="str">
        <x:f>IF(A38="","",C38+D38/24+SUM(E38:H38)/1440)</x:f>
      </x:c>
      <x:c r="J38" s="63"/>
      <x:c r="K38" s="35" t="str">
        <x:f>IF(A38="","",IF(I38&lt;=J38,"Ajoissa","Myöhässä"))</x:f>
      </x:c>
      <x:c r="L38" s="35" t="str">
        <x:f>IF(A38="","",MAX(0,(I38-J38)*1440))</x:f>
      </x:c>
      <x:c r="M38" s="35" t="str">
        <x:f>IF(A38="","",IF(L38&gt;60,"Korkea",IF(L38&gt;15,"Keskitaso","Matala")))</x:f>
      </x:c>
    </x:row>
    <x:row r="39">
      <x:c r="A39" s="28"/>
      <x:c r="B39" s="28"/>
      <x:c r="C39" s="63"/>
      <x:c r="D39" s="28"/>
      <x:c r="E39" s="28"/>
      <x:c r="F39" s="28"/>
      <x:c r="G39" s="28"/>
      <x:c r="H39" s="28"/>
      <x:c r="I39" s="65" t="str">
        <x:f>IF(A39="","",C39+D39/24+SUM(E39:H39)/1440)</x:f>
      </x:c>
      <x:c r="J39" s="63"/>
      <x:c r="K39" s="35" t="str">
        <x:f>IF(A39="","",IF(I39&lt;=J39,"Ajoissa","Myöhässä"))</x:f>
      </x:c>
      <x:c r="L39" s="35" t="str">
        <x:f>IF(A39="","",MAX(0,(I39-J39)*1440))</x:f>
      </x:c>
      <x:c r="M39" s="35" t="str">
        <x:f>IF(A39="","",IF(L39&gt;60,"Korkea",IF(L39&gt;15,"Keskitaso","Matala")))</x:f>
      </x:c>
    </x:row>
    <x:row r="40">
      <x:c r="A40" s="28"/>
      <x:c r="B40" s="28"/>
      <x:c r="C40" s="63"/>
      <x:c r="D40" s="28"/>
      <x:c r="E40" s="28"/>
      <x:c r="F40" s="28"/>
      <x:c r="G40" s="28"/>
      <x:c r="H40" s="28"/>
      <x:c r="I40" s="65" t="str">
        <x:f>IF(A40="","",C40+D40/24+SUM(E40:H40)/1440)</x:f>
      </x:c>
      <x:c r="J40" s="63"/>
      <x:c r="K40" s="35" t="str">
        <x:f>IF(A40="","",IF(I40&lt;=J40,"Ajoissa","Myöhässä"))</x:f>
      </x:c>
      <x:c r="L40" s="35" t="str">
        <x:f>IF(A40="","",MAX(0,(I40-J40)*1440))</x:f>
      </x:c>
      <x:c r="M40" s="35" t="str">
        <x:f>IF(A40="","",IF(L40&gt;60,"Korkea",IF(L40&gt;15,"Keskitaso","Matala")))</x:f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28" hidden="0" customWidth="1"/>
  </x:cols>
  <x:sheetData>
    <x:row r="1">
      <x:c r="A1" s="6" t="str">
        <x:v>Riskivaroitukset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Automaattiset punainen/keltainen/OK-varoitukset.</x:v>
      </x:c>
    </x:row>
    <x:row r="4">
      <x:c r="A4" s="20" t="str">
        <x:v>Keikka</x:v>
      </x:c>
      <x:c r="B4" s="20" t="str">
        <x:v>Reitti</x:v>
      </x:c>
      <x:c r="C4" s="20" t="str">
        <x:v>Ajoaika h</x:v>
      </x:c>
      <x:c r="D4" s="20" t="str">
        <x:v>Täyttöaste</x:v>
      </x:c>
      <x:c r="E4" s="20" t="str">
        <x:v>Kate %</x:v>
      </x:c>
      <x:c r="F4" s="20" t="str">
        <x:v>Empty %</x:v>
      </x:c>
      <x:c r="G4" s="20" t="str">
        <x:v>ETA status</x:v>
      </x:c>
      <x:c r="H4" s="20" t="str">
        <x:v>Riskipisteet</x:v>
      </x:c>
      <x:c r="I4" s="20" t="str">
        <x:v>Ajo varoitus</x:v>
      </x:c>
      <x:c r="J4" s="20" t="str">
        <x:v>Täyttö varoitus</x:v>
      </x:c>
      <x:c r="K4" s="20" t="str">
        <x:v>Kate varoitus</x:v>
      </x:c>
      <x:c r="L4" s="20" t="str">
        <x:v>Empty varoitus</x:v>
      </x:c>
      <x:c r="M4" s="20" t="str">
        <x:v>Kokonaisstatus</x:v>
      </x:c>
      <x:c r="N4" s="20" t="str">
        <x:v>Toimenpide</x:v>
      </x:c>
    </x:row>
    <x:row r="5">
      <x:c r="A5" s="28" t="str">
        <x:v>K-001</x:v>
      </x:c>
      <x:c r="B5" s="28" t="str">
        <x:v>Vantaa → Tampere → Pori</x:v>
      </x:c>
      <x:c r="C5" s="28" t="n">
        <x:v>3.9</x:v>
      </x:c>
      <x:c r="D5" s="32" t="n">
        <x:v>0.55</x:v>
      </x:c>
      <x:c r="E5" s="32" t="n">
        <x:v>0.18</x:v>
      </x:c>
      <x:c r="F5" s="32" t="n">
        <x:v>0.12</x:v>
      </x:c>
      <x:c r="G5" s="28" t="str">
        <x:v>Ajoissa</x:v>
      </x:c>
      <x:c r="H5" s="28" t="n">
        <x:v>2</x:v>
      </x:c>
      <x:c r="I5" s="35" t="str">
        <x:f>IF(A5="","",IF(C5&gt;10,"Punainen",IF(C5&gt;9,"Keltainen","OK")))</x:f>
        <x:v>OK</x:v>
      </x:c>
      <x:c r="J5" s="35" t="str">
        <x:f>IF(A5="","",IF(D5&lt;0.7,"Keltainen",IF(D5&gt;0.95,"Keltainen","OK")))</x:f>
        <x:v>Keltainen</x:v>
      </x:c>
      <x:c r="K5" s="35" t="str">
        <x:f>IF(A5="","",IF(E5&lt;0.12,"Punainen",IF(E5&lt;0.15,"Keltainen","OK")))</x:f>
        <x:v>OK</x:v>
      </x:c>
      <x:c r="L5" s="35" t="str">
        <x:f>IF(A5="","",IF(F5&gt;0.18,"Punainen",IF(F5&gt;0.15,"Keltainen","OK")))</x:f>
        <x:v>OK</x:v>
      </x:c>
      <x:c r="M5" s="35" t="str">
        <x:f>IF(A5="","",IF(OR(I5="Punainen",K5="Punainen",L5="Punainen",G5="Myöhässä",H5&gt;=6),"Punainen",IF(OR(I5="Keltainen",J5="Keltainen",K5="Keltainen",L5="Keltainen"),"Keltainen","OK")))</x:f>
        <x:v>Keltainen</x:v>
      </x:c>
      <x:c r="N5" s="35" t="str">
        <x:f>IF(A5="","",IF(M5="Punainen","Tarkista ennen ajoon vapautusta",IF(M5="Keltainen","Seuraa / varmista","OK")))</x:f>
        <x:v>Seuraa / varmista</x:v>
      </x:c>
    </x:row>
    <x:row r="6">
      <x:c r="A6" s="28" t="str">
        <x:v>K-002</x:v>
      </x:c>
      <x:c r="B6" s="28" t="str">
        <x:v>Vantaa → Oulu</x:v>
      </x:c>
      <x:c r="C6" s="28" t="n">
        <x:v>8</x:v>
      </x:c>
      <x:c r="D6" s="32" t="n">
        <x:v>0.91</x:v>
      </x:c>
      <x:c r="E6" s="32" t="n">
        <x:v>0.16</x:v>
      </x:c>
      <x:c r="F6" s="32" t="n">
        <x:v>0.19</x:v>
      </x:c>
      <x:c r="G6" s="28" t="str">
        <x:v>Ajoissa</x:v>
      </x:c>
      <x:c r="H6" s="28" t="n">
        <x:v>4</x:v>
      </x:c>
      <x:c r="I6" s="35" t="str">
        <x:f>IF(A6="","",IF(C6&gt;10,"Punainen",IF(C6&gt;9,"Keltainen","OK")))</x:f>
        <x:v>OK</x:v>
      </x:c>
      <x:c r="J6" s="35" t="str">
        <x:f>IF(A6="","",IF(D6&lt;0.7,"Keltainen",IF(D6&gt;0.95,"Keltainen","OK")))</x:f>
        <x:v>OK</x:v>
      </x:c>
      <x:c r="K6" s="35" t="str">
        <x:f>IF(A6="","",IF(E6&lt;0.12,"Punainen",IF(E6&lt;0.15,"Keltainen","OK")))</x:f>
        <x:v>OK</x:v>
      </x:c>
      <x:c r="L6" s="35" t="str">
        <x:f>IF(A6="","",IF(F6&gt;0.18,"Punainen",IF(F6&gt;0.15,"Keltainen","OK")))</x:f>
        <x:v>Punainen</x:v>
      </x:c>
      <x:c r="M6" s="35" t="str">
        <x:f>IF(A6="","",IF(OR(I6="Punainen",K6="Punainen",L6="Punainen",G6="Myöhässä",H6&gt;=6),"Punainen",IF(OR(I6="Keltainen",J6="Keltainen",K6="Keltainen",L6="Keltainen"),"Keltainen","OK")))</x:f>
        <x:v>Punainen</x:v>
      </x:c>
      <x:c r="N6" s="35" t="str">
        <x:f>IF(A6="","",IF(M6="Punainen","Tarkista ennen ajoon vapautusta",IF(M6="Keltainen","Seuraa / varmista","OK")))</x:f>
        <x:v>Tarkista ennen ajoon vapautusta</x:v>
      </x:c>
    </x:row>
    <x:row r="7">
      <x:c r="A7" s="28" t="str">
        <x:v>K-003</x:v>
      </x:c>
      <x:c r="B7" s="28" t="str">
        <x:v>Vantaa → Hollanti</x:v>
      </x:c>
      <x:c r="C7" s="28" t="n">
        <x:v>10.5</x:v>
      </x:c>
      <x:c r="D7" s="32" t="n">
        <x:v>0.72</x:v>
      </x:c>
      <x:c r="E7" s="32" t="n">
        <x:v>0.11</x:v>
      </x:c>
      <x:c r="F7" s="32" t="n">
        <x:v>0.22</x:v>
      </x:c>
      <x:c r="G7" s="28" t="str">
        <x:v>Myöhässä</x:v>
      </x:c>
      <x:c r="H7" s="28" t="n">
        <x:v>6</x:v>
      </x:c>
      <x:c r="I7" s="35" t="str">
        <x:f>IF(A7="","",IF(C7&gt;10,"Punainen",IF(C7&gt;9,"Keltainen","OK")))</x:f>
        <x:v>Punainen</x:v>
      </x:c>
      <x:c r="J7" s="35" t="str">
        <x:f>IF(A7="","",IF(D7&lt;0.7,"Keltainen",IF(D7&gt;0.95,"Keltainen","OK")))</x:f>
        <x:v>OK</x:v>
      </x:c>
      <x:c r="K7" s="35" t="str">
        <x:f>IF(A7="","",IF(E7&lt;0.12,"Punainen",IF(E7&lt;0.15,"Keltainen","OK")))</x:f>
        <x:v>Punainen</x:v>
      </x:c>
      <x:c r="L7" s="35" t="str">
        <x:f>IF(A7="","",IF(F7&gt;0.18,"Punainen",IF(F7&gt;0.15,"Keltainen","OK")))</x:f>
        <x:v>Punainen</x:v>
      </x:c>
      <x:c r="M7" s="35" t="str">
        <x:f>IF(A7="","",IF(OR(I7="Punainen",K7="Punainen",L7="Punainen",G7="Myöhässä",H7&gt;=6),"Punainen",IF(OR(I7="Keltainen",J7="Keltainen",K7="Keltainen",L7="Keltainen"),"Keltainen","OK")))</x:f>
        <x:v>Punainen</x:v>
      </x:c>
      <x:c r="N7" s="35" t="str">
        <x:f>IF(A7="","",IF(M7="Punainen","Tarkista ennen ajoon vapautusta",IF(M7="Keltainen","Seuraa / varmista","OK")))</x:f>
        <x:v>Tarkista ennen ajoon vapautusta</x:v>
      </x:c>
    </x:row>
    <x:row r="8">
      <x:c r="A8" s="28"/>
      <x:c r="B8" s="28"/>
      <x:c r="C8" s="28"/>
      <x:c r="D8" s="32"/>
      <x:c r="E8" s="32"/>
      <x:c r="F8" s="32"/>
      <x:c r="G8" s="28"/>
      <x:c r="H8" s="28"/>
      <x:c r="I8" s="35" t="str">
        <x:f>IF(A8="","",IF(C8&gt;10,"Punainen",IF(C8&gt;9,"Keltainen","OK")))</x:f>
      </x:c>
      <x:c r="J8" s="35" t="str">
        <x:f>IF(A8="","",IF(D8&lt;0.7,"Keltainen",IF(D8&gt;0.95,"Keltainen","OK")))</x:f>
      </x:c>
      <x:c r="K8" s="35" t="str">
        <x:f>IF(A8="","",IF(E8&lt;0.12,"Punainen",IF(E8&lt;0.15,"Keltainen","OK")))</x:f>
      </x:c>
      <x:c r="L8" s="35" t="str">
        <x:f>IF(A8="","",IF(F8&gt;0.18,"Punainen",IF(F8&gt;0.15,"Keltainen","OK")))</x:f>
      </x:c>
      <x:c r="M8" s="35" t="str">
        <x:f>IF(A8="","",IF(OR(I8="Punainen",K8="Punainen",L8="Punainen",G8="Myöhässä",H8&gt;=6),"Punainen",IF(OR(I8="Keltainen",J8="Keltainen",K8="Keltainen",L8="Keltainen"),"Keltainen","OK")))</x:f>
      </x:c>
      <x:c r="N8" s="35" t="str">
        <x:f>IF(A8="","",IF(M8="Punainen","Tarkista ennen ajoon vapautusta",IF(M8="Keltainen","Seuraa / varmista","OK")))</x:f>
      </x:c>
    </x:row>
    <x:row r="9">
      <x:c r="A9" s="28"/>
      <x:c r="B9" s="28"/>
      <x:c r="C9" s="28"/>
      <x:c r="D9" s="32"/>
      <x:c r="E9" s="32"/>
      <x:c r="F9" s="32"/>
      <x:c r="G9" s="28"/>
      <x:c r="H9" s="28"/>
      <x:c r="I9" s="35" t="str">
        <x:f>IF(A9="","",IF(C9&gt;10,"Punainen",IF(C9&gt;9,"Keltainen","OK")))</x:f>
      </x:c>
      <x:c r="J9" s="35" t="str">
        <x:f>IF(A9="","",IF(D9&lt;0.7,"Keltainen",IF(D9&gt;0.95,"Keltainen","OK")))</x:f>
      </x:c>
      <x:c r="K9" s="35" t="str">
        <x:f>IF(A9="","",IF(E9&lt;0.12,"Punainen",IF(E9&lt;0.15,"Keltainen","OK")))</x:f>
      </x:c>
      <x:c r="L9" s="35" t="str">
        <x:f>IF(A9="","",IF(F9&gt;0.18,"Punainen",IF(F9&gt;0.15,"Keltainen","OK")))</x:f>
      </x:c>
      <x:c r="M9" s="35" t="str">
        <x:f>IF(A9="","",IF(OR(I9="Punainen",K9="Punainen",L9="Punainen",G9="Myöhässä",H9&gt;=6),"Punainen",IF(OR(I9="Keltainen",J9="Keltainen",K9="Keltainen",L9="Keltainen"),"Keltainen","OK")))</x:f>
      </x:c>
      <x:c r="N9" s="35" t="str">
        <x:f>IF(A9="","",IF(M9="Punainen","Tarkista ennen ajoon vapautusta",IF(M9="Keltainen","Seuraa / varmista","OK")))</x:f>
      </x:c>
    </x:row>
    <x:row r="10">
      <x:c r="A10" s="28"/>
      <x:c r="B10" s="28"/>
      <x:c r="C10" s="28"/>
      <x:c r="D10" s="32"/>
      <x:c r="E10" s="32"/>
      <x:c r="F10" s="32"/>
      <x:c r="G10" s="28"/>
      <x:c r="H10" s="28"/>
      <x:c r="I10" s="35" t="str">
        <x:f>IF(A10="","",IF(C10&gt;10,"Punainen",IF(C10&gt;9,"Keltainen","OK")))</x:f>
      </x:c>
      <x:c r="J10" s="35" t="str">
        <x:f>IF(A10="","",IF(D10&lt;0.7,"Keltainen",IF(D10&gt;0.95,"Keltainen","OK")))</x:f>
      </x:c>
      <x:c r="K10" s="35" t="str">
        <x:f>IF(A10="","",IF(E10&lt;0.12,"Punainen",IF(E10&lt;0.15,"Keltainen","OK")))</x:f>
      </x:c>
      <x:c r="L10" s="35" t="str">
        <x:f>IF(A10="","",IF(F10&gt;0.18,"Punainen",IF(F10&gt;0.15,"Keltainen","OK")))</x:f>
      </x:c>
      <x:c r="M10" s="35" t="str">
        <x:f>IF(A10="","",IF(OR(I10="Punainen",K10="Punainen",L10="Punainen",G10="Myöhässä",H10&gt;=6),"Punainen",IF(OR(I10="Keltainen",J10="Keltainen",K10="Keltainen",L10="Keltainen"),"Keltainen","OK")))</x:f>
      </x:c>
      <x:c r="N10" s="35" t="str">
        <x:f>IF(A10="","",IF(M10="Punainen","Tarkista ennen ajoon vapautusta",IF(M10="Keltainen","Seuraa / varmista","OK")))</x:f>
      </x:c>
    </x:row>
    <x:row r="11">
      <x:c r="A11" s="28"/>
      <x:c r="B11" s="28"/>
      <x:c r="C11" s="28"/>
      <x:c r="D11" s="32"/>
      <x:c r="E11" s="32"/>
      <x:c r="F11" s="32"/>
      <x:c r="G11" s="28"/>
      <x:c r="H11" s="28"/>
      <x:c r="I11" s="35" t="str">
        <x:f>IF(A11="","",IF(C11&gt;10,"Punainen",IF(C11&gt;9,"Keltainen","OK")))</x:f>
      </x:c>
      <x:c r="J11" s="35" t="str">
        <x:f>IF(A11="","",IF(D11&lt;0.7,"Keltainen",IF(D11&gt;0.95,"Keltainen","OK")))</x:f>
      </x:c>
      <x:c r="K11" s="35" t="str">
        <x:f>IF(A11="","",IF(E11&lt;0.12,"Punainen",IF(E11&lt;0.15,"Keltainen","OK")))</x:f>
      </x:c>
      <x:c r="L11" s="35" t="str">
        <x:f>IF(A11="","",IF(F11&gt;0.18,"Punainen",IF(F11&gt;0.15,"Keltainen","OK")))</x:f>
      </x:c>
      <x:c r="M11" s="35" t="str">
        <x:f>IF(A11="","",IF(OR(I11="Punainen",K11="Punainen",L11="Punainen",G11="Myöhässä",H11&gt;=6),"Punainen",IF(OR(I11="Keltainen",J11="Keltainen",K11="Keltainen",L11="Keltainen"),"Keltainen","OK")))</x:f>
      </x:c>
      <x:c r="N11" s="35" t="str">
        <x:f>IF(A11="","",IF(M11="Punainen","Tarkista ennen ajoon vapautusta",IF(M11="Keltainen","Seuraa / varmista","OK")))</x:f>
      </x:c>
    </x:row>
    <x:row r="12">
      <x:c r="A12" s="28"/>
      <x:c r="B12" s="28"/>
      <x:c r="C12" s="28"/>
      <x:c r="D12" s="32"/>
      <x:c r="E12" s="32"/>
      <x:c r="F12" s="32"/>
      <x:c r="G12" s="28"/>
      <x:c r="H12" s="28"/>
      <x:c r="I12" s="35" t="str">
        <x:f>IF(A12="","",IF(C12&gt;10,"Punainen",IF(C12&gt;9,"Keltainen","OK")))</x:f>
      </x:c>
      <x:c r="J12" s="35" t="str">
        <x:f>IF(A12="","",IF(D12&lt;0.7,"Keltainen",IF(D12&gt;0.95,"Keltainen","OK")))</x:f>
      </x:c>
      <x:c r="K12" s="35" t="str">
        <x:f>IF(A12="","",IF(E12&lt;0.12,"Punainen",IF(E12&lt;0.15,"Keltainen","OK")))</x:f>
      </x:c>
      <x:c r="L12" s="35" t="str">
        <x:f>IF(A12="","",IF(F12&gt;0.18,"Punainen",IF(F12&gt;0.15,"Keltainen","OK")))</x:f>
      </x:c>
      <x:c r="M12" s="35" t="str">
        <x:f>IF(A12="","",IF(OR(I12="Punainen",K12="Punainen",L12="Punainen",G12="Myöhässä",H12&gt;=6),"Punainen",IF(OR(I12="Keltainen",J12="Keltainen",K12="Keltainen",L12="Keltainen"),"Keltainen","OK")))</x:f>
      </x:c>
      <x:c r="N12" s="35" t="str">
        <x:f>IF(A12="","",IF(M12="Punainen","Tarkista ennen ajoon vapautusta",IF(M12="Keltainen","Seuraa / varmista","OK")))</x:f>
      </x:c>
    </x:row>
    <x:row r="13">
      <x:c r="A13" s="28"/>
      <x:c r="B13" s="28"/>
      <x:c r="C13" s="28"/>
      <x:c r="D13" s="32"/>
      <x:c r="E13" s="32"/>
      <x:c r="F13" s="32"/>
      <x:c r="G13" s="28"/>
      <x:c r="H13" s="28"/>
      <x:c r="I13" s="35" t="str">
        <x:f>IF(A13="","",IF(C13&gt;10,"Punainen",IF(C13&gt;9,"Keltainen","OK")))</x:f>
      </x:c>
      <x:c r="J13" s="35" t="str">
        <x:f>IF(A13="","",IF(D13&lt;0.7,"Keltainen",IF(D13&gt;0.95,"Keltainen","OK")))</x:f>
      </x:c>
      <x:c r="K13" s="35" t="str">
        <x:f>IF(A13="","",IF(E13&lt;0.12,"Punainen",IF(E13&lt;0.15,"Keltainen","OK")))</x:f>
      </x:c>
      <x:c r="L13" s="35" t="str">
        <x:f>IF(A13="","",IF(F13&gt;0.18,"Punainen",IF(F13&gt;0.15,"Keltainen","OK")))</x:f>
      </x:c>
      <x:c r="M13" s="35" t="str">
        <x:f>IF(A13="","",IF(OR(I13="Punainen",K13="Punainen",L13="Punainen",G13="Myöhässä",H13&gt;=6),"Punainen",IF(OR(I13="Keltainen",J13="Keltainen",K13="Keltainen",L13="Keltainen"),"Keltainen","OK")))</x:f>
      </x:c>
      <x:c r="N13" s="35" t="str">
        <x:f>IF(A13="","",IF(M13="Punainen","Tarkista ennen ajoon vapautusta",IF(M13="Keltainen","Seuraa / varmista","OK")))</x:f>
      </x:c>
    </x:row>
    <x:row r="14">
      <x:c r="A14" s="28"/>
      <x:c r="B14" s="28"/>
      <x:c r="C14" s="28"/>
      <x:c r="D14" s="32"/>
      <x:c r="E14" s="32"/>
      <x:c r="F14" s="32"/>
      <x:c r="G14" s="28"/>
      <x:c r="H14" s="28"/>
      <x:c r="I14" s="35" t="str">
        <x:f>IF(A14="","",IF(C14&gt;10,"Punainen",IF(C14&gt;9,"Keltainen","OK")))</x:f>
      </x:c>
      <x:c r="J14" s="35" t="str">
        <x:f>IF(A14="","",IF(D14&lt;0.7,"Keltainen",IF(D14&gt;0.95,"Keltainen","OK")))</x:f>
      </x:c>
      <x:c r="K14" s="35" t="str">
        <x:f>IF(A14="","",IF(E14&lt;0.12,"Punainen",IF(E14&lt;0.15,"Keltainen","OK")))</x:f>
      </x:c>
      <x:c r="L14" s="35" t="str">
        <x:f>IF(A14="","",IF(F14&gt;0.18,"Punainen",IF(F14&gt;0.15,"Keltainen","OK")))</x:f>
      </x:c>
      <x:c r="M14" s="35" t="str">
        <x:f>IF(A14="","",IF(OR(I14="Punainen",K14="Punainen",L14="Punainen",G14="Myöhässä",H14&gt;=6),"Punainen",IF(OR(I14="Keltainen",J14="Keltainen",K14="Keltainen",L14="Keltainen"),"Keltainen","OK")))</x:f>
      </x:c>
      <x:c r="N14" s="35" t="str">
        <x:f>IF(A14="","",IF(M14="Punainen","Tarkista ennen ajoon vapautusta",IF(M14="Keltainen","Seuraa / varmista","OK")))</x:f>
      </x:c>
    </x:row>
    <x:row r="15">
      <x:c r="A15" s="28"/>
      <x:c r="B15" s="28"/>
      <x:c r="C15" s="28"/>
      <x:c r="D15" s="32"/>
      <x:c r="E15" s="32"/>
      <x:c r="F15" s="32"/>
      <x:c r="G15" s="28"/>
      <x:c r="H15" s="28"/>
      <x:c r="I15" s="35" t="str">
        <x:f>IF(A15="","",IF(C15&gt;10,"Punainen",IF(C15&gt;9,"Keltainen","OK")))</x:f>
      </x:c>
      <x:c r="J15" s="35" t="str">
        <x:f>IF(A15="","",IF(D15&lt;0.7,"Keltainen",IF(D15&gt;0.95,"Keltainen","OK")))</x:f>
      </x:c>
      <x:c r="K15" s="35" t="str">
        <x:f>IF(A15="","",IF(E15&lt;0.12,"Punainen",IF(E15&lt;0.15,"Keltainen","OK")))</x:f>
      </x:c>
      <x:c r="L15" s="35" t="str">
        <x:f>IF(A15="","",IF(F15&gt;0.18,"Punainen",IF(F15&gt;0.15,"Keltainen","OK")))</x:f>
      </x:c>
      <x:c r="M15" s="35" t="str">
        <x:f>IF(A15="","",IF(OR(I15="Punainen",K15="Punainen",L15="Punainen",G15="Myöhässä",H15&gt;=6),"Punainen",IF(OR(I15="Keltainen",J15="Keltainen",K15="Keltainen",L15="Keltainen"),"Keltainen","OK")))</x:f>
      </x:c>
      <x:c r="N15" s="35" t="str">
        <x:f>IF(A15="","",IF(M15="Punainen","Tarkista ennen ajoon vapautusta",IF(M15="Keltainen","Seuraa / varmista","OK")))</x:f>
      </x:c>
    </x:row>
    <x:row r="16">
      <x:c r="A16" s="28"/>
      <x:c r="B16" s="28"/>
      <x:c r="C16" s="28"/>
      <x:c r="D16" s="32"/>
      <x:c r="E16" s="32"/>
      <x:c r="F16" s="32"/>
      <x:c r="G16" s="28"/>
      <x:c r="H16" s="28"/>
      <x:c r="I16" s="35" t="str">
        <x:f>IF(A16="","",IF(C16&gt;10,"Punainen",IF(C16&gt;9,"Keltainen","OK")))</x:f>
      </x:c>
      <x:c r="J16" s="35" t="str">
        <x:f>IF(A16="","",IF(D16&lt;0.7,"Keltainen",IF(D16&gt;0.95,"Keltainen","OK")))</x:f>
      </x:c>
      <x:c r="K16" s="35" t="str">
        <x:f>IF(A16="","",IF(E16&lt;0.12,"Punainen",IF(E16&lt;0.15,"Keltainen","OK")))</x:f>
      </x:c>
      <x:c r="L16" s="35" t="str">
        <x:f>IF(A16="","",IF(F16&gt;0.18,"Punainen",IF(F16&gt;0.15,"Keltainen","OK")))</x:f>
      </x:c>
      <x:c r="M16" s="35" t="str">
        <x:f>IF(A16="","",IF(OR(I16="Punainen",K16="Punainen",L16="Punainen",G16="Myöhässä",H16&gt;=6),"Punainen",IF(OR(I16="Keltainen",J16="Keltainen",K16="Keltainen",L16="Keltainen"),"Keltainen","OK")))</x:f>
      </x:c>
      <x:c r="N16" s="35" t="str">
        <x:f>IF(A16="","",IF(M16="Punainen","Tarkista ennen ajoon vapautusta",IF(M16="Keltainen","Seuraa / varmista","OK")))</x:f>
      </x:c>
    </x:row>
    <x:row r="17">
      <x:c r="A17" s="28"/>
      <x:c r="B17" s="28"/>
      <x:c r="C17" s="28"/>
      <x:c r="D17" s="32"/>
      <x:c r="E17" s="32"/>
      <x:c r="F17" s="32"/>
      <x:c r="G17" s="28"/>
      <x:c r="H17" s="28"/>
      <x:c r="I17" s="35" t="str">
        <x:f>IF(A17="","",IF(C17&gt;10,"Punainen",IF(C17&gt;9,"Keltainen","OK")))</x:f>
      </x:c>
      <x:c r="J17" s="35" t="str">
        <x:f>IF(A17="","",IF(D17&lt;0.7,"Keltainen",IF(D17&gt;0.95,"Keltainen","OK")))</x:f>
      </x:c>
      <x:c r="K17" s="35" t="str">
        <x:f>IF(A17="","",IF(E17&lt;0.12,"Punainen",IF(E17&lt;0.15,"Keltainen","OK")))</x:f>
      </x:c>
      <x:c r="L17" s="35" t="str">
        <x:f>IF(A17="","",IF(F17&gt;0.18,"Punainen",IF(F17&gt;0.15,"Keltainen","OK")))</x:f>
      </x:c>
      <x:c r="M17" s="35" t="str">
        <x:f>IF(A17="","",IF(OR(I17="Punainen",K17="Punainen",L17="Punainen",G17="Myöhässä",H17&gt;=6),"Punainen",IF(OR(I17="Keltainen",J17="Keltainen",K17="Keltainen",L17="Keltainen"),"Keltainen","OK")))</x:f>
      </x:c>
      <x:c r="N17" s="35" t="str">
        <x:f>IF(A17="","",IF(M17="Punainen","Tarkista ennen ajoon vapautusta",IF(M17="Keltainen","Seuraa / varmista","OK")))</x:f>
      </x:c>
    </x:row>
    <x:row r="18">
      <x:c r="A18" s="28"/>
      <x:c r="B18" s="28"/>
      <x:c r="C18" s="28"/>
      <x:c r="D18" s="32"/>
      <x:c r="E18" s="32"/>
      <x:c r="F18" s="32"/>
      <x:c r="G18" s="28"/>
      <x:c r="H18" s="28"/>
      <x:c r="I18" s="35" t="str">
        <x:f>IF(A18="","",IF(C18&gt;10,"Punainen",IF(C18&gt;9,"Keltainen","OK")))</x:f>
      </x:c>
      <x:c r="J18" s="35" t="str">
        <x:f>IF(A18="","",IF(D18&lt;0.7,"Keltainen",IF(D18&gt;0.95,"Keltainen","OK")))</x:f>
      </x:c>
      <x:c r="K18" s="35" t="str">
        <x:f>IF(A18="","",IF(E18&lt;0.12,"Punainen",IF(E18&lt;0.15,"Keltainen","OK")))</x:f>
      </x:c>
      <x:c r="L18" s="35" t="str">
        <x:f>IF(A18="","",IF(F18&gt;0.18,"Punainen",IF(F18&gt;0.15,"Keltainen","OK")))</x:f>
      </x:c>
      <x:c r="M18" s="35" t="str">
        <x:f>IF(A18="","",IF(OR(I18="Punainen",K18="Punainen",L18="Punainen",G18="Myöhässä",H18&gt;=6),"Punainen",IF(OR(I18="Keltainen",J18="Keltainen",K18="Keltainen",L18="Keltainen"),"Keltainen","OK")))</x:f>
      </x:c>
      <x:c r="N18" s="35" t="str">
        <x:f>IF(A18="","",IF(M18="Punainen","Tarkista ennen ajoon vapautusta",IF(M18="Keltainen","Seuraa / varmista","OK")))</x:f>
      </x:c>
    </x:row>
    <x:row r="19">
      <x:c r="A19" s="28"/>
      <x:c r="B19" s="28"/>
      <x:c r="C19" s="28"/>
      <x:c r="D19" s="32"/>
      <x:c r="E19" s="32"/>
      <x:c r="F19" s="32"/>
      <x:c r="G19" s="28"/>
      <x:c r="H19" s="28"/>
      <x:c r="I19" s="35" t="str">
        <x:f>IF(A19="","",IF(C19&gt;10,"Punainen",IF(C19&gt;9,"Keltainen","OK")))</x:f>
      </x:c>
      <x:c r="J19" s="35" t="str">
        <x:f>IF(A19="","",IF(D19&lt;0.7,"Keltainen",IF(D19&gt;0.95,"Keltainen","OK")))</x:f>
      </x:c>
      <x:c r="K19" s="35" t="str">
        <x:f>IF(A19="","",IF(E19&lt;0.12,"Punainen",IF(E19&lt;0.15,"Keltainen","OK")))</x:f>
      </x:c>
      <x:c r="L19" s="35" t="str">
        <x:f>IF(A19="","",IF(F19&gt;0.18,"Punainen",IF(F19&gt;0.15,"Keltainen","OK")))</x:f>
      </x:c>
      <x:c r="M19" s="35" t="str">
        <x:f>IF(A19="","",IF(OR(I19="Punainen",K19="Punainen",L19="Punainen",G19="Myöhässä",H19&gt;=6),"Punainen",IF(OR(I19="Keltainen",J19="Keltainen",K19="Keltainen",L19="Keltainen"),"Keltainen","OK")))</x:f>
      </x:c>
      <x:c r="N19" s="35" t="str">
        <x:f>IF(A19="","",IF(M19="Punainen","Tarkista ennen ajoon vapautusta",IF(M19="Keltainen","Seuraa / varmista","OK")))</x:f>
      </x:c>
    </x:row>
    <x:row r="20">
      <x:c r="A20" s="28"/>
      <x:c r="B20" s="28"/>
      <x:c r="C20" s="28"/>
      <x:c r="D20" s="32"/>
      <x:c r="E20" s="32"/>
      <x:c r="F20" s="32"/>
      <x:c r="G20" s="28"/>
      <x:c r="H20" s="28"/>
      <x:c r="I20" s="35" t="str">
        <x:f>IF(A20="","",IF(C20&gt;10,"Punainen",IF(C20&gt;9,"Keltainen","OK")))</x:f>
      </x:c>
      <x:c r="J20" s="35" t="str">
        <x:f>IF(A20="","",IF(D20&lt;0.7,"Keltainen",IF(D20&gt;0.95,"Keltainen","OK")))</x:f>
      </x:c>
      <x:c r="K20" s="35" t="str">
        <x:f>IF(A20="","",IF(E20&lt;0.12,"Punainen",IF(E20&lt;0.15,"Keltainen","OK")))</x:f>
      </x:c>
      <x:c r="L20" s="35" t="str">
        <x:f>IF(A20="","",IF(F20&gt;0.18,"Punainen",IF(F20&gt;0.15,"Keltainen","OK")))</x:f>
      </x:c>
      <x:c r="M20" s="35" t="str">
        <x:f>IF(A20="","",IF(OR(I20="Punainen",K20="Punainen",L20="Punainen",G20="Myöhässä",H20&gt;=6),"Punainen",IF(OR(I20="Keltainen",J20="Keltainen",K20="Keltainen",L20="Keltainen"),"Keltainen","OK")))</x:f>
      </x:c>
      <x:c r="N20" s="35" t="str">
        <x:f>IF(A20="","",IF(M20="Punainen","Tarkista ennen ajoon vapautusta",IF(M20="Keltainen","Seuraa / varmista","OK")))</x:f>
      </x:c>
    </x:row>
    <x:row r="21">
      <x:c r="A21" s="28"/>
      <x:c r="B21" s="28"/>
      <x:c r="C21" s="28"/>
      <x:c r="D21" s="32"/>
      <x:c r="E21" s="32"/>
      <x:c r="F21" s="32"/>
      <x:c r="G21" s="28"/>
      <x:c r="H21" s="28"/>
      <x:c r="I21" s="35" t="str">
        <x:f>IF(A21="","",IF(C21&gt;10,"Punainen",IF(C21&gt;9,"Keltainen","OK")))</x:f>
      </x:c>
      <x:c r="J21" s="35" t="str">
        <x:f>IF(A21="","",IF(D21&lt;0.7,"Keltainen",IF(D21&gt;0.95,"Keltainen","OK")))</x:f>
      </x:c>
      <x:c r="K21" s="35" t="str">
        <x:f>IF(A21="","",IF(E21&lt;0.12,"Punainen",IF(E21&lt;0.15,"Keltainen","OK")))</x:f>
      </x:c>
      <x:c r="L21" s="35" t="str">
        <x:f>IF(A21="","",IF(F21&gt;0.18,"Punainen",IF(F21&gt;0.15,"Keltainen","OK")))</x:f>
      </x:c>
      <x:c r="M21" s="35" t="str">
        <x:f>IF(A21="","",IF(OR(I21="Punainen",K21="Punainen",L21="Punainen",G21="Myöhässä",H21&gt;=6),"Punainen",IF(OR(I21="Keltainen",J21="Keltainen",K21="Keltainen",L21="Keltainen"),"Keltainen","OK")))</x:f>
      </x:c>
      <x:c r="N21" s="35" t="str">
        <x:f>IF(A21="","",IF(M21="Punainen","Tarkista ennen ajoon vapautusta",IF(M21="Keltainen","Seuraa / varmista","OK")))</x:f>
      </x:c>
    </x:row>
    <x:row r="22">
      <x:c r="A22" s="28"/>
      <x:c r="B22" s="28"/>
      <x:c r="C22" s="28"/>
      <x:c r="D22" s="32"/>
      <x:c r="E22" s="32"/>
      <x:c r="F22" s="32"/>
      <x:c r="G22" s="28"/>
      <x:c r="H22" s="28"/>
      <x:c r="I22" s="35" t="str">
        <x:f>IF(A22="","",IF(C22&gt;10,"Punainen",IF(C22&gt;9,"Keltainen","OK")))</x:f>
      </x:c>
      <x:c r="J22" s="35" t="str">
        <x:f>IF(A22="","",IF(D22&lt;0.7,"Keltainen",IF(D22&gt;0.95,"Keltainen","OK")))</x:f>
      </x:c>
      <x:c r="K22" s="35" t="str">
        <x:f>IF(A22="","",IF(E22&lt;0.12,"Punainen",IF(E22&lt;0.15,"Keltainen","OK")))</x:f>
      </x:c>
      <x:c r="L22" s="35" t="str">
        <x:f>IF(A22="","",IF(F22&gt;0.18,"Punainen",IF(F22&gt;0.15,"Keltainen","OK")))</x:f>
      </x:c>
      <x:c r="M22" s="35" t="str">
        <x:f>IF(A22="","",IF(OR(I22="Punainen",K22="Punainen",L22="Punainen",G22="Myöhässä",H22&gt;=6),"Punainen",IF(OR(I22="Keltainen",J22="Keltainen",K22="Keltainen",L22="Keltainen"),"Keltainen","OK")))</x:f>
      </x:c>
      <x:c r="N22" s="35" t="str">
        <x:f>IF(A22="","",IF(M22="Punainen","Tarkista ennen ajoon vapautusta",IF(M22="Keltainen","Seuraa / varmista","OK")))</x:f>
      </x:c>
    </x:row>
    <x:row r="23">
      <x:c r="A23" s="28"/>
      <x:c r="B23" s="28"/>
      <x:c r="C23" s="28"/>
      <x:c r="D23" s="32"/>
      <x:c r="E23" s="32"/>
      <x:c r="F23" s="32"/>
      <x:c r="G23" s="28"/>
      <x:c r="H23" s="28"/>
      <x:c r="I23" s="35" t="str">
        <x:f>IF(A23="","",IF(C23&gt;10,"Punainen",IF(C23&gt;9,"Keltainen","OK")))</x:f>
      </x:c>
      <x:c r="J23" s="35" t="str">
        <x:f>IF(A23="","",IF(D23&lt;0.7,"Keltainen",IF(D23&gt;0.95,"Keltainen","OK")))</x:f>
      </x:c>
      <x:c r="K23" s="35" t="str">
        <x:f>IF(A23="","",IF(E23&lt;0.12,"Punainen",IF(E23&lt;0.15,"Keltainen","OK")))</x:f>
      </x:c>
      <x:c r="L23" s="35" t="str">
        <x:f>IF(A23="","",IF(F23&gt;0.18,"Punainen",IF(F23&gt;0.15,"Keltainen","OK")))</x:f>
      </x:c>
      <x:c r="M23" s="35" t="str">
        <x:f>IF(A23="","",IF(OR(I23="Punainen",K23="Punainen",L23="Punainen",G23="Myöhässä",H23&gt;=6),"Punainen",IF(OR(I23="Keltainen",J23="Keltainen",K23="Keltainen",L23="Keltainen"),"Keltainen","OK")))</x:f>
      </x:c>
      <x:c r="N23" s="35" t="str">
        <x:f>IF(A23="","",IF(M23="Punainen","Tarkista ennen ajoon vapautusta",IF(M23="Keltainen","Seuraa / varmista","OK")))</x:f>
      </x:c>
    </x:row>
    <x:row r="24">
      <x:c r="A24" s="28"/>
      <x:c r="B24" s="28"/>
      <x:c r="C24" s="28"/>
      <x:c r="D24" s="32"/>
      <x:c r="E24" s="32"/>
      <x:c r="F24" s="32"/>
      <x:c r="G24" s="28"/>
      <x:c r="H24" s="28"/>
      <x:c r="I24" s="35" t="str">
        <x:f>IF(A24="","",IF(C24&gt;10,"Punainen",IF(C24&gt;9,"Keltainen","OK")))</x:f>
      </x:c>
      <x:c r="J24" s="35" t="str">
        <x:f>IF(A24="","",IF(D24&lt;0.7,"Keltainen",IF(D24&gt;0.95,"Keltainen","OK")))</x:f>
      </x:c>
      <x:c r="K24" s="35" t="str">
        <x:f>IF(A24="","",IF(E24&lt;0.12,"Punainen",IF(E24&lt;0.15,"Keltainen","OK")))</x:f>
      </x:c>
      <x:c r="L24" s="35" t="str">
        <x:f>IF(A24="","",IF(F24&gt;0.18,"Punainen",IF(F24&gt;0.15,"Keltainen","OK")))</x:f>
      </x:c>
      <x:c r="M24" s="35" t="str">
        <x:f>IF(A24="","",IF(OR(I24="Punainen",K24="Punainen",L24="Punainen",G24="Myöhässä",H24&gt;=6),"Punainen",IF(OR(I24="Keltainen",J24="Keltainen",K24="Keltainen",L24="Keltainen"),"Keltainen","OK")))</x:f>
      </x:c>
      <x:c r="N24" s="35" t="str">
        <x:f>IF(A24="","",IF(M24="Punainen","Tarkista ennen ajoon vapautusta",IF(M24="Keltainen","Seuraa / varmista","OK")))</x:f>
      </x:c>
    </x:row>
    <x:row r="25">
      <x:c r="A25" s="28"/>
      <x:c r="B25" s="28"/>
      <x:c r="C25" s="28"/>
      <x:c r="D25" s="32"/>
      <x:c r="E25" s="32"/>
      <x:c r="F25" s="32"/>
      <x:c r="G25" s="28"/>
      <x:c r="H25" s="28"/>
      <x:c r="I25" s="35" t="str">
        <x:f>IF(A25="","",IF(C25&gt;10,"Punainen",IF(C25&gt;9,"Keltainen","OK")))</x:f>
      </x:c>
      <x:c r="J25" s="35" t="str">
        <x:f>IF(A25="","",IF(D25&lt;0.7,"Keltainen",IF(D25&gt;0.95,"Keltainen","OK")))</x:f>
      </x:c>
      <x:c r="K25" s="35" t="str">
        <x:f>IF(A25="","",IF(E25&lt;0.12,"Punainen",IF(E25&lt;0.15,"Keltainen","OK")))</x:f>
      </x:c>
      <x:c r="L25" s="35" t="str">
        <x:f>IF(A25="","",IF(F25&gt;0.18,"Punainen",IF(F25&gt;0.15,"Keltainen","OK")))</x:f>
      </x:c>
      <x:c r="M25" s="35" t="str">
        <x:f>IF(A25="","",IF(OR(I25="Punainen",K25="Punainen",L25="Punainen",G25="Myöhässä",H25&gt;=6),"Punainen",IF(OR(I25="Keltainen",J25="Keltainen",K25="Keltainen",L25="Keltainen"),"Keltainen","OK")))</x:f>
      </x:c>
      <x:c r="N25" s="35" t="str">
        <x:f>IF(A25="","",IF(M25="Punainen","Tarkista ennen ajoon vapautusta",IF(M25="Keltainen","Seuraa / varmista","OK")))</x:f>
      </x:c>
    </x:row>
    <x:row r="26">
      <x:c r="A26" s="28"/>
      <x:c r="B26" s="28"/>
      <x:c r="C26" s="28"/>
      <x:c r="D26" s="32"/>
      <x:c r="E26" s="32"/>
      <x:c r="F26" s="32"/>
      <x:c r="G26" s="28"/>
      <x:c r="H26" s="28"/>
      <x:c r="I26" s="35" t="str">
        <x:f>IF(A26="","",IF(C26&gt;10,"Punainen",IF(C26&gt;9,"Keltainen","OK")))</x:f>
      </x:c>
      <x:c r="J26" s="35" t="str">
        <x:f>IF(A26="","",IF(D26&lt;0.7,"Keltainen",IF(D26&gt;0.95,"Keltainen","OK")))</x:f>
      </x:c>
      <x:c r="K26" s="35" t="str">
        <x:f>IF(A26="","",IF(E26&lt;0.12,"Punainen",IF(E26&lt;0.15,"Keltainen","OK")))</x:f>
      </x:c>
      <x:c r="L26" s="35" t="str">
        <x:f>IF(A26="","",IF(F26&gt;0.18,"Punainen",IF(F26&gt;0.15,"Keltainen","OK")))</x:f>
      </x:c>
      <x:c r="M26" s="35" t="str">
        <x:f>IF(A26="","",IF(OR(I26="Punainen",K26="Punainen",L26="Punainen",G26="Myöhässä",H26&gt;=6),"Punainen",IF(OR(I26="Keltainen",J26="Keltainen",K26="Keltainen",L26="Keltainen"),"Keltainen","OK")))</x:f>
      </x:c>
      <x:c r="N26" s="35" t="str">
        <x:f>IF(A26="","",IF(M26="Punainen","Tarkista ennen ajoon vapautusta",IF(M26="Keltainen","Seuraa / varmista","OK")))</x:f>
      </x:c>
    </x:row>
    <x:row r="27">
      <x:c r="A27" s="28"/>
      <x:c r="B27" s="28"/>
      <x:c r="C27" s="28"/>
      <x:c r="D27" s="32"/>
      <x:c r="E27" s="32"/>
      <x:c r="F27" s="32"/>
      <x:c r="G27" s="28"/>
      <x:c r="H27" s="28"/>
      <x:c r="I27" s="35" t="str">
        <x:f>IF(A27="","",IF(C27&gt;10,"Punainen",IF(C27&gt;9,"Keltainen","OK")))</x:f>
      </x:c>
      <x:c r="J27" s="35" t="str">
        <x:f>IF(A27="","",IF(D27&lt;0.7,"Keltainen",IF(D27&gt;0.95,"Keltainen","OK")))</x:f>
      </x:c>
      <x:c r="K27" s="35" t="str">
        <x:f>IF(A27="","",IF(E27&lt;0.12,"Punainen",IF(E27&lt;0.15,"Keltainen","OK")))</x:f>
      </x:c>
      <x:c r="L27" s="35" t="str">
        <x:f>IF(A27="","",IF(F27&gt;0.18,"Punainen",IF(F27&gt;0.15,"Keltainen","OK")))</x:f>
      </x:c>
      <x:c r="M27" s="35" t="str">
        <x:f>IF(A27="","",IF(OR(I27="Punainen",K27="Punainen",L27="Punainen",G27="Myöhässä",H27&gt;=6),"Punainen",IF(OR(I27="Keltainen",J27="Keltainen",K27="Keltainen",L27="Keltainen"),"Keltainen","OK")))</x:f>
      </x:c>
      <x:c r="N27" s="35" t="str">
        <x:f>IF(A27="","",IF(M27="Punainen","Tarkista ennen ajoon vapautusta",IF(M27="Keltainen","Seuraa / varmista","OK")))</x:f>
      </x:c>
    </x:row>
    <x:row r="28">
      <x:c r="A28" s="28"/>
      <x:c r="B28" s="28"/>
      <x:c r="C28" s="28"/>
      <x:c r="D28" s="32"/>
      <x:c r="E28" s="32"/>
      <x:c r="F28" s="32"/>
      <x:c r="G28" s="28"/>
      <x:c r="H28" s="28"/>
      <x:c r="I28" s="35" t="str">
        <x:f>IF(A28="","",IF(C28&gt;10,"Punainen",IF(C28&gt;9,"Keltainen","OK")))</x:f>
      </x:c>
      <x:c r="J28" s="35" t="str">
        <x:f>IF(A28="","",IF(D28&lt;0.7,"Keltainen",IF(D28&gt;0.95,"Keltainen","OK")))</x:f>
      </x:c>
      <x:c r="K28" s="35" t="str">
        <x:f>IF(A28="","",IF(E28&lt;0.12,"Punainen",IF(E28&lt;0.15,"Keltainen","OK")))</x:f>
      </x:c>
      <x:c r="L28" s="35" t="str">
        <x:f>IF(A28="","",IF(F28&gt;0.18,"Punainen",IF(F28&gt;0.15,"Keltainen","OK")))</x:f>
      </x:c>
      <x:c r="M28" s="35" t="str">
        <x:f>IF(A28="","",IF(OR(I28="Punainen",K28="Punainen",L28="Punainen",G28="Myöhässä",H28&gt;=6),"Punainen",IF(OR(I28="Keltainen",J28="Keltainen",K28="Keltainen",L28="Keltainen"),"Keltainen","OK")))</x:f>
      </x:c>
      <x:c r="N28" s="35" t="str">
        <x:f>IF(A28="","",IF(M28="Punainen","Tarkista ennen ajoon vapautusta",IF(M28="Keltainen","Seuraa / varmista","OK")))</x:f>
      </x:c>
    </x:row>
    <x:row r="29">
      <x:c r="A29" s="28"/>
      <x:c r="B29" s="28"/>
      <x:c r="C29" s="28"/>
      <x:c r="D29" s="32"/>
      <x:c r="E29" s="32"/>
      <x:c r="F29" s="32"/>
      <x:c r="G29" s="28"/>
      <x:c r="H29" s="28"/>
      <x:c r="I29" s="35" t="str">
        <x:f>IF(A29="","",IF(C29&gt;10,"Punainen",IF(C29&gt;9,"Keltainen","OK")))</x:f>
      </x:c>
      <x:c r="J29" s="35" t="str">
        <x:f>IF(A29="","",IF(D29&lt;0.7,"Keltainen",IF(D29&gt;0.95,"Keltainen","OK")))</x:f>
      </x:c>
      <x:c r="K29" s="35" t="str">
        <x:f>IF(A29="","",IF(E29&lt;0.12,"Punainen",IF(E29&lt;0.15,"Keltainen","OK")))</x:f>
      </x:c>
      <x:c r="L29" s="35" t="str">
        <x:f>IF(A29="","",IF(F29&gt;0.18,"Punainen",IF(F29&gt;0.15,"Keltainen","OK")))</x:f>
      </x:c>
      <x:c r="M29" s="35" t="str">
        <x:f>IF(A29="","",IF(OR(I29="Punainen",K29="Punainen",L29="Punainen",G29="Myöhässä",H29&gt;=6),"Punainen",IF(OR(I29="Keltainen",J29="Keltainen",K29="Keltainen",L29="Keltainen"),"Keltainen","OK")))</x:f>
      </x:c>
      <x:c r="N29" s="35" t="str">
        <x:f>IF(A29="","",IF(M29="Punainen","Tarkista ennen ajoon vapautusta",IF(M29="Keltainen","Seuraa / varmista","OK")))</x:f>
      </x:c>
    </x:row>
    <x:row r="30">
      <x:c r="A30" s="28"/>
      <x:c r="B30" s="28"/>
      <x:c r="C30" s="28"/>
      <x:c r="D30" s="32"/>
      <x:c r="E30" s="32"/>
      <x:c r="F30" s="32"/>
      <x:c r="G30" s="28"/>
      <x:c r="H30" s="28"/>
      <x:c r="I30" s="35" t="str">
        <x:f>IF(A30="","",IF(C30&gt;10,"Punainen",IF(C30&gt;9,"Keltainen","OK")))</x:f>
      </x:c>
      <x:c r="J30" s="35" t="str">
        <x:f>IF(A30="","",IF(D30&lt;0.7,"Keltainen",IF(D30&gt;0.95,"Keltainen","OK")))</x:f>
      </x:c>
      <x:c r="K30" s="35" t="str">
        <x:f>IF(A30="","",IF(E30&lt;0.12,"Punainen",IF(E30&lt;0.15,"Keltainen","OK")))</x:f>
      </x:c>
      <x:c r="L30" s="35" t="str">
        <x:f>IF(A30="","",IF(F30&gt;0.18,"Punainen",IF(F30&gt;0.15,"Keltainen","OK")))</x:f>
      </x:c>
      <x:c r="M30" s="35" t="str">
        <x:f>IF(A30="","",IF(OR(I30="Punainen",K30="Punainen",L30="Punainen",G30="Myöhässä",H30&gt;=6),"Punainen",IF(OR(I30="Keltainen",J30="Keltainen",K30="Keltainen",L30="Keltainen"),"Keltainen","OK")))</x:f>
      </x:c>
      <x:c r="N30" s="35" t="str">
        <x:f>IF(A30="","",IF(M30="Punainen","Tarkista ennen ajoon vapautusta",IF(M30="Keltainen","Seuraa / varmista","OK")))</x:f>
      </x:c>
    </x:row>
    <x:row r="31">
      <x:c r="A31" s="28"/>
      <x:c r="B31" s="28"/>
      <x:c r="C31" s="28"/>
      <x:c r="D31" s="32"/>
      <x:c r="E31" s="32"/>
      <x:c r="F31" s="32"/>
      <x:c r="G31" s="28"/>
      <x:c r="H31" s="28"/>
      <x:c r="I31" s="35" t="str">
        <x:f>IF(A31="","",IF(C31&gt;10,"Punainen",IF(C31&gt;9,"Keltainen","OK")))</x:f>
      </x:c>
      <x:c r="J31" s="35" t="str">
        <x:f>IF(A31="","",IF(D31&lt;0.7,"Keltainen",IF(D31&gt;0.95,"Keltainen","OK")))</x:f>
      </x:c>
      <x:c r="K31" s="35" t="str">
        <x:f>IF(A31="","",IF(E31&lt;0.12,"Punainen",IF(E31&lt;0.15,"Keltainen","OK")))</x:f>
      </x:c>
      <x:c r="L31" s="35" t="str">
        <x:f>IF(A31="","",IF(F31&gt;0.18,"Punainen",IF(F31&gt;0.15,"Keltainen","OK")))</x:f>
      </x:c>
      <x:c r="M31" s="35" t="str">
        <x:f>IF(A31="","",IF(OR(I31="Punainen",K31="Punainen",L31="Punainen",G31="Myöhässä",H31&gt;=6),"Punainen",IF(OR(I31="Keltainen",J31="Keltainen",K31="Keltainen",L31="Keltainen"),"Keltainen","OK")))</x:f>
      </x:c>
      <x:c r="N31" s="35" t="str">
        <x:f>IF(A31="","",IF(M31="Punainen","Tarkista ennen ajoon vapautusta",IF(M31="Keltainen","Seuraa / varmista","OK")))</x:f>
      </x:c>
    </x:row>
    <x:row r="32">
      <x:c r="A32" s="28"/>
      <x:c r="B32" s="28"/>
      <x:c r="C32" s="28"/>
      <x:c r="D32" s="32"/>
      <x:c r="E32" s="32"/>
      <x:c r="F32" s="32"/>
      <x:c r="G32" s="28"/>
      <x:c r="H32" s="28"/>
      <x:c r="I32" s="35" t="str">
        <x:f>IF(A32="","",IF(C32&gt;10,"Punainen",IF(C32&gt;9,"Keltainen","OK")))</x:f>
      </x:c>
      <x:c r="J32" s="35" t="str">
        <x:f>IF(A32="","",IF(D32&lt;0.7,"Keltainen",IF(D32&gt;0.95,"Keltainen","OK")))</x:f>
      </x:c>
      <x:c r="K32" s="35" t="str">
        <x:f>IF(A32="","",IF(E32&lt;0.12,"Punainen",IF(E32&lt;0.15,"Keltainen","OK")))</x:f>
      </x:c>
      <x:c r="L32" s="35" t="str">
        <x:f>IF(A32="","",IF(F32&gt;0.18,"Punainen",IF(F32&gt;0.15,"Keltainen","OK")))</x:f>
      </x:c>
      <x:c r="M32" s="35" t="str">
        <x:f>IF(A32="","",IF(OR(I32="Punainen",K32="Punainen",L32="Punainen",G32="Myöhässä",H32&gt;=6),"Punainen",IF(OR(I32="Keltainen",J32="Keltainen",K32="Keltainen",L32="Keltainen"),"Keltainen","OK")))</x:f>
      </x:c>
      <x:c r="N32" s="35" t="str">
        <x:f>IF(A32="","",IF(M32="Punainen","Tarkista ennen ajoon vapautusta",IF(M32="Keltainen","Seuraa / varmista","OK")))</x:f>
      </x:c>
    </x:row>
    <x:row r="33">
      <x:c r="A33" s="28"/>
      <x:c r="B33" s="28"/>
      <x:c r="C33" s="28"/>
      <x:c r="D33" s="32"/>
      <x:c r="E33" s="32"/>
      <x:c r="F33" s="32"/>
      <x:c r="G33" s="28"/>
      <x:c r="H33" s="28"/>
      <x:c r="I33" s="35" t="str">
        <x:f>IF(A33="","",IF(C33&gt;10,"Punainen",IF(C33&gt;9,"Keltainen","OK")))</x:f>
      </x:c>
      <x:c r="J33" s="35" t="str">
        <x:f>IF(A33="","",IF(D33&lt;0.7,"Keltainen",IF(D33&gt;0.95,"Keltainen","OK")))</x:f>
      </x:c>
      <x:c r="K33" s="35" t="str">
        <x:f>IF(A33="","",IF(E33&lt;0.12,"Punainen",IF(E33&lt;0.15,"Keltainen","OK")))</x:f>
      </x:c>
      <x:c r="L33" s="35" t="str">
        <x:f>IF(A33="","",IF(F33&gt;0.18,"Punainen",IF(F33&gt;0.15,"Keltainen","OK")))</x:f>
      </x:c>
      <x:c r="M33" s="35" t="str">
        <x:f>IF(A33="","",IF(OR(I33="Punainen",K33="Punainen",L33="Punainen",G33="Myöhässä",H33&gt;=6),"Punainen",IF(OR(I33="Keltainen",J33="Keltainen",K33="Keltainen",L33="Keltainen"),"Keltainen","OK")))</x:f>
      </x:c>
      <x:c r="N33" s="35" t="str">
        <x:f>IF(A33="","",IF(M33="Punainen","Tarkista ennen ajoon vapautusta",IF(M33="Keltainen","Seuraa / varmista","OK")))</x:f>
      </x:c>
    </x:row>
    <x:row r="34">
      <x:c r="A34" s="28"/>
      <x:c r="B34" s="28"/>
      <x:c r="C34" s="28"/>
      <x:c r="D34" s="32"/>
      <x:c r="E34" s="32"/>
      <x:c r="F34" s="32"/>
      <x:c r="G34" s="28"/>
      <x:c r="H34" s="28"/>
      <x:c r="I34" s="35" t="str">
        <x:f>IF(A34="","",IF(C34&gt;10,"Punainen",IF(C34&gt;9,"Keltainen","OK")))</x:f>
      </x:c>
      <x:c r="J34" s="35" t="str">
        <x:f>IF(A34="","",IF(D34&lt;0.7,"Keltainen",IF(D34&gt;0.95,"Keltainen","OK")))</x:f>
      </x:c>
      <x:c r="K34" s="35" t="str">
        <x:f>IF(A34="","",IF(E34&lt;0.12,"Punainen",IF(E34&lt;0.15,"Keltainen","OK")))</x:f>
      </x:c>
      <x:c r="L34" s="35" t="str">
        <x:f>IF(A34="","",IF(F34&gt;0.18,"Punainen",IF(F34&gt;0.15,"Keltainen","OK")))</x:f>
      </x:c>
      <x:c r="M34" s="35" t="str">
        <x:f>IF(A34="","",IF(OR(I34="Punainen",K34="Punainen",L34="Punainen",G34="Myöhässä",H34&gt;=6),"Punainen",IF(OR(I34="Keltainen",J34="Keltainen",K34="Keltainen",L34="Keltainen"),"Keltainen","OK")))</x:f>
      </x:c>
      <x:c r="N34" s="35" t="str">
        <x:f>IF(A34="","",IF(M34="Punainen","Tarkista ennen ajoon vapautusta",IF(M34="Keltainen","Seuraa / varmista","OK")))</x:f>
      </x:c>
    </x:row>
    <x:row r="35">
      <x:c r="A35" s="28"/>
      <x:c r="B35" s="28"/>
      <x:c r="C35" s="28"/>
      <x:c r="D35" s="32"/>
      <x:c r="E35" s="32"/>
      <x:c r="F35" s="32"/>
      <x:c r="G35" s="28"/>
      <x:c r="H35" s="28"/>
      <x:c r="I35" s="35" t="str">
        <x:f>IF(A35="","",IF(C35&gt;10,"Punainen",IF(C35&gt;9,"Keltainen","OK")))</x:f>
      </x:c>
      <x:c r="J35" s="35" t="str">
        <x:f>IF(A35="","",IF(D35&lt;0.7,"Keltainen",IF(D35&gt;0.95,"Keltainen","OK")))</x:f>
      </x:c>
      <x:c r="K35" s="35" t="str">
        <x:f>IF(A35="","",IF(E35&lt;0.12,"Punainen",IF(E35&lt;0.15,"Keltainen","OK")))</x:f>
      </x:c>
      <x:c r="L35" s="35" t="str">
        <x:f>IF(A35="","",IF(F35&gt;0.18,"Punainen",IF(F35&gt;0.15,"Keltainen","OK")))</x:f>
      </x:c>
      <x:c r="M35" s="35" t="str">
        <x:f>IF(A35="","",IF(OR(I35="Punainen",K35="Punainen",L35="Punainen",G35="Myöhässä",H35&gt;=6),"Punainen",IF(OR(I35="Keltainen",J35="Keltainen",K35="Keltainen",L35="Keltainen"),"Keltainen","OK")))</x:f>
      </x:c>
      <x:c r="N35" s="35" t="str">
        <x:f>IF(A35="","",IF(M35="Punainen","Tarkista ennen ajoon vapautusta",IF(M35="Keltainen","Seuraa / varmista","OK")))</x:f>
      </x:c>
    </x:row>
    <x:row r="36">
      <x:c r="A36" s="28"/>
      <x:c r="B36" s="28"/>
      <x:c r="C36" s="28"/>
      <x:c r="D36" s="32"/>
      <x:c r="E36" s="32"/>
      <x:c r="F36" s="32"/>
      <x:c r="G36" s="28"/>
      <x:c r="H36" s="28"/>
      <x:c r="I36" s="35" t="str">
        <x:f>IF(A36="","",IF(C36&gt;10,"Punainen",IF(C36&gt;9,"Keltainen","OK")))</x:f>
      </x:c>
      <x:c r="J36" s="35" t="str">
        <x:f>IF(A36="","",IF(D36&lt;0.7,"Keltainen",IF(D36&gt;0.95,"Keltainen","OK")))</x:f>
      </x:c>
      <x:c r="K36" s="35" t="str">
        <x:f>IF(A36="","",IF(E36&lt;0.12,"Punainen",IF(E36&lt;0.15,"Keltainen","OK")))</x:f>
      </x:c>
      <x:c r="L36" s="35" t="str">
        <x:f>IF(A36="","",IF(F36&gt;0.18,"Punainen",IF(F36&gt;0.15,"Keltainen","OK")))</x:f>
      </x:c>
      <x:c r="M36" s="35" t="str">
        <x:f>IF(A36="","",IF(OR(I36="Punainen",K36="Punainen",L36="Punainen",G36="Myöhässä",H36&gt;=6),"Punainen",IF(OR(I36="Keltainen",J36="Keltainen",K36="Keltainen",L36="Keltainen"),"Keltainen","OK")))</x:f>
      </x:c>
      <x:c r="N36" s="35" t="str">
        <x:f>IF(A36="","",IF(M36="Punainen","Tarkista ennen ajoon vapautusta",IF(M36="Keltainen","Seuraa / varmista","OK")))</x:f>
      </x:c>
    </x:row>
    <x:row r="37">
      <x:c r="A37" s="28"/>
      <x:c r="B37" s="28"/>
      <x:c r="C37" s="28"/>
      <x:c r="D37" s="32"/>
      <x:c r="E37" s="32"/>
      <x:c r="F37" s="32"/>
      <x:c r="G37" s="28"/>
      <x:c r="H37" s="28"/>
      <x:c r="I37" s="35" t="str">
        <x:f>IF(A37="","",IF(C37&gt;10,"Punainen",IF(C37&gt;9,"Keltainen","OK")))</x:f>
      </x:c>
      <x:c r="J37" s="35" t="str">
        <x:f>IF(A37="","",IF(D37&lt;0.7,"Keltainen",IF(D37&gt;0.95,"Keltainen","OK")))</x:f>
      </x:c>
      <x:c r="K37" s="35" t="str">
        <x:f>IF(A37="","",IF(E37&lt;0.12,"Punainen",IF(E37&lt;0.15,"Keltainen","OK")))</x:f>
      </x:c>
      <x:c r="L37" s="35" t="str">
        <x:f>IF(A37="","",IF(F37&gt;0.18,"Punainen",IF(F37&gt;0.15,"Keltainen","OK")))</x:f>
      </x:c>
      <x:c r="M37" s="35" t="str">
        <x:f>IF(A37="","",IF(OR(I37="Punainen",K37="Punainen",L37="Punainen",G37="Myöhässä",H37&gt;=6),"Punainen",IF(OR(I37="Keltainen",J37="Keltainen",K37="Keltainen",L37="Keltainen"),"Keltainen","OK")))</x:f>
      </x:c>
      <x:c r="N37" s="35" t="str">
        <x:f>IF(A37="","",IF(M37="Punainen","Tarkista ennen ajoon vapautusta",IF(M37="Keltainen","Seuraa / varmista","OK")))</x:f>
      </x:c>
    </x:row>
    <x:row r="38">
      <x:c r="A38" s="28"/>
      <x:c r="B38" s="28"/>
      <x:c r="C38" s="28"/>
      <x:c r="D38" s="32"/>
      <x:c r="E38" s="32"/>
      <x:c r="F38" s="32"/>
      <x:c r="G38" s="28"/>
      <x:c r="H38" s="28"/>
      <x:c r="I38" s="35" t="str">
        <x:f>IF(A38="","",IF(C38&gt;10,"Punainen",IF(C38&gt;9,"Keltainen","OK")))</x:f>
      </x:c>
      <x:c r="J38" s="35" t="str">
        <x:f>IF(A38="","",IF(D38&lt;0.7,"Keltainen",IF(D38&gt;0.95,"Keltainen","OK")))</x:f>
      </x:c>
      <x:c r="K38" s="35" t="str">
        <x:f>IF(A38="","",IF(E38&lt;0.12,"Punainen",IF(E38&lt;0.15,"Keltainen","OK")))</x:f>
      </x:c>
      <x:c r="L38" s="35" t="str">
        <x:f>IF(A38="","",IF(F38&gt;0.18,"Punainen",IF(F38&gt;0.15,"Keltainen","OK")))</x:f>
      </x:c>
      <x:c r="M38" s="35" t="str">
        <x:f>IF(A38="","",IF(OR(I38="Punainen",K38="Punainen",L38="Punainen",G38="Myöhässä",H38&gt;=6),"Punainen",IF(OR(I38="Keltainen",J38="Keltainen",K38="Keltainen",L38="Keltainen"),"Keltainen","OK")))</x:f>
      </x:c>
      <x:c r="N38" s="35" t="str">
        <x:f>IF(A38="","",IF(M38="Punainen","Tarkista ennen ajoon vapautusta",IF(M38="Keltainen","Seuraa / varmista","OK")))</x:f>
      </x:c>
    </x:row>
    <x:row r="39">
      <x:c r="A39" s="28"/>
      <x:c r="B39" s="28"/>
      <x:c r="C39" s="28"/>
      <x:c r="D39" s="32"/>
      <x:c r="E39" s="32"/>
      <x:c r="F39" s="32"/>
      <x:c r="G39" s="28"/>
      <x:c r="H39" s="28"/>
      <x:c r="I39" s="35" t="str">
        <x:f>IF(A39="","",IF(C39&gt;10,"Punainen",IF(C39&gt;9,"Keltainen","OK")))</x:f>
      </x:c>
      <x:c r="J39" s="35" t="str">
        <x:f>IF(A39="","",IF(D39&lt;0.7,"Keltainen",IF(D39&gt;0.95,"Keltainen","OK")))</x:f>
      </x:c>
      <x:c r="K39" s="35" t="str">
        <x:f>IF(A39="","",IF(E39&lt;0.12,"Punainen",IF(E39&lt;0.15,"Keltainen","OK")))</x:f>
      </x:c>
      <x:c r="L39" s="35" t="str">
        <x:f>IF(A39="","",IF(F39&gt;0.18,"Punainen",IF(F39&gt;0.15,"Keltainen","OK")))</x:f>
      </x:c>
      <x:c r="M39" s="35" t="str">
        <x:f>IF(A39="","",IF(OR(I39="Punainen",K39="Punainen",L39="Punainen",G39="Myöhässä",H39&gt;=6),"Punainen",IF(OR(I39="Keltainen",J39="Keltainen",K39="Keltainen",L39="Keltainen"),"Keltainen","OK")))</x:f>
      </x:c>
      <x:c r="N39" s="35" t="str">
        <x:f>IF(A39="","",IF(M39="Punainen","Tarkista ennen ajoon vapautusta",IF(M39="Keltainen","Seuraa / varmista","OK")))</x:f>
      </x:c>
    </x:row>
    <x:row r="40">
      <x:c r="A40" s="28"/>
      <x:c r="B40" s="28"/>
      <x:c r="C40" s="28"/>
      <x:c r="D40" s="32"/>
      <x:c r="E40" s="32"/>
      <x:c r="F40" s="32"/>
      <x:c r="G40" s="28"/>
      <x:c r="H40" s="28"/>
      <x:c r="I40" s="35" t="str">
        <x:f>IF(A40="","",IF(C40&gt;10,"Punainen",IF(C40&gt;9,"Keltainen","OK")))</x:f>
      </x:c>
      <x:c r="J40" s="35" t="str">
        <x:f>IF(A40="","",IF(D40&lt;0.7,"Keltainen",IF(D40&gt;0.95,"Keltainen","OK")))</x:f>
      </x:c>
      <x:c r="K40" s="35" t="str">
        <x:f>IF(A40="","",IF(E40&lt;0.12,"Punainen",IF(E40&lt;0.15,"Keltainen","OK")))</x:f>
      </x:c>
      <x:c r="L40" s="35" t="str">
        <x:f>IF(A40="","",IF(F40&gt;0.18,"Punainen",IF(F40&gt;0.15,"Keltainen","OK")))</x:f>
      </x:c>
      <x:c r="M40" s="35" t="str">
        <x:f>IF(A40="","",IF(OR(I40="Punainen",K40="Punainen",L40="Punainen",G40="Myöhässä",H40&gt;=6),"Punainen",IF(OR(I40="Keltainen",J40="Keltainen",K40="Keltainen",L40="Keltainen"),"Keltainen","OK")))</x:f>
      </x:c>
      <x:c r="N40" s="35" t="str">
        <x:f>IF(A40="","",IF(M40="Punainen","Tarkista ennen ajoon vapautusta",IF(M40="Keltainen","Seuraa / varmista","OK")))</x:f>
      </x:c>
    </x:row>
  </x:sheetData>
  <x:conditionalFormatting sqref="M5:M40">
    <x:cfRule type="expression" dxfId="2" priority="1">
      <x:formula>M5="Punainen"</x:formula>
    </x:cfRule>
    <x:cfRule type="expression" dxfId="3" priority="2">
      <x:formula>M5="Keltainen"</x:formula>
    </x:cfRule>
    <x:cfRule type="expression" dxfId="4" priority="3">
      <x:formula>M5="OK"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24" hidden="0" customWidth="1"/>
  </x:cols>
  <x:sheetData>
    <x:row r="1">
      <x:c r="A1" s="6" t="str">
        <x:v>Kustannukset ja €/km KPI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Kustannukset, kate, tyhjä ajo ja €/km.</x:v>
      </x:c>
    </x:row>
    <x:row r="4">
      <x:c r="A4" s="20" t="str">
        <x:v>Reitti / tyyppi</x:v>
      </x:c>
      <x:c r="B4" s="20" t="str">
        <x:v>Km</x:v>
      </x:c>
      <x:c r="C4" s="20" t="str">
        <x:v>Loaded km</x:v>
      </x:c>
      <x:c r="D4" s="20" t="str">
        <x:v>Empty km</x:v>
      </x:c>
      <x:c r="E4" s="20" t="str">
        <x:v>Myynti €</x:v>
      </x:c>
      <x:c r="F4" s="20" t="str">
        <x:v>Kulut €</x:v>
      </x:c>
      <x:c r="G4" s="20" t="str">
        <x:v>Kate €</x:v>
      </x:c>
      <x:c r="H4" s="20" t="str">
        <x:v>Kate %</x:v>
      </x:c>
      <x:c r="I4" s="20" t="str">
        <x:v>Revenue €/km</x:v>
      </x:c>
      <x:c r="J4" s="20" t="str">
        <x:v>Empty %</x:v>
      </x:c>
      <x:c r="K4" s="20" t="str">
        <x:v>Status</x:v>
      </x:c>
      <x:c r="L4" s="20" t="str">
        <x:v>Huomio</x:v>
      </x:c>
    </x:row>
    <x:row r="5">
      <x:c r="A5" s="28" t="str">
        <x:v>Kotimaa pitkä</x:v>
      </x:c>
      <x:c r="B5" s="28" t="n">
        <x:v>680</x:v>
      </x:c>
      <x:c r="C5" s="28" t="n">
        <x:v>600</x:v>
      </x:c>
      <x:c r="D5" s="28" t="n">
        <x:v>80</x:v>
      </x:c>
      <x:c r="E5" s="67" t="n">
        <x:v>1380</x:v>
      </x:c>
      <x:c r="F5" s="67" t="n">
        <x:v>1120</x:v>
      </x:c>
      <x:c r="G5" s="68" t="n">
        <x:f>IF(A5="","",E5-F5)</x:f>
        <x:v>260</x:v>
      </x:c>
      <x:c r="H5" s="38" t="n">
        <x:f>IF(E5=0,"",G5/E5)</x:f>
        <x:v>0.18840579710144928</x:v>
      </x:c>
      <x:c r="I5" s="68" t="n">
        <x:f>IF(C5=0,"",E5/C5)</x:f>
        <x:v>2.3</x:v>
      </x:c>
      <x:c r="J5" s="38" t="n">
        <x:f>IF(B5=0,"",D5/B5)</x:f>
        <x:v>0.11764705882352941</x:v>
      </x:c>
      <x:c r="K5" s="35" t="str">
        <x:f>IF(A5="","",IF(H5&lt;0.12,"Punainen",IF(J5&gt;0.18,"Keltainen","OK")))</x:f>
        <x:v>OK</x:v>
      </x:c>
      <x:c r="L5" t="str"/>
    </x:row>
    <x:row r="6">
      <x:c r="A6" s="28" t="str">
        <x:v>Thermo</x:v>
      </x:c>
      <x:c r="B6" s="28" t="n">
        <x:v>330</x:v>
      </x:c>
      <x:c r="C6" s="28" t="n">
        <x:v>290</x:v>
      </x:c>
      <x:c r="D6" s="28" t="n">
        <x:v>40</x:v>
      </x:c>
      <x:c r="E6" s="67" t="n">
        <x:v>850</x:v>
      </x:c>
      <x:c r="F6" s="67" t="n">
        <x:v>680</x:v>
      </x:c>
      <x:c r="G6" s="68" t="n">
        <x:f>IF(A6="","",E6-F6)</x:f>
        <x:v>170</x:v>
      </x:c>
      <x:c r="H6" s="38" t="n">
        <x:f>IF(E6=0,"",G6/E6)</x:f>
        <x:v>0.2</x:v>
      </x:c>
      <x:c r="I6" s="68" t="n">
        <x:f>IF(C6=0,"",E6/C6)</x:f>
        <x:v>2.9310344827586206</x:v>
      </x:c>
      <x:c r="J6" s="38" t="n">
        <x:f>IF(B6=0,"",D6/B6)</x:f>
        <x:v>0.12121212121212122</x:v>
      </x:c>
      <x:c r="K6" s="35" t="str">
        <x:f>IF(A6="","",IF(H6&lt;0.12,"Punainen",IF(J6&gt;0.18,"Keltainen","OK")))</x:f>
        <x:v>OK</x:v>
      </x:c>
      <x:c r="L6" t="str"/>
    </x:row>
    <x:row r="7">
      <x:c r="A7" s="28" t="str">
        <x:v>Manner</x:v>
      </x:c>
      <x:c r="B7" s="28" t="n">
        <x:v>480</x:v>
      </x:c>
      <x:c r="C7" s="28" t="n">
        <x:v>420</x:v>
      </x:c>
      <x:c r="D7" s="28" t="n">
        <x:v>60</x:v>
      </x:c>
      <x:c r="E7" s="67" t="n">
        <x:v>1180</x:v>
      </x:c>
      <x:c r="F7" s="67" t="n">
        <x:v>980</x:v>
      </x:c>
      <x:c r="G7" s="68" t="n">
        <x:f>IF(A7="","",E7-F7)</x:f>
        <x:v>200</x:v>
      </x:c>
      <x:c r="H7" s="38" t="n">
        <x:f>IF(E7=0,"",G7/E7)</x:f>
        <x:v>0.1694915254237288</x:v>
      </x:c>
      <x:c r="I7" s="68" t="n">
        <x:f>IF(C7=0,"",E7/C7)</x:f>
        <x:v>2.8095238095238093</x:v>
      </x:c>
      <x:c r="J7" s="38" t="n">
        <x:f>IF(B7=0,"",D7/B7)</x:f>
        <x:v>0.125</x:v>
      </x:c>
      <x:c r="K7" s="35" t="str">
        <x:f>IF(A7="","",IF(H7&lt;0.12,"Punainen",IF(J7&gt;0.18,"Keltainen","OK")))</x:f>
        <x:v>OK</x:v>
      </x:c>
      <x:c r="L7" t="str"/>
    </x:row>
    <x:row r="8">
      <x:c r="A8" s="28"/>
      <x:c r="B8" s="28"/>
      <x:c r="C8" s="28"/>
      <x:c r="D8" s="28"/>
      <x:c r="E8" s="67"/>
      <x:c r="F8" s="67"/>
      <x:c r="G8" s="68" t="str">
        <x:f>IF(A8="","",E8-F8)</x:f>
      </x:c>
      <x:c r="H8" s="38" t="str">
        <x:f>IF(E8=0,"",G8/E8)</x:f>
      </x:c>
      <x:c r="I8" s="68" t="str">
        <x:f>IF(C8=0,"",E8/C8)</x:f>
      </x:c>
      <x:c r="J8" s="38" t="str">
        <x:f>IF(B8=0,"",D8/B8)</x:f>
      </x:c>
      <x:c r="K8" s="35" t="str">
        <x:f>IF(A8="","",IF(H8&lt;0.12,"Punainen",IF(J8&gt;0.18,"Keltainen","OK")))</x:f>
      </x:c>
    </x:row>
    <x:row r="9">
      <x:c r="A9" s="28"/>
      <x:c r="B9" s="28"/>
      <x:c r="C9" s="28"/>
      <x:c r="D9" s="28"/>
      <x:c r="E9" s="67"/>
      <x:c r="F9" s="67"/>
      <x:c r="G9" s="68" t="str">
        <x:f>IF(A9="","",E9-F9)</x:f>
      </x:c>
      <x:c r="H9" s="38" t="str">
        <x:f>IF(E9=0,"",G9/E9)</x:f>
      </x:c>
      <x:c r="I9" s="68" t="str">
        <x:f>IF(C9=0,"",E9/C9)</x:f>
      </x:c>
      <x:c r="J9" s="38" t="str">
        <x:f>IF(B9=0,"",D9/B9)</x:f>
      </x:c>
      <x:c r="K9" s="35" t="str">
        <x:f>IF(A9="","",IF(H9&lt;0.12,"Punainen",IF(J9&gt;0.18,"Keltainen","OK")))</x:f>
      </x:c>
    </x:row>
    <x:row r="10">
      <x:c r="A10" s="28"/>
      <x:c r="B10" s="28"/>
      <x:c r="C10" s="28"/>
      <x:c r="D10" s="28"/>
      <x:c r="E10" s="67"/>
      <x:c r="F10" s="67"/>
      <x:c r="G10" s="68" t="str">
        <x:f>IF(A10="","",E10-F10)</x:f>
      </x:c>
      <x:c r="H10" s="38" t="str">
        <x:f>IF(E10=0,"",G10/E10)</x:f>
      </x:c>
      <x:c r="I10" s="68" t="str">
        <x:f>IF(C10=0,"",E10/C10)</x:f>
      </x:c>
      <x:c r="J10" s="38" t="str">
        <x:f>IF(B10=0,"",D10/B10)</x:f>
      </x:c>
      <x:c r="K10" s="35" t="str">
        <x:f>IF(A10="","",IF(H10&lt;0.12,"Punainen",IF(J10&gt;0.18,"Keltainen","OK")))</x:f>
      </x:c>
    </x:row>
    <x:row r="11">
      <x:c r="A11" s="28"/>
      <x:c r="B11" s="28"/>
      <x:c r="C11" s="28"/>
      <x:c r="D11" s="28"/>
      <x:c r="E11" s="67"/>
      <x:c r="F11" s="67"/>
      <x:c r="G11" s="68" t="str">
        <x:f>IF(A11="","",E11-F11)</x:f>
      </x:c>
      <x:c r="H11" s="38" t="str">
        <x:f>IF(E11=0,"",G11/E11)</x:f>
      </x:c>
      <x:c r="I11" s="68" t="str">
        <x:f>IF(C11=0,"",E11/C11)</x:f>
      </x:c>
      <x:c r="J11" s="38" t="str">
        <x:f>IF(B11=0,"",D11/B11)</x:f>
      </x:c>
      <x:c r="K11" s="35" t="str">
        <x:f>IF(A11="","",IF(H11&lt;0.12,"Punainen",IF(J11&gt;0.18,"Keltainen","OK")))</x:f>
      </x:c>
    </x:row>
    <x:row r="12">
      <x:c r="A12" s="28"/>
      <x:c r="B12" s="28"/>
      <x:c r="C12" s="28"/>
      <x:c r="D12" s="28"/>
      <x:c r="E12" s="67"/>
      <x:c r="F12" s="67"/>
      <x:c r="G12" s="68" t="str">
        <x:f>IF(A12="","",E12-F12)</x:f>
      </x:c>
      <x:c r="H12" s="38" t="str">
        <x:f>IF(E12=0,"",G12/E12)</x:f>
      </x:c>
      <x:c r="I12" s="68" t="str">
        <x:f>IF(C12=0,"",E12/C12)</x:f>
      </x:c>
      <x:c r="J12" s="38" t="str">
        <x:f>IF(B12=0,"",D12/B12)</x:f>
      </x:c>
      <x:c r="K12" s="35" t="str">
        <x:f>IF(A12="","",IF(H12&lt;0.12,"Punainen",IF(J12&gt;0.18,"Keltainen","OK")))</x:f>
      </x:c>
    </x:row>
    <x:row r="13">
      <x:c r="A13" s="28"/>
      <x:c r="B13" s="28"/>
      <x:c r="C13" s="28"/>
      <x:c r="D13" s="28"/>
      <x:c r="E13" s="67"/>
      <x:c r="F13" s="67"/>
      <x:c r="G13" s="68" t="str">
        <x:f>IF(A13="","",E13-F13)</x:f>
      </x:c>
      <x:c r="H13" s="38" t="str">
        <x:f>IF(E13=0,"",G13/E13)</x:f>
      </x:c>
      <x:c r="I13" s="68" t="str">
        <x:f>IF(C13=0,"",E13/C13)</x:f>
      </x:c>
      <x:c r="J13" s="38" t="str">
        <x:f>IF(B13=0,"",D13/B13)</x:f>
      </x:c>
      <x:c r="K13" s="35" t="str">
        <x:f>IF(A13="","",IF(H13&lt;0.12,"Punainen",IF(J13&gt;0.18,"Keltainen","OK")))</x:f>
      </x:c>
    </x:row>
    <x:row r="14">
      <x:c r="A14" s="28"/>
      <x:c r="B14" s="28"/>
      <x:c r="C14" s="28"/>
      <x:c r="D14" s="28"/>
      <x:c r="E14" s="67"/>
      <x:c r="F14" s="67"/>
      <x:c r="G14" s="68" t="str">
        <x:f>IF(A14="","",E14-F14)</x:f>
      </x:c>
      <x:c r="H14" s="38" t="str">
        <x:f>IF(E14=0,"",G14/E14)</x:f>
      </x:c>
      <x:c r="I14" s="68" t="str">
        <x:f>IF(C14=0,"",E14/C14)</x:f>
      </x:c>
      <x:c r="J14" s="38" t="str">
        <x:f>IF(B14=0,"",D14/B14)</x:f>
      </x:c>
      <x:c r="K14" s="35" t="str">
        <x:f>IF(A14="","",IF(H14&lt;0.12,"Punainen",IF(J14&gt;0.18,"Keltainen","OK")))</x:f>
      </x:c>
    </x:row>
    <x:row r="15">
      <x:c r="A15" s="28"/>
      <x:c r="B15" s="28"/>
      <x:c r="C15" s="28"/>
      <x:c r="D15" s="28"/>
      <x:c r="E15" s="67"/>
      <x:c r="F15" s="67"/>
      <x:c r="G15" s="68" t="str">
        <x:f>IF(A15="","",E15-F15)</x:f>
      </x:c>
      <x:c r="H15" s="38" t="str">
        <x:f>IF(E15=0,"",G15/E15)</x:f>
      </x:c>
      <x:c r="I15" s="68" t="str">
        <x:f>IF(C15=0,"",E15/C15)</x:f>
      </x:c>
      <x:c r="J15" s="38" t="str">
        <x:f>IF(B15=0,"",D15/B15)</x:f>
      </x:c>
      <x:c r="K15" s="35" t="str">
        <x:f>IF(A15="","",IF(H15&lt;0.12,"Punainen",IF(J15&gt;0.18,"Keltainen","OK")))</x:f>
      </x:c>
    </x:row>
    <x:row r="16">
      <x:c r="A16" s="28"/>
      <x:c r="B16" s="28"/>
      <x:c r="C16" s="28"/>
      <x:c r="D16" s="28"/>
      <x:c r="E16" s="67"/>
      <x:c r="F16" s="67"/>
      <x:c r="G16" s="68" t="str">
        <x:f>IF(A16="","",E16-F16)</x:f>
      </x:c>
      <x:c r="H16" s="38" t="str">
        <x:f>IF(E16=0,"",G16/E16)</x:f>
      </x:c>
      <x:c r="I16" s="68" t="str">
        <x:f>IF(C16=0,"",E16/C16)</x:f>
      </x:c>
      <x:c r="J16" s="38" t="str">
        <x:f>IF(B16=0,"",D16/B16)</x:f>
      </x:c>
      <x:c r="K16" s="35" t="str">
        <x:f>IF(A16="","",IF(H16&lt;0.12,"Punainen",IF(J16&gt;0.18,"Keltainen","OK")))</x:f>
      </x:c>
    </x:row>
    <x:row r="17">
      <x:c r="A17" s="28"/>
      <x:c r="B17" s="28"/>
      <x:c r="C17" s="28"/>
      <x:c r="D17" s="28"/>
      <x:c r="E17" s="67"/>
      <x:c r="F17" s="67"/>
      <x:c r="G17" s="68" t="str">
        <x:f>IF(A17="","",E17-F17)</x:f>
      </x:c>
      <x:c r="H17" s="38" t="str">
        <x:f>IF(E17=0,"",G17/E17)</x:f>
      </x:c>
      <x:c r="I17" s="68" t="str">
        <x:f>IF(C17=0,"",E17/C17)</x:f>
      </x:c>
      <x:c r="J17" s="38" t="str">
        <x:f>IF(B17=0,"",D17/B17)</x:f>
      </x:c>
      <x:c r="K17" s="35" t="str">
        <x:f>IF(A17="","",IF(H17&lt;0.12,"Punainen",IF(J17&gt;0.18,"Keltainen","OK")))</x:f>
      </x:c>
    </x:row>
    <x:row r="18">
      <x:c r="A18" s="28"/>
      <x:c r="B18" s="28"/>
      <x:c r="C18" s="28"/>
      <x:c r="D18" s="28"/>
      <x:c r="E18" s="67"/>
      <x:c r="F18" s="67"/>
      <x:c r="G18" s="68" t="str">
        <x:f>IF(A18="","",E18-F18)</x:f>
      </x:c>
      <x:c r="H18" s="38" t="str">
        <x:f>IF(E18=0,"",G18/E18)</x:f>
      </x:c>
      <x:c r="I18" s="68" t="str">
        <x:f>IF(C18=0,"",E18/C18)</x:f>
      </x:c>
      <x:c r="J18" s="38" t="str">
        <x:f>IF(B18=0,"",D18/B18)</x:f>
      </x:c>
      <x:c r="K18" s="35" t="str">
        <x:f>IF(A18="","",IF(H18&lt;0.12,"Punainen",IF(J18&gt;0.18,"Keltainen","OK")))</x:f>
      </x:c>
    </x:row>
    <x:row r="19">
      <x:c r="A19" s="28"/>
      <x:c r="B19" s="28"/>
      <x:c r="C19" s="28"/>
      <x:c r="D19" s="28"/>
      <x:c r="E19" s="67"/>
      <x:c r="F19" s="67"/>
      <x:c r="G19" s="68" t="str">
        <x:f>IF(A19="","",E19-F19)</x:f>
      </x:c>
      <x:c r="H19" s="38" t="str">
        <x:f>IF(E19=0,"",G19/E19)</x:f>
      </x:c>
      <x:c r="I19" s="68" t="str">
        <x:f>IF(C19=0,"",E19/C19)</x:f>
      </x:c>
      <x:c r="J19" s="38" t="str">
        <x:f>IF(B19=0,"",D19/B19)</x:f>
      </x:c>
      <x:c r="K19" s="35" t="str">
        <x:f>IF(A19="","",IF(H19&lt;0.12,"Punainen",IF(J19&gt;0.18,"Keltainen","OK")))</x:f>
      </x:c>
    </x:row>
    <x:row r="20">
      <x:c r="A20" s="28"/>
      <x:c r="B20" s="28"/>
      <x:c r="C20" s="28"/>
      <x:c r="D20" s="28"/>
      <x:c r="E20" s="67"/>
      <x:c r="F20" s="67"/>
      <x:c r="G20" s="68" t="str">
        <x:f>IF(A20="","",E20-F20)</x:f>
      </x:c>
      <x:c r="H20" s="38" t="str">
        <x:f>IF(E20=0,"",G20/E20)</x:f>
      </x:c>
      <x:c r="I20" s="68" t="str">
        <x:f>IF(C20=0,"",E20/C20)</x:f>
      </x:c>
      <x:c r="J20" s="38" t="str">
        <x:f>IF(B20=0,"",D20/B20)</x:f>
      </x:c>
      <x:c r="K20" s="35" t="str">
        <x:f>IF(A20="","",IF(H20&lt;0.12,"Punainen",IF(J20&gt;0.18,"Keltainen","OK")))</x:f>
      </x:c>
    </x:row>
    <x:row r="21">
      <x:c r="A21" s="28"/>
      <x:c r="B21" s="28"/>
      <x:c r="C21" s="28"/>
      <x:c r="D21" s="28"/>
      <x:c r="E21" s="67"/>
      <x:c r="F21" s="67"/>
      <x:c r="G21" s="68" t="str">
        <x:f>IF(A21="","",E21-F21)</x:f>
      </x:c>
      <x:c r="H21" s="38" t="str">
        <x:f>IF(E21=0,"",G21/E21)</x:f>
      </x:c>
      <x:c r="I21" s="68" t="str">
        <x:f>IF(C21=0,"",E21/C21)</x:f>
      </x:c>
      <x:c r="J21" s="38" t="str">
        <x:f>IF(B21=0,"",D21/B21)</x:f>
      </x:c>
      <x:c r="K21" s="35" t="str">
        <x:f>IF(A21="","",IF(H21&lt;0.12,"Punainen",IF(J21&gt;0.18,"Keltainen","OK")))</x:f>
      </x:c>
    </x:row>
    <x:row r="22">
      <x:c r="A22" s="28"/>
      <x:c r="B22" s="28"/>
      <x:c r="C22" s="28"/>
      <x:c r="D22" s="28"/>
      <x:c r="E22" s="67"/>
      <x:c r="F22" s="67"/>
      <x:c r="G22" s="68" t="str">
        <x:f>IF(A22="","",E22-F22)</x:f>
      </x:c>
      <x:c r="H22" s="38" t="str">
        <x:f>IF(E22=0,"",G22/E22)</x:f>
      </x:c>
      <x:c r="I22" s="68" t="str">
        <x:f>IF(C22=0,"",E22/C22)</x:f>
      </x:c>
      <x:c r="J22" s="38" t="str">
        <x:f>IF(B22=0,"",D22/B22)</x:f>
      </x:c>
      <x:c r="K22" s="35" t="str">
        <x:f>IF(A22="","",IF(H22&lt;0.12,"Punainen",IF(J22&gt;0.18,"Keltainen","OK")))</x:f>
      </x:c>
    </x:row>
    <x:row r="23">
      <x:c r="A23" s="28"/>
      <x:c r="B23" s="28"/>
      <x:c r="C23" s="28"/>
      <x:c r="D23" s="28"/>
      <x:c r="E23" s="67"/>
      <x:c r="F23" s="67"/>
      <x:c r="G23" s="68" t="str">
        <x:f>IF(A23="","",E23-F23)</x:f>
      </x:c>
      <x:c r="H23" s="38" t="str">
        <x:f>IF(E23=0,"",G23/E23)</x:f>
      </x:c>
      <x:c r="I23" s="68" t="str">
        <x:f>IF(C23=0,"",E23/C23)</x:f>
      </x:c>
      <x:c r="J23" s="38" t="str">
        <x:f>IF(B23=0,"",D23/B23)</x:f>
      </x:c>
      <x:c r="K23" s="35" t="str">
        <x:f>IF(A23="","",IF(H23&lt;0.12,"Punainen",IF(J23&gt;0.18,"Keltainen","OK")))</x:f>
      </x:c>
    </x:row>
    <x:row r="24">
      <x:c r="A24" s="28"/>
      <x:c r="B24" s="28"/>
      <x:c r="C24" s="28"/>
      <x:c r="D24" s="28"/>
      <x:c r="E24" s="67"/>
      <x:c r="F24" s="67"/>
      <x:c r="G24" s="68" t="str">
        <x:f>IF(A24="","",E24-F24)</x:f>
      </x:c>
      <x:c r="H24" s="38" t="str">
        <x:f>IF(E24=0,"",G24/E24)</x:f>
      </x:c>
      <x:c r="I24" s="68" t="str">
        <x:f>IF(C24=0,"",E24/C24)</x:f>
      </x:c>
      <x:c r="J24" s="38" t="str">
        <x:f>IF(B24=0,"",D24/B24)</x:f>
      </x:c>
      <x:c r="K24" s="35" t="str">
        <x:f>IF(A24="","",IF(H24&lt;0.12,"Punainen",IF(J24&gt;0.18,"Keltainen","OK")))</x:f>
      </x:c>
    </x:row>
    <x:row r="25">
      <x:c r="A25" s="28"/>
      <x:c r="B25" s="28"/>
      <x:c r="C25" s="28"/>
      <x:c r="D25" s="28"/>
      <x:c r="E25" s="67"/>
      <x:c r="F25" s="67"/>
      <x:c r="G25" s="68" t="str">
        <x:f>IF(A25="","",E25-F25)</x:f>
      </x:c>
      <x:c r="H25" s="38" t="str">
        <x:f>IF(E25=0,"",G25/E25)</x:f>
      </x:c>
      <x:c r="I25" s="68" t="str">
        <x:f>IF(C25=0,"",E25/C25)</x:f>
      </x:c>
      <x:c r="J25" s="38" t="str">
        <x:f>IF(B25=0,"",D25/B25)</x:f>
      </x:c>
      <x:c r="K25" s="35" t="str">
        <x:f>IF(A25="","",IF(H25&lt;0.12,"Punainen",IF(J25&gt;0.18,"Keltainen","OK")))</x:f>
      </x:c>
    </x:row>
    <x:row r="26">
      <x:c r="A26" s="28"/>
      <x:c r="B26" s="28"/>
      <x:c r="C26" s="28"/>
      <x:c r="D26" s="28"/>
      <x:c r="E26" s="67"/>
      <x:c r="F26" s="67"/>
      <x:c r="G26" s="68" t="str">
        <x:f>IF(A26="","",E26-F26)</x:f>
      </x:c>
      <x:c r="H26" s="38" t="str">
        <x:f>IF(E26=0,"",G26/E26)</x:f>
      </x:c>
      <x:c r="I26" s="68" t="str">
        <x:f>IF(C26=0,"",E26/C26)</x:f>
      </x:c>
      <x:c r="J26" s="38" t="str">
        <x:f>IF(B26=0,"",D26/B26)</x:f>
      </x:c>
      <x:c r="K26" s="35" t="str">
        <x:f>IF(A26="","",IF(H26&lt;0.12,"Punainen",IF(J26&gt;0.18,"Keltainen","OK")))</x:f>
      </x:c>
    </x:row>
    <x:row r="27">
      <x:c r="A27" s="28"/>
      <x:c r="B27" s="28"/>
      <x:c r="C27" s="28"/>
      <x:c r="D27" s="28"/>
      <x:c r="E27" s="67"/>
      <x:c r="F27" s="67"/>
      <x:c r="G27" s="68" t="str">
        <x:f>IF(A27="","",E27-F27)</x:f>
      </x:c>
      <x:c r="H27" s="38" t="str">
        <x:f>IF(E27=0,"",G27/E27)</x:f>
      </x:c>
      <x:c r="I27" s="68" t="str">
        <x:f>IF(C27=0,"",E27/C27)</x:f>
      </x:c>
      <x:c r="J27" s="38" t="str">
        <x:f>IF(B27=0,"",D27/B27)</x:f>
      </x:c>
      <x:c r="K27" s="35" t="str">
        <x:f>IF(A27="","",IF(H27&lt;0.12,"Punainen",IF(J27&gt;0.18,"Keltainen","OK")))</x:f>
      </x:c>
    </x:row>
    <x:row r="28">
      <x:c r="A28" s="28"/>
      <x:c r="B28" s="28"/>
      <x:c r="C28" s="28"/>
      <x:c r="D28" s="28"/>
      <x:c r="E28" s="67"/>
      <x:c r="F28" s="67"/>
      <x:c r="G28" s="68" t="str">
        <x:f>IF(A28="","",E28-F28)</x:f>
      </x:c>
      <x:c r="H28" s="38" t="str">
        <x:f>IF(E28=0,"",G28/E28)</x:f>
      </x:c>
      <x:c r="I28" s="68" t="str">
        <x:f>IF(C28=0,"",E28/C28)</x:f>
      </x:c>
      <x:c r="J28" s="38" t="str">
        <x:f>IF(B28=0,"",D28/B28)</x:f>
      </x:c>
      <x:c r="K28" s="35" t="str">
        <x:f>IF(A28="","",IF(H28&lt;0.12,"Punainen",IF(J28&gt;0.18,"Keltainen","OK")))</x:f>
      </x:c>
    </x:row>
    <x:row r="29">
      <x:c r="A29" s="28"/>
      <x:c r="B29" s="28"/>
      <x:c r="C29" s="28"/>
      <x:c r="D29" s="28"/>
      <x:c r="E29" s="67"/>
      <x:c r="F29" s="67"/>
      <x:c r="G29" s="68" t="str">
        <x:f>IF(A29="","",E29-F29)</x:f>
      </x:c>
      <x:c r="H29" s="38" t="str">
        <x:f>IF(E29=0,"",G29/E29)</x:f>
      </x:c>
      <x:c r="I29" s="68" t="str">
        <x:f>IF(C29=0,"",E29/C29)</x:f>
      </x:c>
      <x:c r="J29" s="38" t="str">
        <x:f>IF(B29=0,"",D29/B29)</x:f>
      </x:c>
      <x:c r="K29" s="35" t="str">
        <x:f>IF(A29="","",IF(H29&lt;0.12,"Punainen",IF(J29&gt;0.18,"Keltainen","OK")))</x:f>
      </x:c>
    </x:row>
    <x:row r="30">
      <x:c r="A30" s="28"/>
      <x:c r="B30" s="28"/>
      <x:c r="C30" s="28"/>
      <x:c r="D30" s="28"/>
      <x:c r="E30" s="67"/>
      <x:c r="F30" s="67"/>
      <x:c r="G30" s="68" t="str">
        <x:f>IF(A30="","",E30-F30)</x:f>
      </x:c>
      <x:c r="H30" s="38" t="str">
        <x:f>IF(E30=0,"",G30/E30)</x:f>
      </x:c>
      <x:c r="I30" s="68" t="str">
        <x:f>IF(C30=0,"",E30/C30)</x:f>
      </x:c>
      <x:c r="J30" s="38" t="str">
        <x:f>IF(B30=0,"",D30/B30)</x:f>
      </x:c>
      <x:c r="K30" s="35" t="str">
        <x:f>IF(A30="","",IF(H30&lt;0.12,"Punainen",IF(J30&gt;0.18,"Keltainen","OK")))</x:f>
      </x:c>
    </x:row>
    <x:row r="31">
      <x:c r="A31" s="28"/>
      <x:c r="B31" s="28"/>
      <x:c r="C31" s="28"/>
      <x:c r="D31" s="28"/>
      <x:c r="E31" s="67"/>
      <x:c r="F31" s="67"/>
      <x:c r="G31" s="68" t="str">
        <x:f>IF(A31="","",E31-F31)</x:f>
      </x:c>
      <x:c r="H31" s="38" t="str">
        <x:f>IF(E31=0,"",G31/E31)</x:f>
      </x:c>
      <x:c r="I31" s="68" t="str">
        <x:f>IF(C31=0,"",E31/C31)</x:f>
      </x:c>
      <x:c r="J31" s="38" t="str">
        <x:f>IF(B31=0,"",D31/B31)</x:f>
      </x:c>
      <x:c r="K31" s="35" t="str">
        <x:f>IF(A31="","",IF(H31&lt;0.12,"Punainen",IF(J31&gt;0.18,"Keltainen","OK")))</x:f>
      </x:c>
    </x:row>
    <x:row r="32">
      <x:c r="A32" s="28"/>
      <x:c r="B32" s="28"/>
      <x:c r="C32" s="28"/>
      <x:c r="D32" s="28"/>
      <x:c r="E32" s="67"/>
      <x:c r="F32" s="67"/>
      <x:c r="G32" s="68" t="str">
        <x:f>IF(A32="","",E32-F32)</x:f>
      </x:c>
      <x:c r="H32" s="38" t="str">
        <x:f>IF(E32=0,"",G32/E32)</x:f>
      </x:c>
      <x:c r="I32" s="68" t="str">
        <x:f>IF(C32=0,"",E32/C32)</x:f>
      </x:c>
      <x:c r="J32" s="38" t="str">
        <x:f>IF(B32=0,"",D32/B32)</x:f>
      </x:c>
      <x:c r="K32" s="35" t="str">
        <x:f>IF(A32="","",IF(H32&lt;0.12,"Punainen",IF(J32&gt;0.18,"Keltainen","OK")))</x:f>
      </x:c>
    </x:row>
    <x:row r="33">
      <x:c r="A33" s="28"/>
      <x:c r="B33" s="28"/>
      <x:c r="C33" s="28"/>
      <x:c r="D33" s="28"/>
      <x:c r="E33" s="67"/>
      <x:c r="F33" s="67"/>
      <x:c r="G33" s="68" t="str">
        <x:f>IF(A33="","",E33-F33)</x:f>
      </x:c>
      <x:c r="H33" s="38" t="str">
        <x:f>IF(E33=0,"",G33/E33)</x:f>
      </x:c>
      <x:c r="I33" s="68" t="str">
        <x:f>IF(C33=0,"",E33/C33)</x:f>
      </x:c>
      <x:c r="J33" s="38" t="str">
        <x:f>IF(B33=0,"",D33/B33)</x:f>
      </x:c>
      <x:c r="K33" s="35" t="str">
        <x:f>IF(A33="","",IF(H33&lt;0.12,"Punainen",IF(J33&gt;0.18,"Keltainen","OK")))</x:f>
      </x:c>
    </x:row>
    <x:row r="34">
      <x:c r="A34" s="28"/>
      <x:c r="B34" s="28"/>
      <x:c r="C34" s="28"/>
      <x:c r="D34" s="28"/>
      <x:c r="E34" s="67"/>
      <x:c r="F34" s="67"/>
      <x:c r="G34" s="68" t="str">
        <x:f>IF(A34="","",E34-F34)</x:f>
      </x:c>
      <x:c r="H34" s="38" t="str">
        <x:f>IF(E34=0,"",G34/E34)</x:f>
      </x:c>
      <x:c r="I34" s="68" t="str">
        <x:f>IF(C34=0,"",E34/C34)</x:f>
      </x:c>
      <x:c r="J34" s="38" t="str">
        <x:f>IF(B34=0,"",D34/B34)</x:f>
      </x:c>
      <x:c r="K34" s="35" t="str">
        <x:f>IF(A34="","",IF(H34&lt;0.12,"Punainen",IF(J34&gt;0.18,"Keltainen","OK")))</x:f>
      </x:c>
    </x:row>
    <x:row r="35">
      <x:c r="A35" s="28"/>
      <x:c r="B35" s="28"/>
      <x:c r="C35" s="28"/>
      <x:c r="D35" s="28"/>
      <x:c r="E35" s="67"/>
      <x:c r="F35" s="67"/>
      <x:c r="G35" s="68" t="str">
        <x:f>IF(A35="","",E35-F35)</x:f>
      </x:c>
      <x:c r="H35" s="38" t="str">
        <x:f>IF(E35=0,"",G35/E35)</x:f>
      </x:c>
      <x:c r="I35" s="68" t="str">
        <x:f>IF(C35=0,"",E35/C35)</x:f>
      </x:c>
      <x:c r="J35" s="38" t="str">
        <x:f>IF(B35=0,"",D35/B35)</x:f>
      </x:c>
      <x:c r="K35" s="35" t="str">
        <x:f>IF(A35="","",IF(H35&lt;0.12,"Punainen",IF(J35&gt;0.18,"Keltainen","OK")))</x:f>
      </x:c>
    </x:row>
    <x:row r="36">
      <x:c r="A36" s="28"/>
      <x:c r="B36" s="28"/>
      <x:c r="C36" s="28"/>
      <x:c r="D36" s="28"/>
      <x:c r="E36" s="67"/>
      <x:c r="F36" s="67"/>
      <x:c r="G36" s="68" t="str">
        <x:f>IF(A36="","",E36-F36)</x:f>
      </x:c>
      <x:c r="H36" s="38" t="str">
        <x:f>IF(E36=0,"",G36/E36)</x:f>
      </x:c>
      <x:c r="I36" s="68" t="str">
        <x:f>IF(C36=0,"",E36/C36)</x:f>
      </x:c>
      <x:c r="J36" s="38" t="str">
        <x:f>IF(B36=0,"",D36/B36)</x:f>
      </x:c>
      <x:c r="K36" s="35" t="str">
        <x:f>IF(A36="","",IF(H36&lt;0.12,"Punainen",IF(J36&gt;0.18,"Keltainen","OK")))</x:f>
      </x:c>
    </x:row>
    <x:row r="37">
      <x:c r="A37" s="28"/>
      <x:c r="B37" s="28"/>
      <x:c r="C37" s="28"/>
      <x:c r="D37" s="28"/>
      <x:c r="E37" s="67"/>
      <x:c r="F37" s="67"/>
      <x:c r="G37" s="68" t="str">
        <x:f>IF(A37="","",E37-F37)</x:f>
      </x:c>
      <x:c r="H37" s="38" t="str">
        <x:f>IF(E37=0,"",G37/E37)</x:f>
      </x:c>
      <x:c r="I37" s="68" t="str">
        <x:f>IF(C37=0,"",E37/C37)</x:f>
      </x:c>
      <x:c r="J37" s="38" t="str">
        <x:f>IF(B37=0,"",D37/B37)</x:f>
      </x:c>
      <x:c r="K37" s="35" t="str">
        <x:f>IF(A37="","",IF(H37&lt;0.12,"Punainen",IF(J37&gt;0.18,"Keltainen","OK")))</x:f>
      </x:c>
    </x:row>
    <x:row r="38">
      <x:c r="A38" s="28"/>
      <x:c r="B38" s="28"/>
      <x:c r="C38" s="28"/>
      <x:c r="D38" s="28"/>
      <x:c r="E38" s="67"/>
      <x:c r="F38" s="67"/>
      <x:c r="G38" s="68" t="str">
        <x:f>IF(A38="","",E38-F38)</x:f>
      </x:c>
      <x:c r="H38" s="38" t="str">
        <x:f>IF(E38=0,"",G38/E38)</x:f>
      </x:c>
      <x:c r="I38" s="68" t="str">
        <x:f>IF(C38=0,"",E38/C38)</x:f>
      </x:c>
      <x:c r="J38" s="38" t="str">
        <x:f>IF(B38=0,"",D38/B38)</x:f>
      </x:c>
      <x:c r="K38" s="35" t="str">
        <x:f>IF(A38="","",IF(H38&lt;0.12,"Punainen",IF(J38&gt;0.18,"Keltainen","OK")))</x:f>
      </x:c>
    </x:row>
    <x:row r="39">
      <x:c r="A39" s="28"/>
      <x:c r="B39" s="28"/>
      <x:c r="C39" s="28"/>
      <x:c r="D39" s="28"/>
      <x:c r="E39" s="67"/>
      <x:c r="F39" s="67"/>
      <x:c r="G39" s="68" t="str">
        <x:f>IF(A39="","",E39-F39)</x:f>
      </x:c>
      <x:c r="H39" s="38" t="str">
        <x:f>IF(E39=0,"",G39/E39)</x:f>
      </x:c>
      <x:c r="I39" s="68" t="str">
        <x:f>IF(C39=0,"",E39/C39)</x:f>
      </x:c>
      <x:c r="J39" s="38" t="str">
        <x:f>IF(B39=0,"",D39/B39)</x:f>
      </x:c>
      <x:c r="K39" s="35" t="str">
        <x:f>IF(A39="","",IF(H39&lt;0.12,"Punainen",IF(J39&gt;0.18,"Keltainen","OK")))</x:f>
      </x:c>
    </x:row>
    <x:row r="40">
      <x:c r="A40" s="28"/>
      <x:c r="B40" s="28"/>
      <x:c r="C40" s="28"/>
      <x:c r="D40" s="28"/>
      <x:c r="E40" s="67"/>
      <x:c r="F40" s="67"/>
      <x:c r="G40" s="68"/>
      <x:c r="H40" s="38"/>
      <x:c r="I40" s="68"/>
      <x:c r="J40" s="38"/>
      <x:c r="K40" s="3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22" hidden="0" customWidth="1"/>
    <x:col min="14" max="14" width="24" hidden="0" customWidth="1"/>
  </x:cols>
  <x:sheetData>
    <x:row r="1">
      <x:c r="A1" s="6" t="str">
        <x:v>Reittihistoria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Historiadata Power BI:tä ja analytiikkaa varten.</x:v>
      </x:c>
    </x:row>
    <x:row r="4">
      <x:c r="A4" s="20" t="str">
        <x:v>Päivä</x:v>
      </x:c>
      <x:c r="B4" s="20" t="str">
        <x:v>Asiakas</x:v>
      </x:c>
      <x:c r="C4" s="20" t="str">
        <x:v>Reitti</x:v>
      </x:c>
      <x:c r="D4" s="20" t="str">
        <x:v>Kalusto</x:v>
      </x:c>
      <x:c r="E4" s="20" t="str">
        <x:v>Carrier</x:v>
      </x:c>
      <x:c r="F4" s="20" t="str">
        <x:v>Loaded km</x:v>
      </x:c>
      <x:c r="G4" s="20" t="str">
        <x:v>Empty km</x:v>
      </x:c>
      <x:c r="H4" s="20" t="str">
        <x:v>Myynti €</x:v>
      </x:c>
      <x:c r="I4" s="20" t="str">
        <x:v>Kulut €</x:v>
      </x:c>
      <x:c r="J4" s="20" t="str">
        <x:v>Kate €</x:v>
      </x:c>
      <x:c r="K4" s="20" t="str">
        <x:v>Kate %</x:v>
      </x:c>
      <x:c r="L4" s="20" t="str">
        <x:v>On-time?</x:v>
      </x:c>
      <x:c r="M4" s="20" t="str">
        <x:v>Poikkeama</x:v>
      </x:c>
      <x:c r="N4" s="20" t="str">
        <x:v>Huomio</x:v>
      </x:c>
    </x:row>
    <x:row r="5">
      <x:c r="A5" s="71" t="n">
        <x:v>46143</x:v>
      </x:c>
      <x:c r="B5" s="28" t="str">
        <x:v>Asiakas A</x:v>
      </x:c>
      <x:c r="C5" s="28" t="str">
        <x:v>Vantaa → Tampere</x:v>
      </x:c>
      <x:c r="D5" s="28" t="str">
        <x:v>Thermo</x:v>
      </x:c>
      <x:c r="E5" s="28" t="str">
        <x:v>Carrier A</x:v>
      </x:c>
      <x:c r="F5" s="28" t="n">
        <x:v>180</x:v>
      </x:c>
      <x:c r="G5" s="28" t="n">
        <x:v>20</x:v>
      </x:c>
      <x:c r="H5" s="67" t="n">
        <x:v>520</x:v>
      </x:c>
      <x:c r="I5" s="67" t="n">
        <x:v>405</x:v>
      </x:c>
      <x:c r="J5" s="68" t="n">
        <x:f>IF(A5="","",H5-I5)</x:f>
        <x:v>115</x:v>
      </x:c>
      <x:c r="K5" s="38" t="n">
        <x:f>IF(H5=0,"",J5/H5)</x:f>
        <x:v>0.22115384615384615</x:v>
      </x:c>
      <x:c r="L5" s="28" t="str">
        <x:v>Kyllä</x:v>
      </x:c>
      <x:c r="M5" s="28" t="str"/>
      <x:c r="N5" s="28" t="str"/>
    </x:row>
    <x:row r="6">
      <x:c r="A6" s="71" t="n">
        <x:v>46144</x:v>
      </x:c>
      <x:c r="B6" s="28" t="str">
        <x:v>Asiakas B</x:v>
      </x:c>
      <x:c r="C6" s="28" t="str">
        <x:v>Vantaa → Oulu</x:v>
      </x:c>
      <x:c r="D6" s="28" t="str">
        <x:v>Umpikaappi</x:v>
      </x:c>
      <x:c r="E6" s="28" t="str">
        <x:v>Carrier B</x:v>
      </x:c>
      <x:c r="F6" s="28" t="n">
        <x:v>600</x:v>
      </x:c>
      <x:c r="G6" s="28" t="n">
        <x:v>80</x:v>
      </x:c>
      <x:c r="H6" s="67" t="n">
        <x:v>1380</x:v>
      </x:c>
      <x:c r="I6" s="67" t="n">
        <x:v>1120</x:v>
      </x:c>
      <x:c r="J6" s="68" t="n">
        <x:f>IF(A6="","",H6-I6)</x:f>
        <x:v>260</x:v>
      </x:c>
      <x:c r="K6" s="38" t="n">
        <x:f>IF(H6=0,"",J6/H6)</x:f>
        <x:v>0.18840579710144928</x:v>
      </x:c>
      <x:c r="L6" s="28" t="str">
        <x:v>Kyllä</x:v>
      </x:c>
      <x:c r="M6" s="28" t="str"/>
      <x:c r="N6" s="28" t="str"/>
    </x:row>
    <x:row r="7">
      <x:c r="A7" s="71" t="n">
        <x:v>46145</x:v>
      </x:c>
      <x:c r="B7" s="28" t="str">
        <x:v>Asiakas C</x:v>
      </x:c>
      <x:c r="C7" s="28" t="str">
        <x:v>Turku → Rauma</x:v>
      </x:c>
      <x:c r="D7" s="28" t="str">
        <x:v>Pressu</x:v>
      </x:c>
      <x:c r="E7" s="28" t="str">
        <x:v>Carrier A</x:v>
      </x:c>
      <x:c r="F7" s="28" t="n">
        <x:v>95</x:v>
      </x:c>
      <x:c r="G7" s="28" t="n">
        <x:v>15</x:v>
      </x:c>
      <x:c r="H7" s="67" t="n">
        <x:v>330</x:v>
      </x:c>
      <x:c r="I7" s="67" t="n">
        <x:v>250</x:v>
      </x:c>
      <x:c r="J7" s="68" t="n">
        <x:f>IF(A7="","",H7-I7)</x:f>
        <x:v>80</x:v>
      </x:c>
      <x:c r="K7" s="38" t="n">
        <x:f>IF(H7=0,"",J7/H7)</x:f>
        <x:v>0.24242424242424243</x:v>
      </x:c>
      <x:c r="L7" s="28" t="str">
        <x:v>Ei</x:v>
      </x:c>
      <x:c r="M7" s="28" t="str">
        <x:v>Myöhäinen purku</x:v>
      </x:c>
      <x:c r="N7" s="28" t="str"/>
    </x:row>
    <x:row r="8">
      <x:c r="A8" s="71" t="n">
        <x:v>46146</x:v>
      </x:c>
      <x:c r="B8" s="28" t="str">
        <x:v>Asiakas F</x:v>
      </x:c>
      <x:c r="C8" s="28" t="str">
        <x:v>Tampere → Pori</x:v>
      </x:c>
      <x:c r="D8" s="28" t="str">
        <x:v>ADR</x:v>
      </x:c>
      <x:c r="E8" s="28" t="str">
        <x:v>Carrier C</x:v>
      </x:c>
      <x:c r="F8" s="28" t="n">
        <x:v>110</x:v>
      </x:c>
      <x:c r="G8" s="28" t="n">
        <x:v>25</x:v>
      </x:c>
      <x:c r="H8" s="67" t="n">
        <x:v>430</x:v>
      </x:c>
      <x:c r="I8" s="67" t="n">
        <x:v>330</x:v>
      </x:c>
      <x:c r="J8" s="68" t="n">
        <x:f>IF(A8="","",H8-I8)</x:f>
        <x:v>100</x:v>
      </x:c>
      <x:c r="K8" s="38" t="n">
        <x:f>IF(H8=0,"",J8/H8)</x:f>
        <x:v>0.23255813953488372</x:v>
      </x:c>
      <x:c r="L8" s="28" t="str">
        <x:v>Kyllä</x:v>
      </x:c>
      <x:c r="M8" s="28" t="str"/>
      <x:c r="N8" s="28" t="str"/>
    </x:row>
    <x:row r="9">
      <x:c r="A9" s="71"/>
      <x:c r="B9" s="28"/>
      <x:c r="C9" s="28"/>
      <x:c r="D9" s="28"/>
      <x:c r="E9" s="28"/>
      <x:c r="F9" s="28"/>
      <x:c r="G9" s="28"/>
      <x:c r="H9" s="67"/>
      <x:c r="I9" s="67"/>
      <x:c r="J9" s="68" t="str">
        <x:f>IF(A9="","",H9-I9)</x:f>
      </x:c>
      <x:c r="K9" s="38" t="str">
        <x:f>IF(H9=0,"",J9/H9)</x:f>
      </x:c>
      <x:c r="L9" s="28"/>
      <x:c r="M9" s="28"/>
      <x:c r="N9" s="28"/>
    </x:row>
    <x:row r="10">
      <x:c r="A10" s="71"/>
      <x:c r="B10" s="28"/>
      <x:c r="C10" s="28"/>
      <x:c r="D10" s="28"/>
      <x:c r="E10" s="28"/>
      <x:c r="F10" s="28"/>
      <x:c r="G10" s="28"/>
      <x:c r="H10" s="67"/>
      <x:c r="I10" s="67"/>
      <x:c r="J10" s="68" t="str">
        <x:f>IF(A10="","",H10-I10)</x:f>
      </x:c>
      <x:c r="K10" s="38" t="str">
        <x:f>IF(H10=0,"",J10/H10)</x:f>
      </x:c>
      <x:c r="L10" s="28"/>
      <x:c r="M10" s="28"/>
      <x:c r="N10" s="28"/>
    </x:row>
    <x:row r="11">
      <x:c r="A11" s="71"/>
      <x:c r="B11" s="28"/>
      <x:c r="C11" s="28"/>
      <x:c r="D11" s="28"/>
      <x:c r="E11" s="28"/>
      <x:c r="F11" s="28"/>
      <x:c r="G11" s="28"/>
      <x:c r="H11" s="67"/>
      <x:c r="I11" s="67"/>
      <x:c r="J11" s="68" t="str">
        <x:f>IF(A11="","",H11-I11)</x:f>
      </x:c>
      <x:c r="K11" s="38" t="str">
        <x:f>IF(H11=0,"",J11/H11)</x:f>
      </x:c>
      <x:c r="L11" s="28"/>
      <x:c r="M11" s="28"/>
      <x:c r="N11" s="28"/>
    </x:row>
    <x:row r="12">
      <x:c r="A12" s="71"/>
      <x:c r="B12" s="28"/>
      <x:c r="C12" s="28"/>
      <x:c r="D12" s="28"/>
      <x:c r="E12" s="28"/>
      <x:c r="F12" s="28"/>
      <x:c r="G12" s="28"/>
      <x:c r="H12" s="67"/>
      <x:c r="I12" s="67"/>
      <x:c r="J12" s="68" t="str">
        <x:f>IF(A12="","",H12-I12)</x:f>
      </x:c>
      <x:c r="K12" s="38" t="str">
        <x:f>IF(H12=0,"",J12/H12)</x:f>
      </x:c>
      <x:c r="L12" s="28"/>
      <x:c r="M12" s="28"/>
      <x:c r="N12" s="28"/>
    </x:row>
    <x:row r="13">
      <x:c r="A13" s="71"/>
      <x:c r="B13" s="28"/>
      <x:c r="C13" s="28"/>
      <x:c r="D13" s="28"/>
      <x:c r="E13" s="28"/>
      <x:c r="F13" s="28"/>
      <x:c r="G13" s="28"/>
      <x:c r="H13" s="67"/>
      <x:c r="I13" s="67"/>
      <x:c r="J13" s="68" t="str">
        <x:f>IF(A13="","",H13-I13)</x:f>
      </x:c>
      <x:c r="K13" s="38" t="str">
        <x:f>IF(H13=0,"",J13/H13)</x:f>
      </x:c>
      <x:c r="L13" s="28"/>
      <x:c r="M13" s="28"/>
      <x:c r="N13" s="28"/>
    </x:row>
    <x:row r="14">
      <x:c r="A14" s="71"/>
      <x:c r="B14" s="28"/>
      <x:c r="C14" s="28"/>
      <x:c r="D14" s="28"/>
      <x:c r="E14" s="28"/>
      <x:c r="F14" s="28"/>
      <x:c r="G14" s="28"/>
      <x:c r="H14" s="67"/>
      <x:c r="I14" s="67"/>
      <x:c r="J14" s="68" t="str">
        <x:f>IF(A14="","",H14-I14)</x:f>
      </x:c>
      <x:c r="K14" s="38" t="str">
        <x:f>IF(H14=0,"",J14/H14)</x:f>
      </x:c>
      <x:c r="L14" s="28"/>
      <x:c r="M14" s="28"/>
      <x:c r="N14" s="28"/>
    </x:row>
    <x:row r="15">
      <x:c r="A15" s="71"/>
      <x:c r="B15" s="28"/>
      <x:c r="C15" s="28"/>
      <x:c r="D15" s="28"/>
      <x:c r="E15" s="28"/>
      <x:c r="F15" s="28"/>
      <x:c r="G15" s="28"/>
      <x:c r="H15" s="67"/>
      <x:c r="I15" s="67"/>
      <x:c r="J15" s="68" t="str">
        <x:f>IF(A15="","",H15-I15)</x:f>
      </x:c>
      <x:c r="K15" s="38" t="str">
        <x:f>IF(H15=0,"",J15/H15)</x:f>
      </x:c>
      <x:c r="L15" s="28"/>
      <x:c r="M15" s="28"/>
      <x:c r="N15" s="28"/>
    </x:row>
    <x:row r="16">
      <x:c r="A16" s="71"/>
      <x:c r="B16" s="28"/>
      <x:c r="C16" s="28"/>
      <x:c r="D16" s="28"/>
      <x:c r="E16" s="28"/>
      <x:c r="F16" s="28"/>
      <x:c r="G16" s="28"/>
      <x:c r="H16" s="67"/>
      <x:c r="I16" s="67"/>
      <x:c r="J16" s="68" t="str">
        <x:f>IF(A16="","",H16-I16)</x:f>
      </x:c>
      <x:c r="K16" s="38" t="str">
        <x:f>IF(H16=0,"",J16/H16)</x:f>
      </x:c>
      <x:c r="L16" s="28"/>
      <x:c r="M16" s="28"/>
      <x:c r="N16" s="28"/>
    </x:row>
    <x:row r="17">
      <x:c r="A17" s="71"/>
      <x:c r="B17" s="28"/>
      <x:c r="C17" s="28"/>
      <x:c r="D17" s="28"/>
      <x:c r="E17" s="28"/>
      <x:c r="F17" s="28"/>
      <x:c r="G17" s="28"/>
      <x:c r="H17" s="67"/>
      <x:c r="I17" s="67"/>
      <x:c r="J17" s="68" t="str">
        <x:f>IF(A17="","",H17-I17)</x:f>
      </x:c>
      <x:c r="K17" s="38" t="str">
        <x:f>IF(H17=0,"",J17/H17)</x:f>
      </x:c>
      <x:c r="L17" s="28"/>
      <x:c r="M17" s="28"/>
      <x:c r="N17" s="28"/>
    </x:row>
    <x:row r="18">
      <x:c r="A18" s="71"/>
      <x:c r="B18" s="28"/>
      <x:c r="C18" s="28"/>
      <x:c r="D18" s="28"/>
      <x:c r="E18" s="28"/>
      <x:c r="F18" s="28"/>
      <x:c r="G18" s="28"/>
      <x:c r="H18" s="67"/>
      <x:c r="I18" s="67"/>
      <x:c r="J18" s="68" t="str">
        <x:f>IF(A18="","",H18-I18)</x:f>
      </x:c>
      <x:c r="K18" s="38" t="str">
        <x:f>IF(H18=0,"",J18/H18)</x:f>
      </x:c>
      <x:c r="L18" s="28"/>
      <x:c r="M18" s="28"/>
      <x:c r="N18" s="28"/>
    </x:row>
    <x:row r="19">
      <x:c r="A19" s="71"/>
      <x:c r="B19" s="28"/>
      <x:c r="C19" s="28"/>
      <x:c r="D19" s="28"/>
      <x:c r="E19" s="28"/>
      <x:c r="F19" s="28"/>
      <x:c r="G19" s="28"/>
      <x:c r="H19" s="67"/>
      <x:c r="I19" s="67"/>
      <x:c r="J19" s="68" t="str">
        <x:f>IF(A19="","",H19-I19)</x:f>
      </x:c>
      <x:c r="K19" s="38" t="str">
        <x:f>IF(H19=0,"",J19/H19)</x:f>
      </x:c>
      <x:c r="L19" s="28"/>
      <x:c r="M19" s="28"/>
      <x:c r="N19" s="28"/>
    </x:row>
    <x:row r="20">
      <x:c r="A20" s="71"/>
      <x:c r="B20" s="28"/>
      <x:c r="C20" s="28"/>
      <x:c r="D20" s="28"/>
      <x:c r="E20" s="28"/>
      <x:c r="F20" s="28"/>
      <x:c r="G20" s="28"/>
      <x:c r="H20" s="67"/>
      <x:c r="I20" s="67"/>
      <x:c r="J20" s="68" t="str">
        <x:f>IF(A20="","",H20-I20)</x:f>
      </x:c>
      <x:c r="K20" s="38" t="str">
        <x:f>IF(H20=0,"",J20/H20)</x:f>
      </x:c>
      <x:c r="L20" s="28"/>
      <x:c r="M20" s="28"/>
      <x:c r="N20" s="28"/>
    </x:row>
    <x:row r="21">
      <x:c r="A21" s="71"/>
      <x:c r="B21" s="28"/>
      <x:c r="C21" s="28"/>
      <x:c r="D21" s="28"/>
      <x:c r="E21" s="28"/>
      <x:c r="F21" s="28"/>
      <x:c r="G21" s="28"/>
      <x:c r="H21" s="67"/>
      <x:c r="I21" s="67"/>
      <x:c r="J21" s="68" t="str">
        <x:f>IF(A21="","",H21-I21)</x:f>
      </x:c>
      <x:c r="K21" s="38" t="str">
        <x:f>IF(H21=0,"",J21/H21)</x:f>
      </x:c>
      <x:c r="L21" s="28"/>
      <x:c r="M21" s="28"/>
      <x:c r="N21" s="28"/>
    </x:row>
    <x:row r="22">
      <x:c r="A22" s="71"/>
      <x:c r="B22" s="28"/>
      <x:c r="C22" s="28"/>
      <x:c r="D22" s="28"/>
      <x:c r="E22" s="28"/>
      <x:c r="F22" s="28"/>
      <x:c r="G22" s="28"/>
      <x:c r="H22" s="67"/>
      <x:c r="I22" s="67"/>
      <x:c r="J22" s="68" t="str">
        <x:f>IF(A22="","",H22-I22)</x:f>
      </x:c>
      <x:c r="K22" s="38" t="str">
        <x:f>IF(H22=0,"",J22/H22)</x:f>
      </x:c>
      <x:c r="L22" s="28"/>
      <x:c r="M22" s="28"/>
      <x:c r="N22" s="28"/>
    </x:row>
    <x:row r="23">
      <x:c r="A23" s="71"/>
      <x:c r="B23" s="28"/>
      <x:c r="C23" s="28"/>
      <x:c r="D23" s="28"/>
      <x:c r="E23" s="28"/>
      <x:c r="F23" s="28"/>
      <x:c r="G23" s="28"/>
      <x:c r="H23" s="67"/>
      <x:c r="I23" s="67"/>
      <x:c r="J23" s="68" t="str">
        <x:f>IF(A23="","",H23-I23)</x:f>
      </x:c>
      <x:c r="K23" s="38" t="str">
        <x:f>IF(H23=0,"",J23/H23)</x:f>
      </x:c>
      <x:c r="L23" s="28"/>
      <x:c r="M23" s="28"/>
      <x:c r="N23" s="28"/>
    </x:row>
    <x:row r="24">
      <x:c r="A24" s="71"/>
      <x:c r="B24" s="28"/>
      <x:c r="C24" s="28"/>
      <x:c r="D24" s="28"/>
      <x:c r="E24" s="28"/>
      <x:c r="F24" s="28"/>
      <x:c r="G24" s="28"/>
      <x:c r="H24" s="67"/>
      <x:c r="I24" s="67"/>
      <x:c r="J24" s="68" t="str">
        <x:f>IF(A24="","",H24-I24)</x:f>
      </x:c>
      <x:c r="K24" s="38" t="str">
        <x:f>IF(H24=0,"",J24/H24)</x:f>
      </x:c>
      <x:c r="L24" s="28"/>
      <x:c r="M24" s="28"/>
      <x:c r="N24" s="28"/>
    </x:row>
    <x:row r="25">
      <x:c r="A25" s="71"/>
      <x:c r="B25" s="28"/>
      <x:c r="C25" s="28"/>
      <x:c r="D25" s="28"/>
      <x:c r="E25" s="28"/>
      <x:c r="F25" s="28"/>
      <x:c r="G25" s="28"/>
      <x:c r="H25" s="67"/>
      <x:c r="I25" s="67"/>
      <x:c r="J25" s="68" t="str">
        <x:f>IF(A25="","",H25-I25)</x:f>
      </x:c>
      <x:c r="K25" s="38" t="str">
        <x:f>IF(H25=0,"",J25/H25)</x:f>
      </x:c>
      <x:c r="L25" s="28"/>
      <x:c r="M25" s="28"/>
      <x:c r="N25" s="28"/>
    </x:row>
    <x:row r="26">
      <x:c r="A26" s="71"/>
      <x:c r="B26" s="28"/>
      <x:c r="C26" s="28"/>
      <x:c r="D26" s="28"/>
      <x:c r="E26" s="28"/>
      <x:c r="F26" s="28"/>
      <x:c r="G26" s="28"/>
      <x:c r="H26" s="67"/>
      <x:c r="I26" s="67"/>
      <x:c r="J26" s="68" t="str">
        <x:f>IF(A26="","",H26-I26)</x:f>
      </x:c>
      <x:c r="K26" s="38" t="str">
        <x:f>IF(H26=0,"",J26/H26)</x:f>
      </x:c>
      <x:c r="L26" s="28"/>
      <x:c r="M26" s="28"/>
      <x:c r="N26" s="28"/>
    </x:row>
    <x:row r="27">
      <x:c r="A27" s="71"/>
      <x:c r="B27" s="28"/>
      <x:c r="C27" s="28"/>
      <x:c r="D27" s="28"/>
      <x:c r="E27" s="28"/>
      <x:c r="F27" s="28"/>
      <x:c r="G27" s="28"/>
      <x:c r="H27" s="67"/>
      <x:c r="I27" s="67"/>
      <x:c r="J27" s="68" t="str">
        <x:f>IF(A27="","",H27-I27)</x:f>
      </x:c>
      <x:c r="K27" s="38" t="str">
        <x:f>IF(H27=0,"",J27/H27)</x:f>
      </x:c>
      <x:c r="L27" s="28"/>
      <x:c r="M27" s="28"/>
      <x:c r="N27" s="28"/>
    </x:row>
    <x:row r="28">
      <x:c r="A28" s="71"/>
      <x:c r="B28" s="28"/>
      <x:c r="C28" s="28"/>
      <x:c r="D28" s="28"/>
      <x:c r="E28" s="28"/>
      <x:c r="F28" s="28"/>
      <x:c r="G28" s="28"/>
      <x:c r="H28" s="67"/>
      <x:c r="I28" s="67"/>
      <x:c r="J28" s="68" t="str">
        <x:f>IF(A28="","",H28-I28)</x:f>
      </x:c>
      <x:c r="K28" s="38" t="str">
        <x:f>IF(H28=0,"",J28/H28)</x:f>
      </x:c>
      <x:c r="L28" s="28"/>
      <x:c r="M28" s="28"/>
      <x:c r="N28" s="28"/>
    </x:row>
    <x:row r="29">
      <x:c r="A29" s="71"/>
      <x:c r="B29" s="28"/>
      <x:c r="C29" s="28"/>
      <x:c r="D29" s="28"/>
      <x:c r="E29" s="28"/>
      <x:c r="F29" s="28"/>
      <x:c r="G29" s="28"/>
      <x:c r="H29" s="67"/>
      <x:c r="I29" s="67"/>
      <x:c r="J29" s="68" t="str">
        <x:f>IF(A29="","",H29-I29)</x:f>
      </x:c>
      <x:c r="K29" s="38" t="str">
        <x:f>IF(H29=0,"",J29/H29)</x:f>
      </x:c>
      <x:c r="L29" s="28"/>
      <x:c r="M29" s="28"/>
      <x:c r="N29" s="28"/>
    </x:row>
    <x:row r="30">
      <x:c r="A30" s="71"/>
      <x:c r="B30" s="28"/>
      <x:c r="C30" s="28"/>
      <x:c r="D30" s="28"/>
      <x:c r="E30" s="28"/>
      <x:c r="F30" s="28"/>
      <x:c r="G30" s="28"/>
      <x:c r="H30" s="67"/>
      <x:c r="I30" s="67"/>
      <x:c r="J30" s="68" t="str">
        <x:f>IF(A30="","",H30-I30)</x:f>
      </x:c>
      <x:c r="K30" s="38" t="str">
        <x:f>IF(H30=0,"",J30/H30)</x:f>
      </x:c>
      <x:c r="L30" s="28"/>
      <x:c r="M30" s="28"/>
      <x:c r="N30" s="28"/>
    </x:row>
    <x:row r="31">
      <x:c r="A31" s="71"/>
      <x:c r="B31" s="28"/>
      <x:c r="C31" s="28"/>
      <x:c r="D31" s="28"/>
      <x:c r="E31" s="28"/>
      <x:c r="F31" s="28"/>
      <x:c r="G31" s="28"/>
      <x:c r="H31" s="67"/>
      <x:c r="I31" s="67"/>
      <x:c r="J31" s="68" t="str">
        <x:f>IF(A31="","",H31-I31)</x:f>
      </x:c>
      <x:c r="K31" s="38" t="str">
        <x:f>IF(H31=0,"",J31/H31)</x:f>
      </x:c>
      <x:c r="L31" s="28"/>
      <x:c r="M31" s="28"/>
      <x:c r="N31" s="28"/>
    </x:row>
    <x:row r="32">
      <x:c r="A32" s="71"/>
      <x:c r="B32" s="28"/>
      <x:c r="C32" s="28"/>
      <x:c r="D32" s="28"/>
      <x:c r="E32" s="28"/>
      <x:c r="F32" s="28"/>
      <x:c r="G32" s="28"/>
      <x:c r="H32" s="67"/>
      <x:c r="I32" s="67"/>
      <x:c r="J32" s="68" t="str">
        <x:f>IF(A32="","",H32-I32)</x:f>
      </x:c>
      <x:c r="K32" s="38" t="str">
        <x:f>IF(H32=0,"",J32/H32)</x:f>
      </x:c>
      <x:c r="L32" s="28"/>
      <x:c r="M32" s="28"/>
      <x:c r="N32" s="28"/>
    </x:row>
    <x:row r="33">
      <x:c r="A33" s="71"/>
      <x:c r="B33" s="28"/>
      <x:c r="C33" s="28"/>
      <x:c r="D33" s="28"/>
      <x:c r="E33" s="28"/>
      <x:c r="F33" s="28"/>
      <x:c r="G33" s="28"/>
      <x:c r="H33" s="67"/>
      <x:c r="I33" s="67"/>
      <x:c r="J33" s="68" t="str">
        <x:f>IF(A33="","",H33-I33)</x:f>
      </x:c>
      <x:c r="K33" s="38" t="str">
        <x:f>IF(H33=0,"",J33/H33)</x:f>
      </x:c>
      <x:c r="L33" s="28"/>
      <x:c r="M33" s="28"/>
      <x:c r="N33" s="28"/>
    </x:row>
    <x:row r="34">
      <x:c r="A34" s="71"/>
      <x:c r="B34" s="28"/>
      <x:c r="C34" s="28"/>
      <x:c r="D34" s="28"/>
      <x:c r="E34" s="28"/>
      <x:c r="F34" s="28"/>
      <x:c r="G34" s="28"/>
      <x:c r="H34" s="67"/>
      <x:c r="I34" s="67"/>
      <x:c r="J34" s="68" t="str">
        <x:f>IF(A34="","",H34-I34)</x:f>
      </x:c>
      <x:c r="K34" s="38" t="str">
        <x:f>IF(H34=0,"",J34/H34)</x:f>
      </x:c>
      <x:c r="L34" s="28"/>
      <x:c r="M34" s="28"/>
      <x:c r="N34" s="28"/>
    </x:row>
    <x:row r="35">
      <x:c r="A35" s="71"/>
      <x:c r="B35" s="28"/>
      <x:c r="C35" s="28"/>
      <x:c r="D35" s="28"/>
      <x:c r="E35" s="28"/>
      <x:c r="F35" s="28"/>
      <x:c r="G35" s="28"/>
      <x:c r="H35" s="67"/>
      <x:c r="I35" s="67"/>
      <x:c r="J35" s="68" t="str">
        <x:f>IF(A35="","",H35-I35)</x:f>
      </x:c>
      <x:c r="K35" s="38" t="str">
        <x:f>IF(H35=0,"",J35/H35)</x:f>
      </x:c>
      <x:c r="L35" s="28"/>
      <x:c r="M35" s="28"/>
      <x:c r="N35" s="28"/>
    </x:row>
    <x:row r="36">
      <x:c r="A36" s="71"/>
      <x:c r="B36" s="28"/>
      <x:c r="C36" s="28"/>
      <x:c r="D36" s="28"/>
      <x:c r="E36" s="28"/>
      <x:c r="F36" s="28"/>
      <x:c r="G36" s="28"/>
      <x:c r="H36" s="67"/>
      <x:c r="I36" s="67"/>
      <x:c r="J36" s="68" t="str">
        <x:f>IF(A36="","",H36-I36)</x:f>
      </x:c>
      <x:c r="K36" s="38" t="str">
        <x:f>IF(H36=0,"",J36/H36)</x:f>
      </x:c>
      <x:c r="L36" s="28"/>
      <x:c r="M36" s="28"/>
      <x:c r="N36" s="28"/>
    </x:row>
    <x:row r="37">
      <x:c r="A37" s="71"/>
      <x:c r="B37" s="28"/>
      <x:c r="C37" s="28"/>
      <x:c r="D37" s="28"/>
      <x:c r="E37" s="28"/>
      <x:c r="F37" s="28"/>
      <x:c r="G37" s="28"/>
      <x:c r="H37" s="67"/>
      <x:c r="I37" s="67"/>
      <x:c r="J37" s="68" t="str">
        <x:f>IF(A37="","",H37-I37)</x:f>
      </x:c>
      <x:c r="K37" s="38" t="str">
        <x:f>IF(H37=0,"",J37/H37)</x:f>
      </x:c>
      <x:c r="L37" s="28"/>
      <x:c r="M37" s="28"/>
      <x:c r="N37" s="28"/>
    </x:row>
    <x:row r="38">
      <x:c r="A38" s="71"/>
      <x:c r="B38" s="28"/>
      <x:c r="C38" s="28"/>
      <x:c r="D38" s="28"/>
      <x:c r="E38" s="28"/>
      <x:c r="F38" s="28"/>
      <x:c r="G38" s="28"/>
      <x:c r="H38" s="67"/>
      <x:c r="I38" s="67"/>
      <x:c r="J38" s="68" t="str">
        <x:f>IF(A38="","",H38-I38)</x:f>
      </x:c>
      <x:c r="K38" s="38" t="str">
        <x:f>IF(H38=0,"",J38/H38)</x:f>
      </x:c>
      <x:c r="L38" s="28"/>
      <x:c r="M38" s="28"/>
      <x:c r="N38" s="28"/>
    </x:row>
    <x:row r="39">
      <x:c r="A39" s="71"/>
      <x:c r="B39" s="28"/>
      <x:c r="C39" s="28"/>
      <x:c r="D39" s="28"/>
      <x:c r="E39" s="28"/>
      <x:c r="F39" s="28"/>
      <x:c r="G39" s="28"/>
      <x:c r="H39" s="67"/>
      <x:c r="I39" s="67"/>
      <x:c r="J39" s="68" t="str">
        <x:f>IF(A39="","",H39-I39)</x:f>
      </x:c>
      <x:c r="K39" s="38" t="str">
        <x:f>IF(H39=0,"",J39/H39)</x:f>
      </x:c>
      <x:c r="L39" s="28"/>
      <x:c r="M39" s="28"/>
      <x:c r="N39" s="28"/>
    </x:row>
    <x:row r="40">
      <x:c r="A40" s="71"/>
      <x:c r="B40" s="28"/>
      <x:c r="C40" s="28"/>
      <x:c r="D40" s="28"/>
      <x:c r="E40" s="28"/>
      <x:c r="F40" s="28"/>
      <x:c r="G40" s="28"/>
      <x:c r="H40" s="67"/>
      <x:c r="I40" s="67"/>
      <x:c r="J40" s="68" t="str">
        <x:f>IF(A40="","",H40-I40)</x:f>
      </x:c>
      <x:c r="K40" s="38" t="str">
        <x:f>IF(H40=0,"",J40/H40)</x:f>
      </x:c>
      <x:c r="L40" s="28"/>
      <x:c r="M40" s="28"/>
      <x:c r="N40" s="28"/>
    </x:row>
    <x:row r="41">
      <x:c r="A41" s="71"/>
      <x:c r="B41" s="28"/>
      <x:c r="C41" s="28"/>
      <x:c r="D41" s="28"/>
      <x:c r="E41" s="28"/>
      <x:c r="F41" s="28"/>
      <x:c r="G41" s="28"/>
      <x:c r="H41" s="67"/>
      <x:c r="I41" s="67"/>
      <x:c r="J41" s="68" t="str">
        <x:f>IF(A41="","",H41-I41)</x:f>
      </x:c>
      <x:c r="K41" s="38" t="str">
        <x:f>IF(H41=0,"",J41/H41)</x:f>
      </x:c>
      <x:c r="L41" s="28"/>
      <x:c r="M41" s="28"/>
      <x:c r="N41" s="28"/>
    </x:row>
    <x:row r="42">
      <x:c r="A42" s="71"/>
      <x:c r="B42" s="28"/>
      <x:c r="C42" s="28"/>
      <x:c r="D42" s="28"/>
      <x:c r="E42" s="28"/>
      <x:c r="F42" s="28"/>
      <x:c r="G42" s="28"/>
      <x:c r="H42" s="67"/>
      <x:c r="I42" s="67"/>
      <x:c r="J42" s="68" t="str">
        <x:f>IF(A42="","",H42-I42)</x:f>
      </x:c>
      <x:c r="K42" s="38" t="str">
        <x:f>IF(H42=0,"",J42/H42)</x:f>
      </x:c>
      <x:c r="L42" s="28"/>
      <x:c r="M42" s="28"/>
      <x:c r="N42" s="28"/>
    </x:row>
    <x:row r="43">
      <x:c r="A43" s="71"/>
      <x:c r="B43" s="28"/>
      <x:c r="C43" s="28"/>
      <x:c r="D43" s="28"/>
      <x:c r="E43" s="28"/>
      <x:c r="F43" s="28"/>
      <x:c r="G43" s="28"/>
      <x:c r="H43" s="67"/>
      <x:c r="I43" s="67"/>
      <x:c r="J43" s="68" t="str">
        <x:f>IF(A43="","",H43-I43)</x:f>
      </x:c>
      <x:c r="K43" s="38" t="str">
        <x:f>IF(H43=0,"",J43/H43)</x:f>
      </x:c>
      <x:c r="L43" s="28"/>
      <x:c r="M43" s="28"/>
      <x:c r="N43" s="28"/>
    </x:row>
    <x:row r="44">
      <x:c r="A44" s="71"/>
      <x:c r="B44" s="28"/>
      <x:c r="C44" s="28"/>
      <x:c r="D44" s="28"/>
      <x:c r="E44" s="28"/>
      <x:c r="F44" s="28"/>
      <x:c r="G44" s="28"/>
      <x:c r="H44" s="67"/>
      <x:c r="I44" s="67"/>
      <x:c r="J44" s="68" t="str">
        <x:f>IF(A44="","",H44-I44)</x:f>
      </x:c>
      <x:c r="K44" s="38" t="str">
        <x:f>IF(H44=0,"",J44/H44)</x:f>
      </x:c>
      <x:c r="L44" s="28"/>
      <x:c r="M44" s="28"/>
      <x:c r="N44" s="28"/>
    </x:row>
    <x:row r="45">
      <x:c r="A45" s="71"/>
      <x:c r="B45" s="28"/>
      <x:c r="C45" s="28"/>
      <x:c r="D45" s="28"/>
      <x:c r="E45" s="28"/>
      <x:c r="F45" s="28"/>
      <x:c r="G45" s="28"/>
      <x:c r="H45" s="67"/>
      <x:c r="I45" s="67"/>
      <x:c r="J45" s="68" t="str">
        <x:f>IF(A45="","",H45-I45)</x:f>
      </x:c>
      <x:c r="K45" s="38" t="str">
        <x:f>IF(H45=0,"",J45/H45)</x:f>
      </x:c>
      <x:c r="L45" s="28"/>
      <x:c r="M45" s="28"/>
      <x:c r="N45" s="28"/>
    </x:row>
    <x:row r="46">
      <x:c r="A46" s="71"/>
      <x:c r="B46" s="28"/>
      <x:c r="C46" s="28"/>
      <x:c r="D46" s="28"/>
      <x:c r="E46" s="28"/>
      <x:c r="F46" s="28"/>
      <x:c r="G46" s="28"/>
      <x:c r="H46" s="67"/>
      <x:c r="I46" s="67"/>
      <x:c r="J46" s="68" t="str">
        <x:f>IF(A46="","",H46-I46)</x:f>
      </x:c>
      <x:c r="K46" s="38" t="str">
        <x:f>IF(H46=0,"",J46/H46)</x:f>
      </x:c>
      <x:c r="L46" s="28"/>
      <x:c r="M46" s="28"/>
      <x:c r="N46" s="28"/>
    </x:row>
    <x:row r="47">
      <x:c r="A47" s="71"/>
      <x:c r="B47" s="28"/>
      <x:c r="C47" s="28"/>
      <x:c r="D47" s="28"/>
      <x:c r="E47" s="28"/>
      <x:c r="F47" s="28"/>
      <x:c r="G47" s="28"/>
      <x:c r="H47" s="67"/>
      <x:c r="I47" s="67"/>
      <x:c r="J47" s="68" t="str">
        <x:f>IF(A47="","",H47-I47)</x:f>
      </x:c>
      <x:c r="K47" s="38" t="str">
        <x:f>IF(H47=0,"",J47/H47)</x:f>
      </x:c>
      <x:c r="L47" s="28"/>
      <x:c r="M47" s="28"/>
      <x:c r="N47" s="28"/>
    </x:row>
    <x:row r="48">
      <x:c r="A48" s="71"/>
      <x:c r="B48" s="28"/>
      <x:c r="C48" s="28"/>
      <x:c r="D48" s="28"/>
      <x:c r="E48" s="28"/>
      <x:c r="F48" s="28"/>
      <x:c r="G48" s="28"/>
      <x:c r="H48" s="67"/>
      <x:c r="I48" s="67"/>
      <x:c r="J48" s="68" t="str">
        <x:f>IF(A48="","",H48-I48)</x:f>
      </x:c>
      <x:c r="K48" s="38" t="str">
        <x:f>IF(H48=0,"",J48/H48)</x:f>
      </x:c>
      <x:c r="L48" s="28"/>
      <x:c r="M48" s="28"/>
      <x:c r="N48" s="28"/>
    </x:row>
    <x:row r="49">
      <x:c r="A49" s="71"/>
      <x:c r="B49" s="28"/>
      <x:c r="C49" s="28"/>
      <x:c r="D49" s="28"/>
      <x:c r="E49" s="28"/>
      <x:c r="F49" s="28"/>
      <x:c r="G49" s="28"/>
      <x:c r="H49" s="67"/>
      <x:c r="I49" s="67"/>
      <x:c r="J49" s="68" t="str">
        <x:f>IF(A49="","",H49-I49)</x:f>
      </x:c>
      <x:c r="K49" s="38" t="str">
        <x:f>IF(H49=0,"",J49/H49)</x:f>
      </x:c>
      <x:c r="L49" s="28"/>
      <x:c r="M49" s="28"/>
      <x:c r="N49" s="28"/>
    </x:row>
    <x:row r="50">
      <x:c r="A50" s="71"/>
      <x:c r="B50" s="28"/>
      <x:c r="C50" s="28"/>
      <x:c r="D50" s="28"/>
      <x:c r="E50" s="28"/>
      <x:c r="F50" s="28"/>
      <x:c r="G50" s="28"/>
      <x:c r="H50" s="67"/>
      <x:c r="I50" s="67"/>
      <x:c r="J50" s="68" t="str">
        <x:f>IF(A50="","",H50-I50)</x:f>
      </x:c>
      <x:c r="K50" s="38" t="str">
        <x:f>IF(H50=0,"",J50/H50)</x:f>
      </x:c>
      <x:c r="L50" s="28"/>
      <x:c r="M50" s="28"/>
      <x:c r="N50" s="28"/>
    </x:row>
    <x:row r="51">
      <x:c r="A51" s="71"/>
      <x:c r="B51" s="28"/>
      <x:c r="C51" s="28"/>
      <x:c r="D51" s="28"/>
      <x:c r="E51" s="28"/>
      <x:c r="F51" s="28"/>
      <x:c r="G51" s="28"/>
      <x:c r="H51" s="67"/>
      <x:c r="I51" s="67"/>
      <x:c r="J51" s="68" t="str">
        <x:f>IF(A51="","",H51-I51)</x:f>
      </x:c>
      <x:c r="K51" s="38" t="str">
        <x:f>IF(H51=0,"",J51/H51)</x:f>
      </x:c>
      <x:c r="L51" s="28"/>
      <x:c r="M51" s="28"/>
      <x:c r="N51" s="28"/>
    </x:row>
    <x:row r="52">
      <x:c r="A52" s="71"/>
      <x:c r="B52" s="28"/>
      <x:c r="C52" s="28"/>
      <x:c r="D52" s="28"/>
      <x:c r="E52" s="28"/>
      <x:c r="F52" s="28"/>
      <x:c r="G52" s="28"/>
      <x:c r="H52" s="67"/>
      <x:c r="I52" s="67"/>
      <x:c r="J52" s="68" t="str">
        <x:f>IF(A52="","",H52-I52)</x:f>
      </x:c>
      <x:c r="K52" s="38" t="str">
        <x:f>IF(H52=0,"",J52/H52)</x:f>
      </x:c>
      <x:c r="L52" s="28"/>
      <x:c r="M52" s="28"/>
      <x:c r="N52" s="28"/>
    </x:row>
    <x:row r="53">
      <x:c r="A53" s="71"/>
      <x:c r="B53" s="28"/>
      <x:c r="C53" s="28"/>
      <x:c r="D53" s="28"/>
      <x:c r="E53" s="28"/>
      <x:c r="F53" s="28"/>
      <x:c r="G53" s="28"/>
      <x:c r="H53" s="67"/>
      <x:c r="I53" s="67"/>
      <x:c r="J53" s="68" t="str">
        <x:f>IF(A53="","",H53-I53)</x:f>
      </x:c>
      <x:c r="K53" s="38" t="str">
        <x:f>IF(H53=0,"",J53/H53)</x:f>
      </x:c>
      <x:c r="L53" s="28"/>
      <x:c r="M53" s="28"/>
      <x:c r="N53" s="28"/>
    </x:row>
    <x:row r="54">
      <x:c r="A54" s="71"/>
      <x:c r="B54" s="28"/>
      <x:c r="C54" s="28"/>
      <x:c r="D54" s="28"/>
      <x:c r="E54" s="28"/>
      <x:c r="F54" s="28"/>
      <x:c r="G54" s="28"/>
      <x:c r="H54" s="67"/>
      <x:c r="I54" s="67"/>
      <x:c r="J54" s="68" t="str">
        <x:f>IF(A54="","",H54-I54)</x:f>
      </x:c>
      <x:c r="K54" s="38" t="str">
        <x:f>IF(H54=0,"",J54/H54)</x:f>
      </x:c>
      <x:c r="L54" s="28"/>
      <x:c r="M54" s="28"/>
      <x:c r="N54" s="28"/>
    </x:row>
    <x:row r="55">
      <x:c r="A55" s="71"/>
      <x:c r="B55" s="28"/>
      <x:c r="C55" s="28"/>
      <x:c r="D55" s="28"/>
      <x:c r="E55" s="28"/>
      <x:c r="F55" s="28"/>
      <x:c r="G55" s="28"/>
      <x:c r="H55" s="67"/>
      <x:c r="I55" s="67"/>
      <x:c r="J55" s="68" t="str">
        <x:f>IF(A55="","",H55-I55)</x:f>
      </x:c>
      <x:c r="K55" s="38" t="str">
        <x:f>IF(H55=0,"",J55/H55)</x:f>
      </x:c>
      <x:c r="L55" s="28"/>
      <x:c r="M55" s="28"/>
      <x:c r="N55" s="28"/>
    </x:row>
    <x:row r="56">
      <x:c r="A56" s="71"/>
      <x:c r="B56" s="28"/>
      <x:c r="C56" s="28"/>
      <x:c r="D56" s="28"/>
      <x:c r="E56" s="28"/>
      <x:c r="F56" s="28"/>
      <x:c r="G56" s="28"/>
      <x:c r="H56" s="67"/>
      <x:c r="I56" s="67"/>
      <x:c r="J56" s="68" t="str">
        <x:f>IF(A56="","",H56-I56)</x:f>
      </x:c>
      <x:c r="K56" s="38" t="str">
        <x:f>IF(H56=0,"",J56/H56)</x:f>
      </x:c>
      <x:c r="L56" s="28"/>
      <x:c r="M56" s="28"/>
      <x:c r="N56" s="28"/>
    </x:row>
    <x:row r="57">
      <x:c r="A57" s="71"/>
      <x:c r="B57" s="28"/>
      <x:c r="C57" s="28"/>
      <x:c r="D57" s="28"/>
      <x:c r="E57" s="28"/>
      <x:c r="F57" s="28"/>
      <x:c r="G57" s="28"/>
      <x:c r="H57" s="67"/>
      <x:c r="I57" s="67"/>
      <x:c r="J57" s="68" t="str">
        <x:f>IF(A57="","",H57-I57)</x:f>
      </x:c>
      <x:c r="K57" s="38" t="str">
        <x:f>IF(H57=0,"",J57/H57)</x:f>
      </x:c>
      <x:c r="L57" s="28"/>
      <x:c r="M57" s="28"/>
      <x:c r="N57" s="28"/>
    </x:row>
    <x:row r="58">
      <x:c r="A58" s="71"/>
      <x:c r="B58" s="28"/>
      <x:c r="C58" s="28"/>
      <x:c r="D58" s="28"/>
      <x:c r="E58" s="28"/>
      <x:c r="F58" s="28"/>
      <x:c r="G58" s="28"/>
      <x:c r="H58" s="67"/>
      <x:c r="I58" s="67"/>
      <x:c r="J58" s="68" t="str">
        <x:f>IF(A58="","",H58-I58)</x:f>
      </x:c>
      <x:c r="K58" s="38" t="str">
        <x:f>IF(H58=0,"",J58/H58)</x:f>
      </x:c>
      <x:c r="L58" s="28"/>
      <x:c r="M58" s="28"/>
      <x:c r="N58" s="28"/>
    </x:row>
    <x:row r="59">
      <x:c r="A59" s="71"/>
      <x:c r="B59" s="28"/>
      <x:c r="C59" s="28"/>
      <x:c r="D59" s="28"/>
      <x:c r="E59" s="28"/>
      <x:c r="F59" s="28"/>
      <x:c r="G59" s="28"/>
      <x:c r="H59" s="67"/>
      <x:c r="I59" s="67"/>
      <x:c r="J59" s="68" t="str">
        <x:f>IF(A59="","",H59-I59)</x:f>
      </x:c>
      <x:c r="K59" s="38" t="str">
        <x:f>IF(H59=0,"",J59/H59)</x:f>
      </x:c>
      <x:c r="L59" s="28"/>
      <x:c r="M59" s="28"/>
      <x:c r="N59" s="28"/>
    </x:row>
    <x:row r="60">
      <x:c r="A60" s="71"/>
      <x:c r="B60" s="28"/>
      <x:c r="C60" s="28"/>
      <x:c r="D60" s="28"/>
      <x:c r="E60" s="28"/>
      <x:c r="F60" s="28"/>
      <x:c r="G60" s="28"/>
      <x:c r="H60" s="67"/>
      <x:c r="I60" s="67"/>
      <x:c r="J60" s="68" t="str">
        <x:f>IF(A60="","",H60-I60)</x:f>
      </x:c>
      <x:c r="K60" s="38" t="str">
        <x:f>IF(H60=0,"",J60/H60)</x:f>
      </x:c>
      <x:c r="L60" s="28"/>
      <x:c r="M60" s="28"/>
      <x:c r="N60" s="28"/>
    </x:row>
    <x:row r="61">
      <x:c r="A61" s="71"/>
      <x:c r="B61" s="28"/>
      <x:c r="C61" s="28"/>
      <x:c r="D61" s="28"/>
      <x:c r="E61" s="28"/>
      <x:c r="F61" s="28"/>
      <x:c r="G61" s="28"/>
      <x:c r="H61" s="67"/>
      <x:c r="I61" s="67"/>
      <x:c r="J61" s="68" t="str">
        <x:f>IF(A61="","",H61-I61)</x:f>
      </x:c>
      <x:c r="K61" s="38" t="str">
        <x:f>IF(H61=0,"",J61/H61)</x:f>
      </x:c>
      <x:c r="L61" s="28"/>
      <x:c r="M61" s="28"/>
      <x:c r="N61" s="28"/>
    </x:row>
    <x:row r="62">
      <x:c r="A62" s="71"/>
      <x:c r="B62" s="28"/>
      <x:c r="C62" s="28"/>
      <x:c r="D62" s="28"/>
      <x:c r="E62" s="28"/>
      <x:c r="F62" s="28"/>
      <x:c r="G62" s="28"/>
      <x:c r="H62" s="67"/>
      <x:c r="I62" s="67"/>
      <x:c r="J62" s="68" t="str">
        <x:f>IF(A62="","",H62-I62)</x:f>
      </x:c>
      <x:c r="K62" s="38" t="str">
        <x:f>IF(H62=0,"",J62/H62)</x:f>
      </x:c>
      <x:c r="L62" s="28"/>
      <x:c r="M62" s="28"/>
      <x:c r="N62" s="28"/>
    </x:row>
    <x:row r="63">
      <x:c r="A63" s="71"/>
      <x:c r="B63" s="28"/>
      <x:c r="C63" s="28"/>
      <x:c r="D63" s="28"/>
      <x:c r="E63" s="28"/>
      <x:c r="F63" s="28"/>
      <x:c r="G63" s="28"/>
      <x:c r="H63" s="67"/>
      <x:c r="I63" s="67"/>
      <x:c r="J63" s="68" t="str">
        <x:f>IF(A63="","",H63-I63)</x:f>
      </x:c>
      <x:c r="K63" s="38" t="str">
        <x:f>IF(H63=0,"",J63/H63)</x:f>
      </x:c>
      <x:c r="L63" s="28"/>
      <x:c r="M63" s="28"/>
      <x:c r="N63" s="28"/>
    </x:row>
    <x:row r="64">
      <x:c r="A64" s="71"/>
      <x:c r="B64" s="28"/>
      <x:c r="C64" s="28"/>
      <x:c r="D64" s="28"/>
      <x:c r="E64" s="28"/>
      <x:c r="F64" s="28"/>
      <x:c r="G64" s="28"/>
      <x:c r="H64" s="67"/>
      <x:c r="I64" s="67"/>
      <x:c r="J64" s="68" t="str">
        <x:f>IF(A64="","",H64-I64)</x:f>
      </x:c>
      <x:c r="K64" s="38" t="str">
        <x:f>IF(H64=0,"",J64/H64)</x:f>
      </x:c>
      <x:c r="L64" s="28"/>
      <x:c r="M64" s="28"/>
      <x:c r="N64" s="28"/>
    </x:row>
    <x:row r="65">
      <x:c r="A65" s="71"/>
      <x:c r="B65" s="28"/>
      <x:c r="C65" s="28"/>
      <x:c r="D65" s="28"/>
      <x:c r="E65" s="28"/>
      <x:c r="F65" s="28"/>
      <x:c r="G65" s="28"/>
      <x:c r="H65" s="67"/>
      <x:c r="I65" s="67"/>
      <x:c r="J65" s="68" t="str">
        <x:f>IF(A65="","",H65-I65)</x:f>
      </x:c>
      <x:c r="K65" s="38" t="str">
        <x:f>IF(H65=0,"",J65/H65)</x:f>
      </x:c>
      <x:c r="L65" s="28"/>
      <x:c r="M65" s="28"/>
      <x:c r="N65" s="28"/>
    </x:row>
    <x:row r="66">
      <x:c r="A66" s="71"/>
      <x:c r="B66" s="28"/>
      <x:c r="C66" s="28"/>
      <x:c r="D66" s="28"/>
      <x:c r="E66" s="28"/>
      <x:c r="F66" s="28"/>
      <x:c r="G66" s="28"/>
      <x:c r="H66" s="67"/>
      <x:c r="I66" s="67"/>
      <x:c r="J66" s="68" t="str">
        <x:f>IF(A66="","",H66-I66)</x:f>
      </x:c>
      <x:c r="K66" s="38" t="str">
        <x:f>IF(H66=0,"",J66/H66)</x:f>
      </x:c>
      <x:c r="L66" s="28"/>
      <x:c r="M66" s="28"/>
      <x:c r="N66" s="28"/>
    </x:row>
    <x:row r="67">
      <x:c r="A67" s="71"/>
      <x:c r="B67" s="28"/>
      <x:c r="C67" s="28"/>
      <x:c r="D67" s="28"/>
      <x:c r="E67" s="28"/>
      <x:c r="F67" s="28"/>
      <x:c r="G67" s="28"/>
      <x:c r="H67" s="67"/>
      <x:c r="I67" s="67"/>
      <x:c r="J67" s="68" t="str">
        <x:f>IF(A67="","",H67-I67)</x:f>
      </x:c>
      <x:c r="K67" s="38" t="str">
        <x:f>IF(H67=0,"",J67/H67)</x:f>
      </x:c>
      <x:c r="L67" s="28"/>
      <x:c r="M67" s="28"/>
      <x:c r="N67" s="28"/>
    </x:row>
    <x:row r="68">
      <x:c r="A68" s="71"/>
      <x:c r="B68" s="28"/>
      <x:c r="C68" s="28"/>
      <x:c r="D68" s="28"/>
      <x:c r="E68" s="28"/>
      <x:c r="F68" s="28"/>
      <x:c r="G68" s="28"/>
      <x:c r="H68" s="67"/>
      <x:c r="I68" s="67"/>
      <x:c r="J68" s="68" t="str">
        <x:f>IF(A68="","",H68-I68)</x:f>
      </x:c>
      <x:c r="K68" s="38" t="str">
        <x:f>IF(H68=0,"",J68/H68)</x:f>
      </x:c>
      <x:c r="L68" s="28"/>
      <x:c r="M68" s="28"/>
      <x:c r="N68" s="28"/>
    </x:row>
    <x:row r="69">
      <x:c r="A69" s="71"/>
      <x:c r="B69" s="28"/>
      <x:c r="C69" s="28"/>
      <x:c r="D69" s="28"/>
      <x:c r="E69" s="28"/>
      <x:c r="F69" s="28"/>
      <x:c r="G69" s="28"/>
      <x:c r="H69" s="67"/>
      <x:c r="I69" s="67"/>
      <x:c r="J69" s="68" t="str">
        <x:f>IF(A69="","",H69-I69)</x:f>
      </x:c>
      <x:c r="K69" s="38" t="str">
        <x:f>IF(H69=0,"",J69/H69)</x:f>
      </x:c>
      <x:c r="L69" s="28"/>
      <x:c r="M69" s="28"/>
      <x:c r="N69" s="28"/>
    </x:row>
    <x:row r="70">
      <x:c r="A70" s="71"/>
      <x:c r="B70" s="28"/>
      <x:c r="C70" s="28"/>
      <x:c r="D70" s="28"/>
      <x:c r="E70" s="28"/>
      <x:c r="F70" s="28"/>
      <x:c r="G70" s="28"/>
      <x:c r="H70" s="67"/>
      <x:c r="I70" s="67"/>
      <x:c r="J70" s="68" t="str">
        <x:f>IF(A70="","",H70-I70)</x:f>
      </x:c>
      <x:c r="K70" s="38" t="str">
        <x:f>IF(H70=0,"",J70/H70)</x:f>
      </x:c>
      <x:c r="L70" s="28"/>
      <x:c r="M70" s="28"/>
      <x:c r="N70" s="28"/>
    </x:row>
    <x:row r="71">
      <x:c r="A71" s="71"/>
      <x:c r="B71" s="28"/>
      <x:c r="C71" s="28"/>
      <x:c r="D71" s="28"/>
      <x:c r="E71" s="28"/>
      <x:c r="F71" s="28"/>
      <x:c r="G71" s="28"/>
      <x:c r="H71" s="67"/>
      <x:c r="I71" s="67"/>
      <x:c r="J71" s="68" t="str">
        <x:f>IF(A71="","",H71-I71)</x:f>
      </x:c>
      <x:c r="K71" s="38" t="str">
        <x:f>IF(H71=0,"",J71/H71)</x:f>
      </x:c>
      <x:c r="L71" s="28"/>
      <x:c r="M71" s="28"/>
      <x:c r="N71" s="28"/>
    </x:row>
    <x:row r="72">
      <x:c r="A72" s="71"/>
      <x:c r="B72" s="28"/>
      <x:c r="C72" s="28"/>
      <x:c r="D72" s="28"/>
      <x:c r="E72" s="28"/>
      <x:c r="F72" s="28"/>
      <x:c r="G72" s="28"/>
      <x:c r="H72" s="67"/>
      <x:c r="I72" s="67"/>
      <x:c r="J72" s="68" t="str">
        <x:f>IF(A72="","",H72-I72)</x:f>
      </x:c>
      <x:c r="K72" s="38" t="str">
        <x:f>IF(H72=0,"",J72/H72)</x:f>
      </x:c>
      <x:c r="L72" s="28"/>
      <x:c r="M72" s="28"/>
      <x:c r="N72" s="28"/>
    </x:row>
    <x:row r="73">
      <x:c r="A73" s="71"/>
      <x:c r="B73" s="28"/>
      <x:c r="C73" s="28"/>
      <x:c r="D73" s="28"/>
      <x:c r="E73" s="28"/>
      <x:c r="F73" s="28"/>
      <x:c r="G73" s="28"/>
      <x:c r="H73" s="67"/>
      <x:c r="I73" s="67"/>
      <x:c r="J73" s="68" t="str">
        <x:f>IF(A73="","",H73-I73)</x:f>
      </x:c>
      <x:c r="K73" s="38" t="str">
        <x:f>IF(H73=0,"",J73/H73)</x:f>
      </x:c>
      <x:c r="L73" s="28"/>
      <x:c r="M73" s="28"/>
      <x:c r="N73" s="28"/>
    </x:row>
    <x:row r="74">
      <x:c r="A74" s="71"/>
      <x:c r="B74" s="28"/>
      <x:c r="C74" s="28"/>
      <x:c r="D74" s="28"/>
      <x:c r="E74" s="28"/>
      <x:c r="F74" s="28"/>
      <x:c r="G74" s="28"/>
      <x:c r="H74" s="67"/>
      <x:c r="I74" s="67"/>
      <x:c r="J74" s="68" t="str">
        <x:f>IF(A74="","",H74-I74)</x:f>
      </x:c>
      <x:c r="K74" s="38" t="str">
        <x:f>IF(H74=0,"",J74/H74)</x:f>
      </x:c>
      <x:c r="L74" s="28"/>
      <x:c r="M74" s="28"/>
      <x:c r="N74" s="28"/>
    </x:row>
    <x:row r="75">
      <x:c r="A75" s="71"/>
      <x:c r="B75" s="28"/>
      <x:c r="C75" s="28"/>
      <x:c r="D75" s="28"/>
      <x:c r="E75" s="28"/>
      <x:c r="F75" s="28"/>
      <x:c r="G75" s="28"/>
      <x:c r="H75" s="67"/>
      <x:c r="I75" s="67"/>
      <x:c r="J75" s="68" t="str">
        <x:f>IF(A75="","",H75-I75)</x:f>
      </x:c>
      <x:c r="K75" s="38" t="str">
        <x:f>IF(H75=0,"",J75/H75)</x:f>
      </x:c>
      <x:c r="L75" s="28"/>
      <x:c r="M75" s="28"/>
      <x:c r="N75" s="28"/>
    </x:row>
    <x:row r="76">
      <x:c r="A76" s="71"/>
      <x:c r="B76" s="28"/>
      <x:c r="C76" s="28"/>
      <x:c r="D76" s="28"/>
      <x:c r="E76" s="28"/>
      <x:c r="F76" s="28"/>
      <x:c r="G76" s="28"/>
      <x:c r="H76" s="67"/>
      <x:c r="I76" s="67"/>
      <x:c r="J76" s="68" t="str">
        <x:f>IF(A76="","",H76-I76)</x:f>
      </x:c>
      <x:c r="K76" s="38" t="str">
        <x:f>IF(H76=0,"",J76/H76)</x:f>
      </x:c>
      <x:c r="L76" s="28"/>
      <x:c r="M76" s="28"/>
      <x:c r="N76" s="28"/>
    </x:row>
    <x:row r="77">
      <x:c r="A77" s="71"/>
      <x:c r="B77" s="28"/>
      <x:c r="C77" s="28"/>
      <x:c r="D77" s="28"/>
      <x:c r="E77" s="28"/>
      <x:c r="F77" s="28"/>
      <x:c r="G77" s="28"/>
      <x:c r="H77" s="67"/>
      <x:c r="I77" s="67"/>
      <x:c r="J77" s="68" t="str">
        <x:f>IF(A77="","",H77-I77)</x:f>
      </x:c>
      <x:c r="K77" s="38" t="str">
        <x:f>IF(H77=0,"",J77/H77)</x:f>
      </x:c>
      <x:c r="L77" s="28"/>
      <x:c r="M77" s="28"/>
      <x:c r="N77" s="28"/>
    </x:row>
    <x:row r="78">
      <x:c r="A78" s="71"/>
      <x:c r="B78" s="28"/>
      <x:c r="C78" s="28"/>
      <x:c r="D78" s="28"/>
      <x:c r="E78" s="28"/>
      <x:c r="F78" s="28"/>
      <x:c r="G78" s="28"/>
      <x:c r="H78" s="67"/>
      <x:c r="I78" s="67"/>
      <x:c r="J78" s="68" t="str">
        <x:f>IF(A78="","",H78-I78)</x:f>
      </x:c>
      <x:c r="K78" s="38" t="str">
        <x:f>IF(H78=0,"",J78/H78)</x:f>
      </x:c>
      <x:c r="L78" s="28"/>
      <x:c r="M78" s="28"/>
      <x:c r="N78" s="28"/>
    </x:row>
    <x:row r="79">
      <x:c r="A79" s="71"/>
      <x:c r="B79" s="28"/>
      <x:c r="C79" s="28"/>
      <x:c r="D79" s="28"/>
      <x:c r="E79" s="28"/>
      <x:c r="F79" s="28"/>
      <x:c r="G79" s="28"/>
      <x:c r="H79" s="67"/>
      <x:c r="I79" s="67"/>
      <x:c r="J79" s="68" t="str">
        <x:f>IF(A79="","",H79-I79)</x:f>
      </x:c>
      <x:c r="K79" s="38" t="str">
        <x:f>IF(H79=0,"",J79/H79)</x:f>
      </x:c>
      <x:c r="L79" s="28"/>
      <x:c r="M79" s="28"/>
      <x:c r="N79" s="28"/>
    </x:row>
    <x:row r="80">
      <x:c r="A80" s="71"/>
      <x:c r="B80" s="28"/>
      <x:c r="C80" s="28"/>
      <x:c r="D80" s="28"/>
      <x:c r="E80" s="28"/>
      <x:c r="F80" s="28"/>
      <x:c r="G80" s="28"/>
      <x:c r="H80" s="67"/>
      <x:c r="I80" s="67"/>
      <x:c r="J80" s="68" t="str">
        <x:f>IF(A80="","",H80-I80)</x:f>
      </x:c>
      <x:c r="K80" s="38" t="str">
        <x:f>IF(H80=0,"",J80/H80)</x:f>
      </x:c>
      <x:c r="L80" s="28"/>
      <x:c r="M80" s="28"/>
      <x:c r="N80" s="28"/>
    </x:row>
    <x:row r="81">
      <x:c r="A81" s="71"/>
      <x:c r="B81" s="28"/>
      <x:c r="C81" s="28"/>
      <x:c r="D81" s="28"/>
      <x:c r="E81" s="28"/>
      <x:c r="F81" s="28"/>
      <x:c r="G81" s="28"/>
      <x:c r="H81" s="67"/>
      <x:c r="I81" s="67"/>
      <x:c r="J81" s="68" t="str">
        <x:f>IF(A81="","",H81-I81)</x:f>
      </x:c>
      <x:c r="K81" s="38" t="str">
        <x:f>IF(H81=0,"",J81/H81)</x:f>
      </x:c>
      <x:c r="L81" s="28"/>
      <x:c r="M81" s="28"/>
      <x:c r="N81" s="28"/>
    </x:row>
    <x:row r="82">
      <x:c r="A82" s="71"/>
      <x:c r="B82" s="28"/>
      <x:c r="C82" s="28"/>
      <x:c r="D82" s="28"/>
      <x:c r="E82" s="28"/>
      <x:c r="F82" s="28"/>
      <x:c r="G82" s="28"/>
      <x:c r="H82" s="67"/>
      <x:c r="I82" s="67"/>
      <x:c r="J82" s="68" t="str">
        <x:f>IF(A82="","",H82-I82)</x:f>
      </x:c>
      <x:c r="K82" s="38" t="str">
        <x:f>IF(H82=0,"",J82/H82)</x:f>
      </x:c>
      <x:c r="L82" s="28"/>
      <x:c r="M82" s="28"/>
      <x:c r="N82" s="28"/>
    </x:row>
    <x:row r="83">
      <x:c r="A83" s="71"/>
      <x:c r="B83" s="28"/>
      <x:c r="C83" s="28"/>
      <x:c r="D83" s="28"/>
      <x:c r="E83" s="28"/>
      <x:c r="F83" s="28"/>
      <x:c r="G83" s="28"/>
      <x:c r="H83" s="67"/>
      <x:c r="I83" s="67"/>
      <x:c r="J83" s="68" t="str">
        <x:f>IF(A83="","",H83-I83)</x:f>
      </x:c>
      <x:c r="K83" s="38" t="str">
        <x:f>IF(H83=0,"",J83/H83)</x:f>
      </x:c>
      <x:c r="L83" s="28"/>
      <x:c r="M83" s="28"/>
      <x:c r="N83" s="28"/>
    </x:row>
    <x:row r="84">
      <x:c r="A84" s="71"/>
      <x:c r="B84" s="28"/>
      <x:c r="C84" s="28"/>
      <x:c r="D84" s="28"/>
      <x:c r="E84" s="28"/>
      <x:c r="F84" s="28"/>
      <x:c r="G84" s="28"/>
      <x:c r="H84" s="67"/>
      <x:c r="I84" s="67"/>
      <x:c r="J84" s="68" t="str">
        <x:f>IF(A84="","",H84-I84)</x:f>
      </x:c>
      <x:c r="K84" s="38" t="str">
        <x:f>IF(H84=0,"",J84/H84)</x:f>
      </x:c>
      <x:c r="L84" s="28"/>
      <x:c r="M84" s="28"/>
      <x:c r="N84" s="28"/>
    </x:row>
    <x:row r="85">
      <x:c r="A85" s="71"/>
      <x:c r="B85" s="28"/>
      <x:c r="C85" s="28"/>
      <x:c r="D85" s="28"/>
      <x:c r="E85" s="28"/>
      <x:c r="F85" s="28"/>
      <x:c r="G85" s="28"/>
      <x:c r="H85" s="67"/>
      <x:c r="I85" s="67"/>
      <x:c r="J85" s="68" t="str">
        <x:f>IF(A85="","",H85-I85)</x:f>
      </x:c>
      <x:c r="K85" s="38" t="str">
        <x:f>IF(H85=0,"",J85/H85)</x:f>
      </x:c>
      <x:c r="L85" s="28"/>
      <x:c r="M85" s="28"/>
      <x:c r="N85" s="28"/>
    </x:row>
    <x:row r="86">
      <x:c r="A86" s="71"/>
      <x:c r="B86" s="28"/>
      <x:c r="C86" s="28"/>
      <x:c r="D86" s="28"/>
      <x:c r="E86" s="28"/>
      <x:c r="F86" s="28"/>
      <x:c r="G86" s="28"/>
      <x:c r="H86" s="67"/>
      <x:c r="I86" s="67"/>
      <x:c r="J86" s="68" t="str">
        <x:f>IF(A86="","",H86-I86)</x:f>
      </x:c>
      <x:c r="K86" s="38" t="str">
        <x:f>IF(H86=0,"",J86/H86)</x:f>
      </x:c>
      <x:c r="L86" s="28"/>
      <x:c r="M86" s="28"/>
      <x:c r="N86" s="28"/>
    </x:row>
    <x:row r="87">
      <x:c r="A87" s="71"/>
      <x:c r="B87" s="28"/>
      <x:c r="C87" s="28"/>
      <x:c r="D87" s="28"/>
      <x:c r="E87" s="28"/>
      <x:c r="F87" s="28"/>
      <x:c r="G87" s="28"/>
      <x:c r="H87" s="67"/>
      <x:c r="I87" s="67"/>
      <x:c r="J87" s="68" t="str">
        <x:f>IF(A87="","",H87-I87)</x:f>
      </x:c>
      <x:c r="K87" s="38" t="str">
        <x:f>IF(H87=0,"",J87/H87)</x:f>
      </x:c>
      <x:c r="L87" s="28"/>
      <x:c r="M87" s="28"/>
      <x:c r="N87" s="28"/>
    </x:row>
    <x:row r="88">
      <x:c r="A88" s="71"/>
      <x:c r="B88" s="28"/>
      <x:c r="C88" s="28"/>
      <x:c r="D88" s="28"/>
      <x:c r="E88" s="28"/>
      <x:c r="F88" s="28"/>
      <x:c r="G88" s="28"/>
      <x:c r="H88" s="67"/>
      <x:c r="I88" s="67"/>
      <x:c r="J88" s="68" t="str">
        <x:f>IF(A88="","",H88-I88)</x:f>
      </x:c>
      <x:c r="K88" s="38" t="str">
        <x:f>IF(H88=0,"",J88/H88)</x:f>
      </x:c>
      <x:c r="L88" s="28"/>
      <x:c r="M88" s="28"/>
      <x:c r="N88" s="28"/>
    </x:row>
    <x:row r="89">
      <x:c r="A89" s="71"/>
      <x:c r="B89" s="28"/>
      <x:c r="C89" s="28"/>
      <x:c r="D89" s="28"/>
      <x:c r="E89" s="28"/>
      <x:c r="F89" s="28"/>
      <x:c r="G89" s="28"/>
      <x:c r="H89" s="67"/>
      <x:c r="I89" s="67"/>
      <x:c r="J89" s="68" t="str">
        <x:f>IF(A89="","",H89-I89)</x:f>
      </x:c>
      <x:c r="K89" s="38" t="str">
        <x:f>IF(H89=0,"",J89/H89)</x:f>
      </x:c>
      <x:c r="L89" s="28"/>
      <x:c r="M89" s="28"/>
      <x:c r="N89" s="28"/>
    </x:row>
    <x:row r="90">
      <x:c r="A90" s="71"/>
      <x:c r="B90" s="28"/>
      <x:c r="C90" s="28"/>
      <x:c r="D90" s="28"/>
      <x:c r="E90" s="28"/>
      <x:c r="F90" s="28"/>
      <x:c r="G90" s="28"/>
      <x:c r="H90" s="67"/>
      <x:c r="I90" s="67"/>
      <x:c r="J90" s="68" t="str">
        <x:f>IF(A90="","",H90-I90)</x:f>
      </x:c>
      <x:c r="K90" s="38" t="str">
        <x:f>IF(H90=0,"",J90/H90)</x:f>
      </x:c>
      <x:c r="L90" s="28"/>
      <x:c r="M90" s="28"/>
      <x:c r="N90" s="28"/>
    </x:row>
    <x:row r="91">
      <x:c r="A91" s="71"/>
      <x:c r="B91" s="28"/>
      <x:c r="C91" s="28"/>
      <x:c r="D91" s="28"/>
      <x:c r="E91" s="28"/>
      <x:c r="F91" s="28"/>
      <x:c r="G91" s="28"/>
      <x:c r="H91" s="67"/>
      <x:c r="I91" s="67"/>
      <x:c r="J91" s="68" t="str">
        <x:f>IF(A91="","",H91-I91)</x:f>
      </x:c>
      <x:c r="K91" s="38" t="str">
        <x:f>IF(H91=0,"",J91/H91)</x:f>
      </x:c>
      <x:c r="L91" s="28"/>
      <x:c r="M91" s="28"/>
      <x:c r="N91" s="28"/>
    </x:row>
    <x:row r="92">
      <x:c r="A92" s="71"/>
      <x:c r="B92" s="28"/>
      <x:c r="C92" s="28"/>
      <x:c r="D92" s="28"/>
      <x:c r="E92" s="28"/>
      <x:c r="F92" s="28"/>
      <x:c r="G92" s="28"/>
      <x:c r="H92" s="67"/>
      <x:c r="I92" s="67"/>
      <x:c r="J92" s="68" t="str">
        <x:f>IF(A92="","",H92-I92)</x:f>
      </x:c>
      <x:c r="K92" s="38" t="str">
        <x:f>IF(H92=0,"",J92/H92)</x:f>
      </x:c>
      <x:c r="L92" s="28"/>
      <x:c r="M92" s="28"/>
      <x:c r="N92" s="28"/>
    </x:row>
    <x:row r="93">
      <x:c r="A93" s="71"/>
      <x:c r="B93" s="28"/>
      <x:c r="C93" s="28"/>
      <x:c r="D93" s="28"/>
      <x:c r="E93" s="28"/>
      <x:c r="F93" s="28"/>
      <x:c r="G93" s="28"/>
      <x:c r="H93" s="67"/>
      <x:c r="I93" s="67"/>
      <x:c r="J93" s="68" t="str">
        <x:f>IF(A93="","",H93-I93)</x:f>
      </x:c>
      <x:c r="K93" s="38" t="str">
        <x:f>IF(H93=0,"",J93/H93)</x:f>
      </x:c>
      <x:c r="L93" s="28"/>
      <x:c r="M93" s="28"/>
      <x:c r="N93" s="28"/>
    </x:row>
    <x:row r="94">
      <x:c r="A94" s="71"/>
      <x:c r="B94" s="28"/>
      <x:c r="C94" s="28"/>
      <x:c r="D94" s="28"/>
      <x:c r="E94" s="28"/>
      <x:c r="F94" s="28"/>
      <x:c r="G94" s="28"/>
      <x:c r="H94" s="67"/>
      <x:c r="I94" s="67"/>
      <x:c r="J94" s="68" t="str">
        <x:f>IF(A94="","",H94-I94)</x:f>
      </x:c>
      <x:c r="K94" s="38" t="str">
        <x:f>IF(H94=0,"",J94/H94)</x:f>
      </x:c>
      <x:c r="L94" s="28"/>
      <x:c r="M94" s="28"/>
      <x:c r="N94" s="28"/>
    </x:row>
    <x:row r="95">
      <x:c r="A95" s="71"/>
      <x:c r="B95" s="28"/>
      <x:c r="C95" s="28"/>
      <x:c r="D95" s="28"/>
      <x:c r="E95" s="28"/>
      <x:c r="F95" s="28"/>
      <x:c r="G95" s="28"/>
      <x:c r="H95" s="67"/>
      <x:c r="I95" s="67"/>
      <x:c r="J95" s="68" t="str">
        <x:f>IF(A95="","",H95-I95)</x:f>
      </x:c>
      <x:c r="K95" s="38" t="str">
        <x:f>IF(H95=0,"",J95/H95)</x:f>
      </x:c>
      <x:c r="L95" s="28"/>
      <x:c r="M95" s="28"/>
      <x:c r="N95" s="28"/>
    </x:row>
    <x:row r="96">
      <x:c r="A96" s="71"/>
      <x:c r="B96" s="28"/>
      <x:c r="C96" s="28"/>
      <x:c r="D96" s="28"/>
      <x:c r="E96" s="28"/>
      <x:c r="F96" s="28"/>
      <x:c r="G96" s="28"/>
      <x:c r="H96" s="67"/>
      <x:c r="I96" s="67"/>
      <x:c r="J96" s="68" t="str">
        <x:f>IF(A96="","",H96-I96)</x:f>
      </x:c>
      <x:c r="K96" s="38" t="str">
        <x:f>IF(H96=0,"",J96/H96)</x:f>
      </x:c>
      <x:c r="L96" s="28"/>
      <x:c r="M96" s="28"/>
      <x:c r="N96" s="28"/>
    </x:row>
    <x:row r="97">
      <x:c r="A97" s="71"/>
      <x:c r="B97" s="28"/>
      <x:c r="C97" s="28"/>
      <x:c r="D97" s="28"/>
      <x:c r="E97" s="28"/>
      <x:c r="F97" s="28"/>
      <x:c r="G97" s="28"/>
      <x:c r="H97" s="67"/>
      <x:c r="I97" s="67"/>
      <x:c r="J97" s="68" t="str">
        <x:f>IF(A97="","",H97-I97)</x:f>
      </x:c>
      <x:c r="K97" s="38" t="str">
        <x:f>IF(H97=0,"",J97/H97)</x:f>
      </x:c>
      <x:c r="L97" s="28"/>
      <x:c r="M97" s="28"/>
      <x:c r="N97" s="28"/>
    </x:row>
    <x:row r="98">
      <x:c r="A98" s="71"/>
      <x:c r="B98" s="28"/>
      <x:c r="C98" s="28"/>
      <x:c r="D98" s="28"/>
      <x:c r="E98" s="28"/>
      <x:c r="F98" s="28"/>
      <x:c r="G98" s="28"/>
      <x:c r="H98" s="67"/>
      <x:c r="I98" s="67"/>
      <x:c r="J98" s="68" t="str">
        <x:f>IF(A98="","",H98-I98)</x:f>
      </x:c>
      <x:c r="K98" s="38" t="str">
        <x:f>IF(H98=0,"",J98/H98)</x:f>
      </x:c>
      <x:c r="L98" s="28"/>
      <x:c r="M98" s="28"/>
      <x:c r="N98" s="28"/>
    </x:row>
    <x:row r="99">
      <x:c r="A99" s="71"/>
      <x:c r="B99" s="28"/>
      <x:c r="C99" s="28"/>
      <x:c r="D99" s="28"/>
      <x:c r="E99" s="28"/>
      <x:c r="F99" s="28"/>
      <x:c r="G99" s="28"/>
      <x:c r="H99" s="67"/>
      <x:c r="I99" s="67"/>
      <x:c r="J99" s="68" t="str">
        <x:f>IF(A99="","",H99-I99)</x:f>
      </x:c>
      <x:c r="K99" s="38" t="str">
        <x:f>IF(H99=0,"",J99/H99)</x:f>
      </x:c>
      <x:c r="L99" s="28"/>
      <x:c r="M99" s="28"/>
      <x:c r="N99" s="28"/>
    </x:row>
    <x:row r="100">
      <x:c r="A100" s="71"/>
      <x:c r="B100" s="28"/>
      <x:c r="C100" s="28"/>
      <x:c r="D100" s="28"/>
      <x:c r="E100" s="28"/>
      <x:c r="F100" s="28"/>
      <x:c r="G100" s="28"/>
      <x:c r="H100" s="67"/>
      <x:c r="I100" s="67"/>
      <x:c r="J100" s="68" t="str">
        <x:f>IF(A100="","",H100-I100)</x:f>
      </x:c>
      <x:c r="K100" s="38" t="str">
        <x:f>IF(H100=0,"",J100/H100)</x:f>
      </x:c>
      <x:c r="L100" s="28"/>
      <x:c r="M100" s="28"/>
      <x:c r="N10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16" hidden="0" customWidth="1"/>
    <x:col min="12" max="12" width="16" hidden="0" customWidth="1"/>
    <x:col min="13" max="13" width="20" hidden="0" customWidth="1"/>
    <x:col min="14" max="14" width="24" hidden="0" customWidth="1"/>
  </x:cols>
  <x:sheetData>
    <x:row r="1">
      <x:c r="A1" s="6" t="str">
        <x:v>Power BI Data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Kartta- ja analytiikkadata Power BI:tä varten.</x:v>
      </x:c>
    </x:row>
    <x:row r="4">
      <x:c r="A4" s="20" t="str">
        <x:v>Route ID</x:v>
      </x:c>
      <x:c r="B4" s="20" t="str">
        <x:v>From</x:v>
      </x:c>
      <x:c r="C4" s="20" t="str">
        <x:v>To</x:v>
      </x:c>
      <x:c r="D4" s="20" t="str">
        <x:v>From lat</x:v>
      </x:c>
      <x:c r="E4" s="20" t="str">
        <x:v>From lon</x:v>
      </x:c>
      <x:c r="F4" s="20" t="str">
        <x:v>To lat</x:v>
      </x:c>
      <x:c r="G4" s="20" t="str">
        <x:v>To lon</x:v>
      </x:c>
      <x:c r="H4" s="20" t="str">
        <x:v>Loaded km</x:v>
      </x:c>
      <x:c r="I4" s="20" t="str">
        <x:v>Empty km</x:v>
      </x:c>
      <x:c r="J4" s="20" t="str">
        <x:v>Kate %</x:v>
      </x:c>
      <x:c r="K4" s="20" t="str">
        <x:v>CO₂ kg</x:v>
      </x:c>
      <x:c r="L4" s="20" t="str">
        <x:v>Riskitaso</x:v>
      </x:c>
      <x:c r="M4" s="20" t="str">
        <x:v>Power BI visual</x:v>
      </x:c>
      <x:c r="N4" s="20" t="str">
        <x:v>Huomio</x:v>
      </x:c>
    </x:row>
    <x:row r="5">
      <x:c r="A5" s="28" t="str">
        <x:v>R1</x:v>
      </x:c>
      <x:c r="B5" s="28" t="str">
        <x:v>Vantaa</x:v>
      </x:c>
      <x:c r="C5" s="28" t="str">
        <x:v>Pori</x:v>
      </x:c>
      <x:c r="D5" s="28" t="n">
        <x:v>60.2934</x:v>
      </x:c>
      <x:c r="E5" s="28" t="n">
        <x:v>25.0378</x:v>
      </x:c>
      <x:c r="F5" s="28" t="n">
        <x:v>61.4851</x:v>
      </x:c>
      <x:c r="G5" s="28" t="n">
        <x:v>21.7972</x:v>
      </x:c>
      <x:c r="H5" s="28" t="n">
        <x:v>290</x:v>
      </x:c>
      <x:c r="I5" s="28" t="n">
        <x:v>40</x:v>
      </x:c>
      <x:c r="J5" s="32" t="n">
        <x:v>0.18</x:v>
      </x:c>
      <x:c r="K5" s="28" t="n">
        <x:v>304.5</x:v>
      </x:c>
      <x:c r="L5" s="28" t="str">
        <x:v>Matala</x:v>
      </x:c>
      <x:c r="M5" s="28" t="str">
        <x:v>Map / ArcGIS</x:v>
      </x:c>
      <x:c r="N5" s="28" t="str"/>
    </x:row>
    <x:row r="6">
      <x:c r="A6" s="28" t="str">
        <x:v>R2</x:v>
      </x:c>
      <x:c r="B6" s="28" t="str">
        <x:v>Vantaa</x:v>
      </x:c>
      <x:c r="C6" s="28" t="str">
        <x:v>Oulu</x:v>
      </x:c>
      <x:c r="D6" s="28" t="n">
        <x:v>60.2934</x:v>
      </x:c>
      <x:c r="E6" s="28" t="n">
        <x:v>25.0378</x:v>
      </x:c>
      <x:c r="F6" s="28" t="n">
        <x:v>65.0121</x:v>
      </x:c>
      <x:c r="G6" s="28" t="n">
        <x:v>25.4651</x:v>
      </x:c>
      <x:c r="H6" s="28" t="n">
        <x:v>600</x:v>
      </x:c>
      <x:c r="I6" s="28" t="n">
        <x:v>80</x:v>
      </x:c>
      <x:c r="J6" s="32" t="n">
        <x:v>0.16</x:v>
      </x:c>
      <x:c r="K6" s="28" t="n">
        <x:v>540</x:v>
      </x:c>
      <x:c r="L6" s="28" t="str">
        <x:v>Keskitaso</x:v>
      </x:c>
      <x:c r="M6" s="28" t="str">
        <x:v>Map / ArcGIS</x:v>
      </x:c>
      <x:c r="N6" s="28" t="str"/>
    </x:row>
    <x:row r="7">
      <x:c r="A7" s="28" t="str">
        <x:v>R3</x:v>
      </x:c>
      <x:c r="B7" s="28" t="str">
        <x:v>Turku</x:v>
      </x:c>
      <x:c r="C7" s="28" t="str">
        <x:v>Rauma</x:v>
      </x:c>
      <x:c r="D7" s="28" t="n">
        <x:v>60.4518</x:v>
      </x:c>
      <x:c r="E7" s="28" t="n">
        <x:v>22.2666</x:v>
      </x:c>
      <x:c r="F7" s="28" t="n">
        <x:v>61.1309</x:v>
      </x:c>
      <x:c r="G7" s="28" t="n">
        <x:v>21.5059</x:v>
      </x:c>
      <x:c r="H7" s="28" t="n">
        <x:v>95</x:v>
      </x:c>
      <x:c r="I7" s="28" t="n">
        <x:v>15</x:v>
      </x:c>
      <x:c r="J7" s="32" t="n">
        <x:v>0.24</x:v>
      </x:c>
      <x:c r="K7" s="28" t="n">
        <x:v>85.5</x:v>
      </x:c>
      <x:c r="L7" s="28" t="str">
        <x:v>Matala</x:v>
      </x:c>
      <x:c r="M7" s="28" t="str">
        <x:v>Map / ArcGIS</x:v>
      </x:c>
      <x:c r="N7" s="28" t="str"/>
    </x:row>
    <x:row r="8">
      <x:c r="A8" s="28" t="str">
        <x:v>R4</x:v>
      </x:c>
      <x:c r="B8" s="28" t="str">
        <x:v>Vantaa</x:v>
      </x:c>
      <x:c r="C8" s="28" t="str">
        <x:v>Hollanti</x:v>
      </x:c>
      <x:c r="D8" s="28" t="n">
        <x:v>60.2934</x:v>
      </x:c>
      <x:c r="E8" s="28" t="n">
        <x:v>25.0378</x:v>
      </x:c>
      <x:c r="F8" s="28" t="n">
        <x:v>52.1326</x:v>
      </x:c>
      <x:c r="G8" s="28" t="n">
        <x:v>5.2913</x:v>
      </x:c>
      <x:c r="H8" s="28" t="n">
        <x:v>590</x:v>
      </x:c>
      <x:c r="I8" s="28" t="n">
        <x:v>70</x:v>
      </x:c>
      <x:c r="J8" s="32" t="n">
        <x:v>0.14</x:v>
      </x:c>
      <x:c r="K8" s="28" t="n">
        <x:v>678.5</x:v>
      </x:c>
      <x:c r="L8" s="28" t="str">
        <x:v>Korkea</x:v>
      </x:c>
      <x:c r="M8" s="28" t="str">
        <x:v>Map / ArcGIS</x:v>
      </x:c>
      <x:c r="N8" s="28" t="str">
        <x:v>Country-level endpoint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32"/>
      <x:c r="K9" s="28"/>
      <x:c r="L9" s="28"/>
      <x:c r="M9" s="28"/>
      <x:c r="N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32"/>
      <x:c r="K10" s="28"/>
      <x:c r="L10" s="28"/>
      <x:c r="M10" s="28"/>
      <x:c r="N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32"/>
      <x:c r="K11" s="28"/>
      <x:c r="L11" s="28"/>
      <x:c r="M11" s="28"/>
      <x:c r="N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32"/>
      <x:c r="K12" s="28"/>
      <x:c r="L12" s="28"/>
      <x:c r="M12" s="28"/>
      <x:c r="N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32"/>
      <x:c r="K13" s="28"/>
      <x:c r="L13" s="28"/>
      <x:c r="M13" s="28"/>
      <x:c r="N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32"/>
      <x:c r="K14" s="28"/>
      <x:c r="L14" s="28"/>
      <x:c r="M14" s="28"/>
      <x:c r="N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32"/>
      <x:c r="K15" s="28"/>
      <x:c r="L15" s="28"/>
      <x:c r="M15" s="28"/>
      <x:c r="N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32"/>
      <x:c r="K16" s="28"/>
      <x:c r="L16" s="28"/>
      <x:c r="M16" s="28"/>
      <x:c r="N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32"/>
      <x:c r="K17" s="28"/>
      <x:c r="L17" s="28"/>
      <x:c r="M17" s="28"/>
      <x:c r="N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32"/>
      <x:c r="K18" s="28"/>
      <x:c r="L18" s="28"/>
      <x:c r="M18" s="28"/>
      <x:c r="N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32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32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32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32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32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32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32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32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32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32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32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32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32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32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32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32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32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32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32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32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32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32"/>
      <x:c r="K40" s="28"/>
      <x:c r="L40" s="28"/>
      <x:c r="M40" s="28"/>
      <x:c r="N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32"/>
      <x:c r="K41" s="28"/>
      <x:c r="L41" s="28"/>
      <x:c r="M41" s="28"/>
      <x:c r="N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32"/>
      <x:c r="K42" s="28"/>
      <x:c r="L42" s="28"/>
      <x:c r="M42" s="28"/>
      <x:c r="N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32"/>
      <x:c r="K43" s="28"/>
      <x:c r="L43" s="28"/>
      <x:c r="M43" s="28"/>
      <x:c r="N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32"/>
      <x:c r="K44" s="28"/>
      <x:c r="L44" s="28"/>
      <x:c r="M44" s="28"/>
      <x:c r="N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32"/>
      <x:c r="K45" s="28"/>
      <x:c r="L45" s="28"/>
      <x:c r="M45" s="28"/>
      <x:c r="N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32"/>
      <x:c r="K46" s="28"/>
      <x:c r="L46" s="28"/>
      <x:c r="M46" s="28"/>
      <x:c r="N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32"/>
      <x:c r="K47" s="28"/>
      <x:c r="L47" s="28"/>
      <x:c r="M47" s="28"/>
      <x:c r="N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32"/>
      <x:c r="K48" s="28"/>
      <x:c r="L48" s="28"/>
      <x:c r="M48" s="28"/>
      <x:c r="N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32"/>
      <x:c r="K49" s="28"/>
      <x:c r="L49" s="28"/>
      <x:c r="M49" s="28"/>
      <x:c r="N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32"/>
      <x:c r="K50" s="28"/>
      <x:c r="L50" s="28"/>
      <x:c r="M50" s="28"/>
      <x:c r="N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32"/>
      <x:c r="K51" s="28"/>
      <x:c r="L51" s="28"/>
      <x:c r="M51" s="28"/>
      <x:c r="N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32"/>
      <x:c r="K52" s="28"/>
      <x:c r="L52" s="28"/>
      <x:c r="M52" s="28"/>
      <x:c r="N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32"/>
      <x:c r="K53" s="28"/>
      <x:c r="L53" s="28"/>
      <x:c r="M53" s="28"/>
      <x:c r="N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32"/>
      <x:c r="K54" s="28"/>
      <x:c r="L54" s="28"/>
      <x:c r="M54" s="28"/>
      <x:c r="N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32"/>
      <x:c r="K55" s="28"/>
      <x:c r="L55" s="28"/>
      <x:c r="M55" s="28"/>
      <x:c r="N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32"/>
      <x:c r="K56" s="28"/>
      <x:c r="L56" s="28"/>
      <x:c r="M56" s="28"/>
      <x:c r="N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32"/>
      <x:c r="K57" s="28"/>
      <x:c r="L57" s="28"/>
      <x:c r="M57" s="28"/>
      <x:c r="N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32"/>
      <x:c r="K58" s="28"/>
      <x:c r="L58" s="28"/>
      <x:c r="M58" s="28"/>
      <x:c r="N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32"/>
      <x:c r="K59" s="28"/>
      <x:c r="L59" s="28"/>
      <x:c r="M59" s="28"/>
      <x:c r="N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32"/>
      <x:c r="K60" s="28"/>
      <x:c r="L60" s="28"/>
      <x:c r="M60" s="28"/>
      <x:c r="N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32"/>
      <x:c r="K61" s="28"/>
      <x:c r="L61" s="28"/>
      <x:c r="M61" s="28"/>
      <x:c r="N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32"/>
      <x:c r="K62" s="28"/>
      <x:c r="L62" s="28"/>
      <x:c r="M62" s="28"/>
      <x:c r="N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32"/>
      <x:c r="K63" s="28"/>
      <x:c r="L63" s="28"/>
      <x:c r="M63" s="28"/>
      <x:c r="N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32"/>
      <x:c r="K64" s="28"/>
      <x:c r="L64" s="28"/>
      <x:c r="M64" s="28"/>
      <x:c r="N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32"/>
      <x:c r="K65" s="28"/>
      <x:c r="L65" s="28"/>
      <x:c r="M65" s="28"/>
      <x:c r="N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32"/>
      <x:c r="K66" s="28"/>
      <x:c r="L66" s="28"/>
      <x:c r="M66" s="28"/>
      <x:c r="N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32"/>
      <x:c r="K67" s="28"/>
      <x:c r="L67" s="28"/>
      <x:c r="M67" s="28"/>
      <x:c r="N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32"/>
      <x:c r="K68" s="28"/>
      <x:c r="L68" s="28"/>
      <x:c r="M68" s="28"/>
      <x:c r="N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32"/>
      <x:c r="K69" s="28"/>
      <x:c r="L69" s="28"/>
      <x:c r="M69" s="28"/>
      <x:c r="N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32"/>
      <x:c r="K70" s="28"/>
      <x:c r="L70" s="28"/>
      <x:c r="M70" s="28"/>
      <x:c r="N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32"/>
      <x:c r="K71" s="28"/>
      <x:c r="L71" s="28"/>
      <x:c r="M71" s="28"/>
      <x:c r="N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32"/>
      <x:c r="K72" s="28"/>
      <x:c r="L72" s="28"/>
      <x:c r="M72" s="28"/>
      <x:c r="N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32"/>
      <x:c r="K73" s="28"/>
      <x:c r="L73" s="28"/>
      <x:c r="M73" s="28"/>
      <x:c r="N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32"/>
      <x:c r="K74" s="28"/>
      <x:c r="L74" s="28"/>
      <x:c r="M74" s="28"/>
      <x:c r="N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32"/>
      <x:c r="K75" s="28"/>
      <x:c r="L75" s="28"/>
      <x:c r="M75" s="28"/>
      <x:c r="N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32"/>
      <x:c r="K76" s="28"/>
      <x:c r="L76" s="28"/>
      <x:c r="M76" s="28"/>
      <x:c r="N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32"/>
      <x:c r="K77" s="28"/>
      <x:c r="L77" s="28"/>
      <x:c r="M77" s="28"/>
      <x:c r="N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32"/>
      <x:c r="K78" s="28"/>
      <x:c r="L78" s="28"/>
      <x:c r="M78" s="28"/>
      <x:c r="N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32"/>
      <x:c r="K79" s="28"/>
      <x:c r="L79" s="28"/>
      <x:c r="M79" s="28"/>
      <x:c r="N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32"/>
      <x:c r="K80" s="28"/>
      <x:c r="L80" s="28"/>
      <x:c r="M80" s="28"/>
      <x:c r="N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32"/>
      <x:c r="K81" s="28"/>
      <x:c r="L81" s="28"/>
      <x:c r="M81" s="28"/>
      <x:c r="N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32"/>
      <x:c r="K82" s="28"/>
      <x:c r="L82" s="28"/>
      <x:c r="M82" s="28"/>
      <x:c r="N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32"/>
      <x:c r="K83" s="28"/>
      <x:c r="L83" s="28"/>
      <x:c r="M83" s="28"/>
      <x:c r="N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32"/>
      <x:c r="K84" s="28"/>
      <x:c r="L84" s="28"/>
      <x:c r="M84" s="28"/>
      <x:c r="N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32"/>
      <x:c r="K85" s="28"/>
      <x:c r="L85" s="28"/>
      <x:c r="M85" s="28"/>
      <x:c r="N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32"/>
      <x:c r="K86" s="28"/>
      <x:c r="L86" s="28"/>
      <x:c r="M86" s="28"/>
      <x:c r="N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32"/>
      <x:c r="K87" s="28"/>
      <x:c r="L87" s="28"/>
      <x:c r="M87" s="28"/>
      <x:c r="N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32"/>
      <x:c r="K88" s="28"/>
      <x:c r="L88" s="28"/>
      <x:c r="M88" s="28"/>
      <x:c r="N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32"/>
      <x:c r="K89" s="28"/>
      <x:c r="L89" s="28"/>
      <x:c r="M89" s="28"/>
      <x:c r="N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32"/>
      <x:c r="K90" s="28"/>
      <x:c r="L90" s="28"/>
      <x:c r="M90" s="28"/>
      <x:c r="N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32"/>
      <x:c r="K91" s="28"/>
      <x:c r="L91" s="28"/>
      <x:c r="M91" s="28"/>
      <x:c r="N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32"/>
      <x:c r="K92" s="28"/>
      <x:c r="L92" s="28"/>
      <x:c r="M92" s="28"/>
      <x:c r="N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32"/>
      <x:c r="K93" s="28"/>
      <x:c r="L93" s="28"/>
      <x:c r="M93" s="28"/>
      <x:c r="N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32"/>
      <x:c r="K94" s="28"/>
      <x:c r="L94" s="28"/>
      <x:c r="M94" s="28"/>
      <x:c r="N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32"/>
      <x:c r="K95" s="28"/>
      <x:c r="L95" s="28"/>
      <x:c r="M95" s="28"/>
      <x:c r="N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32"/>
      <x:c r="K96" s="28"/>
      <x:c r="L96" s="28"/>
      <x:c r="M96" s="28"/>
      <x:c r="N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32"/>
      <x:c r="K97" s="28"/>
      <x:c r="L97" s="28"/>
      <x:c r="M97" s="28"/>
      <x:c r="N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32"/>
      <x:c r="K98" s="28"/>
      <x:c r="L98" s="28"/>
      <x:c r="M98" s="28"/>
      <x:c r="N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32"/>
      <x:c r="K99" s="28"/>
      <x:c r="L99" s="28"/>
      <x:c r="M99" s="28"/>
      <x:c r="N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32"/>
      <x:c r="K100" s="28"/>
      <x:c r="L100" s="28"/>
      <x:c r="M100" s="28"/>
      <x:c r="N100" s="2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18" hidden="0" customWidth="1"/>
    <x:col min="5" max="5" width="24" hidden="0" customWidth="1"/>
    <x:col min="6" max="6" width="22" hidden="0" customWidth="1"/>
    <x:col min="7" max="7" width="22" hidden="0" customWidth="1"/>
    <x:col min="8" max="8" width="18" hidden="0" customWidth="1"/>
  </x:cols>
  <x:sheetData>
    <x:row r="1">
      <x:c r="A1" s="6" t="str">
        <x:v>Logistics Optimizer Dashboard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Portfolio-näkymä: AI-score, kuorma, ETA, riskit, kate ja Power BI -data.</x:v>
      </x:c>
    </x:row>
    <x:row r="4">
      <x:c r="A4" s="47" t="str">
        <x:v>KPI-yhteenveto</x:v>
      </x:c>
    </x:row>
    <x:row r="5">
      <x:c r="A5" s="20" t="str">
        <x:v>KPI</x:v>
      </x:c>
      <x:c r="B5" s="20" t="str">
        <x:v>Arvo</x:v>
      </x:c>
      <x:c r="C5" s="20" t="str">
        <x:v>Tavoite</x:v>
      </x:c>
      <x:c r="D5" s="20" t="str">
        <x:v>Status</x:v>
      </x:c>
      <x:c r="E5" s="20" t="str">
        <x:v>KPI</x:v>
      </x:c>
      <x:c r="F5" s="20" t="str">
        <x:v>Arvo</x:v>
      </x:c>
      <x:c r="G5" s="20" t="str">
        <x:v>Tavoite</x:v>
      </x:c>
      <x:c r="H5" s="20" t="str">
        <x:v>Status</x:v>
      </x:c>
    </x:row>
    <x:row r="6">
      <x:c r="A6" t="str">
        <x:v>Paras reitti</x:v>
      </x:c>
      <x:c r="B6" s="35" t="str">
        <x:f>Optimointi!A19</x:f>
        <x:v>Vantaa → Tampere → Pori</x:v>
      </x:c>
      <x:c r="C6" s="35" t="str"/>
      <x:c r="D6" s="35" t="str">
        <x:v>OK</x:v>
      </x:c>
      <x:c r="E6" t="str">
        <x:v>ETA myöhässä</x:v>
      </x:c>
      <x:c r="F6" s="35" t="n">
        <x:f>COUNTIF(ETA!K5:K40,"Myöhässä")</x:f>
        <x:v>0</x:v>
      </x:c>
      <x:c r="G6" s="35" t="str">
        <x:v>0</x:v>
      </x:c>
      <x:c r="H6" s="35" t="str">
        <x:f>IF(F6=0,"OK","Tarkista")</x:f>
        <x:v>OK</x:v>
      </x:c>
    </x:row>
    <x:row r="7">
      <x:c r="A7" t="str">
        <x:v>AI score</x:v>
      </x:c>
      <x:c r="B7" s="35" t="n">
        <x:f>Optimointi!B19</x:f>
        <x:v>76.18740031897926</x:v>
      </x:c>
      <x:c r="C7" s="35" t="str">
        <x:v>&gt;= 75</x:v>
      </x:c>
      <x:c r="D7" s="35" t="str">
        <x:f>IF(B7&gt;=75,"OK","Tarkista")</x:f>
        <x:v>OK</x:v>
      </x:c>
      <x:c r="E7" t="str">
        <x:v>Punaiset riskit</x:v>
      </x:c>
      <x:c r="F7" s="35" t="n">
        <x:f>COUNTIF(Riskit!M5:M40,"Punainen")</x:f>
        <x:v>2</x:v>
      </x:c>
      <x:c r="G7" s="35" t="str">
        <x:v>0</x:v>
      </x:c>
      <x:c r="H7" s="35" t="str">
        <x:f>IF(F7=0,"OK","Punainen")</x:f>
        <x:v>Punainen</x:v>
      </x:c>
    </x:row>
    <x:row r="8">
      <x:c r="A8" t="str">
        <x:v>Täyttöaste</x:v>
      </x:c>
      <x:c r="B8" s="38" t="n">
        <x:f>Kuormaoptimointi!B21</x:f>
        <x:v>0.5454545454545454</x:v>
      </x:c>
      <x:c r="C8" s="35" t="str">
        <x:v>85–95 %</x:v>
      </x:c>
      <x:c r="D8" s="35" t="str">
        <x:f>Kuormaoptimointi!D21</x:f>
        <x:v>Vajaakuorma</x:v>
      </x:c>
      <x:c r="E8" t="str">
        <x:v>Keskikate</x:v>
      </x:c>
      <x:c r="F8" s="38" t="n">
        <x:f>AVERAGE(Reittihistoria!K5:K8)</x:f>
        <x:v>0.2211355063036054</x:v>
      </x:c>
      <x:c r="G8" s="35" t="str">
        <x:v>&gt;= 15 %</x:v>
      </x:c>
      <x:c r="H8" s="35" t="str">
        <x:f>IF(F8&gt;=0.15,"OK","Tarkista")</x:f>
        <x:v>OK</x:v>
      </x:c>
    </x:row>
    <x:row r="9">
      <x:c r="A9" t="str">
        <x:v>Empty km %</x:v>
      </x:c>
      <x:c r="B9" s="38" t="n">
        <x:f>AVERAGE(Kustannukset!J5:J7)</x:f>
        <x:v>0.12128639334521689</x:v>
      </x:c>
      <x:c r="C9" s="35" t="str">
        <x:v>&lt;= 15 %</x:v>
      </x:c>
      <x:c r="D9" s="35" t="str">
        <x:f>IF(B9&lt;=0.15,"OK","Tarkista")</x:f>
        <x:v>OK</x:v>
      </x:c>
      <x:c r="E9" t="str">
        <x:v>Power BI route rows</x:v>
      </x:c>
      <x:c r="F9" s="35" t="n">
        <x:f>COUNTA('Power BI Data'!A5:A100)</x:f>
        <x:v>4</x:v>
      </x:c>
      <x:c r="G9" s="35" t="str">
        <x:v>data</x:v>
      </x:c>
      <x:c r="H9" s="35" t="str">
        <x:f>"OK"</x:f>
        <x:v>OK</x:v>
      </x:c>
    </x:row>
    <x:row r="10">
      <x:c r="A10" t="str">
        <x:v>Reittihistoria</x:v>
      </x:c>
      <x:c r="B10" s="35" t="n">
        <x:f>COUNTA(Reittihistoria!A5:A100)</x:f>
        <x:v>4</x:v>
      </x:c>
      <x:c r="C10" s="35" t="str">
        <x:v>data</x:v>
      </x:c>
      <x:c r="D10" s="35" t="str">
        <x:v>OK</x:v>
      </x:c>
      <x:c r="E10" t="str">
        <x:v>Excel status</x:v>
      </x:c>
      <x:c r="F10" t="str">
        <x:v>Ei ulkoisia linkkejä</x:v>
      </x:c>
      <x:c r="G10" t="str">
        <x:v>OK</x:v>
      </x:c>
      <x:c r="H10" t="str">
        <x:v>OK</x:v>
      </x:c>
    </x:row>
    <x:row r="13">
      <x:c r="A13" s="47" t="str">
        <x:v>Projektin vahvimmat näkymät</x:v>
      </x:c>
    </x:row>
    <x:row r="14">
      <x:c r="A14" s="20" t="str">
        <x:v>Näkymä</x:v>
      </x:c>
      <x:c r="B14" s="20" t="str">
        <x:v>Tarkoitus</x:v>
      </x:c>
      <x:c r="C14" s="20" t="str">
        <x:v>Miksi tärkeä portfolioon</x:v>
      </x:c>
      <x:c r="D14" s="20" t="str">
        <x:v>Sivu</x:v>
      </x:c>
    </x:row>
    <x:row r="15">
      <x:c r="A15" s="75" t="str">
        <x:v>AI-optimointi</x:v>
      </x:c>
      <x:c r="B15" s="75" t="str">
        <x:v>Reittivaihtoehtojen pisteytys</x:v>
      </x:c>
      <x:c r="C15" s="75" t="str">
        <x:v>Näyttää TMS-logiikan</x:v>
      </x:c>
      <x:c r="D15" s="75" t="str">
        <x:v>Optimointi</x:v>
      </x:c>
    </x:row>
    <x:row r="16">
      <x:c r="A16" s="75" t="str">
        <x:v>Kuormaoptimointi</x:v>
      </x:c>
      <x:c r="B16" s="75" t="str">
        <x:v>Suosituksen kuorma ja kapasiteetti</x:v>
      </x:c>
      <x:c r="C16" s="75" t="str">
        <x:v>Näyttää kuljetusosaamisen</x:v>
      </x:c>
      <x:c r="D16" s="75" t="str">
        <x:v>Kuormaoptimointi</x:v>
      </x:c>
    </x:row>
    <x:row r="17">
      <x:c r="A17" s="75" t="str">
        <x:v>Trailer Layout</x:v>
      </x:c>
      <x:c r="B17" s="75" t="str">
        <x:v>Visuaalinen 33 lavapaikan kuva</x:v>
      </x:c>
      <x:c r="C17" s="75" t="str">
        <x:v>Helppo ymmärtää rekrytoijalle</x:v>
      </x:c>
      <x:c r="D17" s="75" t="str">
        <x:v>Trailer Layout</x:v>
      </x:c>
    </x:row>
    <x:row r="18">
      <x:c r="A18" s="76" t="str">
        <x:v>Power BI Data</x:v>
      </x:c>
      <x:c r="B18" s="76" t="str">
        <x:v>Kartta- ja analytiikkadata</x:v>
      </x:c>
      <x:c r="C18" s="76" t="str">
        <x:v>Näyttää BI-valmiuden</x:v>
      </x:c>
      <x:c r="D18" s="76" t="str">
        <x:v>Power BI Data</x:v>
      </x:c>
    </x:row>
  </x:sheetData>
  <x:conditionalFormatting sqref="D6:D10">
    <x:cfRule type="expression" dxfId="5" priority="1">
      <x:formula>D6="OK"</x:formula>
    </x:cfRule>
    <x:cfRule type="expression" dxfId="6" priority="2">
      <x:formula>OR(D6="Tarkista",D6="Vajaakuorma")</x:formula>
    </x:cfRule>
  </x:conditionalFormatting>
  <x:conditionalFormatting sqref="H6:H9">
    <x:cfRule type="expression" dxfId="7" priority="3">
      <x:formula>H6="OK"</x:formula>
    </x:cfRule>
    <x:cfRule type="expression" dxfId="8" priority="4">
      <x:formula>OR(H6="Tarkista",H6="Punainen")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24" hidden="0" customWidth="1"/>
  </x:cols>
  <x:sheetData>
    <x:row r="1">
      <x:c r="A1" s="6" t="str">
        <x:v>Käyttöohje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Puhdas portfolio-versio ilman Excel Table -rakenteita, pivoteja tai ulkoisia linkkejä.</x:v>
      </x:c>
    </x:row>
    <x:row r="4">
      <x:c r="A4" s="20" t="str">
        <x:v>Vaihe</x:v>
      </x:c>
      <x:c r="B4" s="20" t="str">
        <x:v>Mitä teet</x:v>
      </x:c>
      <x:c r="C4" s="20" t="str">
        <x:v>Sivu</x:v>
      </x:c>
    </x:row>
    <x:row r="5">
      <x:c r="A5" s="75" t="str">
        <x:v>1</x:v>
      </x:c>
      <x:c r="B5" s="75" t="str">
        <x:v>Syötä tai muokkaa lähetyksiä.</x:v>
      </x:c>
      <x:c r="C5" s="75" t="str">
        <x:v>Lähetykset</x:v>
      </x:c>
    </x:row>
    <x:row r="6">
      <x:c r="A6" s="75" t="str">
        <x:v>2</x:v>
      </x:c>
      <x:c r="B6" s="75" t="str">
        <x:v>Muokkaa reittivaihtoehtoja ja painotuksia.</x:v>
      </x:c>
      <x:c r="C6" s="75" t="str">
        <x:v>Reittivaihtoehdot / Painotukset</x:v>
      </x:c>
    </x:row>
    <x:row r="7">
      <x:c r="A7" s="75" t="str">
        <x:v>3</x:v>
      </x:c>
      <x:c r="B7" s="75" t="str">
        <x:v>Katso paras reitti ja pisteytys.</x:v>
      </x:c>
      <x:c r="C7" s="75" t="str">
        <x:v>Optimointi</x:v>
      </x:c>
    </x:row>
    <x:row r="8">
      <x:c r="A8" s="75" t="str">
        <x:v>4</x:v>
      </x:c>
      <x:c r="B8" s="75" t="str">
        <x:v>Tarkista kuorma ja trailerin käyttöaste.</x:v>
      </x:c>
      <x:c r="C8" s="75" t="str">
        <x:v>Kuormaoptimointi / Trailer Layout</x:v>
      </x:c>
    </x:row>
    <x:row r="9">
      <x:c r="A9" s="75" t="str">
        <x:v>5</x:v>
      </x:c>
      <x:c r="B9" s="75" t="str">
        <x:v>Tarkista ETA ja riskit.</x:v>
      </x:c>
      <x:c r="C9" s="75" t="str">
        <x:v>ETA / Riskit</x:v>
      </x:c>
    </x:row>
    <x:row r="10">
      <x:c r="A10" s="75" t="str">
        <x:v>6</x:v>
      </x:c>
      <x:c r="B10" s="75" t="str">
        <x:v>Tarkista kustannukset ja historiadata.</x:v>
      </x:c>
      <x:c r="C10" s="75" t="str">
        <x:v>Kustannukset / Reittihistoria</x:v>
      </x:c>
    </x:row>
    <x:row r="11">
      <x:c r="A11" s="75" t="str">
        <x:v>7</x:v>
      </x:c>
      <x:c r="B11" s="75" t="str">
        <x:v>Käytä Power BI Data -sivua BI-raportoinnin lähteenä.</x:v>
      </x:c>
      <x:c r="C11" s="75" t="str">
        <x:v>Power BI Data</x:v>
      </x:c>
    </x:row>
    <x:row r="12">
      <x:c r="A12" s="75" t="str">
        <x:v>Huomio</x:v>
      </x:c>
      <x:c r="B12" s="75" t="str">
        <x:v>Tässä versiossa ei ole Excelin taulukkorakenteita eikä pivotteja, jotta Excel ei korjaa tiedostoa avattaessa.</x:v>
      </x:c>
      <x:c r="C12" s="75" t="str"/>
    </x:row>
    <x:row r="13">
      <x:c r="A13" s="76" t="str">
        <x:v>Portfolio</x:v>
      </x:c>
      <x:c r="B13" s="76" t="str">
        <x:v>Suositellut screenshotit: Dashboard, Optimointi, Trailer Layout, Power BI Data.</x:v>
      </x:c>
      <x:c r="C13" s="76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22" hidden="0" customWidth="1"/>
    <x:col min="4" max="4" width="22" hidden="0" customWidth="1"/>
    <x:col min="5" max="5" width="16" hidden="0" customWidth="1"/>
    <x:col min="6" max="6" width="36" hidden="0" customWidth="1"/>
  </x:cols>
  <x:sheetData>
    <x:row r="1">
      <x:c r="A1" s="6" t="str">
        <x:v>Testiraportti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13" t="str">
        <x:v>Kaava-, linkki- ja status-tarkistus.</x:v>
      </x:c>
    </x:row>
    <x:row r="4">
      <x:c r="A4" s="20" t="str">
        <x:v>Testi</x:v>
      </x:c>
      <x:c r="B4" s="20" t="str">
        <x:v>Tarkistus</x:v>
      </x:c>
      <x:c r="C4" s="20" t="str">
        <x:v>Odotettu</x:v>
      </x:c>
      <x:c r="D4" s="20" t="str">
        <x:v>Tulos</x:v>
      </x:c>
      <x:c r="E4" s="20" t="str">
        <x:v>Status</x:v>
      </x:c>
      <x:c r="F4" s="20" t="str">
        <x:v>Huomio</x:v>
      </x:c>
    </x:row>
    <x:row r="5">
      <x:c r="A5" t="str">
        <x:v>Kaavavirheet</x:v>
      </x:c>
      <x:c r="B5" t="str">
        <x:v>Ei Excelin virhekoodeja</x:v>
      </x:c>
      <x:c r="C5" t="str">
        <x:v>0</x:v>
      </x:c>
      <x:c r="D5" t="str">
        <x:v>Tarkistettu työkalulla</x:v>
      </x:c>
      <x:c r="E5" t="str">
        <x:v>OK</x:v>
      </x:c>
      <x:c r="F5" t="str"/>
    </x:row>
    <x:row r="6">
      <x:c r="A6" t="str">
        <x:v>Painotukset</x:v>
      </x:c>
      <x:c r="B6" t="str">
        <x:v>Painotusten summa = 100 %</x:v>
      </x:c>
      <x:c r="C6" t="str">
        <x:v>100 %</x:v>
      </x:c>
      <x:c r="D6" s="38" t="n">
        <x:f>Painotukset!B10</x:f>
        <x:v>1</x:v>
      </x:c>
      <x:c r="E6" s="35" t="str">
        <x:f>IF(ABS(D6-1)&lt;0.0001,"OK","TARKISTA")</x:f>
        <x:v>OK</x:v>
      </x:c>
      <x:c r="F6" t="str"/>
    </x:row>
    <x:row r="7">
      <x:c r="A7" t="str">
        <x:v>Suositus</x:v>
      </x:c>
      <x:c r="B7" t="str">
        <x:v>Vain yksi SUOSITUS</x:v>
      </x:c>
      <x:c r="C7" t="str">
        <x:v>1</x:v>
      </x:c>
      <x:c r="D7" s="35" t="n">
        <x:f>COUNTIF(Optimointi!N5:N14,"SUOSITUS")</x:f>
        <x:v>1</x:v>
      </x:c>
      <x:c r="E7" s="35" t="str">
        <x:f>IF(D7=1,"OK","TARKISTA")</x:f>
        <x:v>OK</x:v>
      </x:c>
      <x:c r="F7" t="str"/>
    </x:row>
    <x:row r="8">
      <x:c r="A8" t="str">
        <x:v>Kuorma</x:v>
      </x:c>
      <x:c r="B8" t="str">
        <x:v>Lavapaikat täsmäävät</x:v>
      </x:c>
      <x:c r="C8" t="str">
        <x:v>18</x:v>
      </x:c>
      <x:c r="D8" s="35" t="n">
        <x:f>Kuormaoptimointi!B19</x:f>
        <x:v>18</x:v>
      </x:c>
      <x:c r="E8" s="35" t="str">
        <x:f>IF(D8=18,"OK","TARKISTA")</x:f>
        <x:v>OK</x:v>
      </x:c>
      <x:c r="F8" t="str"/>
    </x:row>
    <x:row r="9">
      <x:c r="A9" t="str">
        <x:v>ETA</x:v>
      </x:c>
      <x:c r="B9" t="str">
        <x:v>ETA-status toimii</x:v>
      </x:c>
      <x:c r="C9" t="str">
        <x:v>Ajoissa</x:v>
      </x:c>
      <x:c r="D9" s="35" t="str">
        <x:f>ETA!K5</x:f>
        <x:v>Ajoissa</x:v>
      </x:c>
      <x:c r="E9" s="35" t="str">
        <x:f>IF(D9="Ajoissa","OK","TARKISTA")</x:f>
        <x:v>OK</x:v>
      </x:c>
      <x:c r="F9" t="str"/>
    </x:row>
    <x:row r="10">
      <x:c r="A10" t="str">
        <x:v>Riskit</x:v>
      </x:c>
      <x:c r="B10" t="str">
        <x:v>Punaisia riskejä on 2</x:v>
      </x:c>
      <x:c r="C10" t="str">
        <x:v>2</x:v>
      </x:c>
      <x:c r="D10" s="35" t="n">
        <x:f>COUNTIF(Riskit!M5:M40,"Punainen")</x:f>
        <x:v>2</x:v>
      </x:c>
      <x:c r="E10" s="35" t="str">
        <x:f>IF(D10=2,"OK","TARKISTA")</x:f>
        <x:v>OK</x:v>
      </x:c>
      <x:c r="F10" t="str"/>
    </x:row>
    <x:row r="11">
      <x:c r="A11" t="str">
        <x:v>Power BI Data</x:v>
      </x:c>
      <x:c r="B11" t="str">
        <x:v>Karttadata sisältää rivejä</x:v>
      </x:c>
      <x:c r="C11" t="str">
        <x:v>&gt;0</x:v>
      </x:c>
      <x:c r="D11" s="35" t="n">
        <x:f>COUNTA('Power BI Data'!A5:A100)</x:f>
        <x:v>4</x:v>
      </x:c>
      <x:c r="E11" s="35" t="str">
        <x:f>IF(D11&gt;0,"OK","TARKISTA")</x:f>
        <x:v>OK</x:v>
      </x:c>
      <x:c r="F11" t="str"/>
    </x:row>
  </x:sheetData>
  <x:conditionalFormatting sqref="E5:E11">
    <x:cfRule type="expression" dxfId="9" priority="1">
      <x:formula>E5="OK"</x:formula>
    </x:cfRule>
    <x:cfRule type="expression" dxfId="10" priority="2">
      <x:formula>E5="TARKISTA"</x:formula>
    </x:cfRule>
  </x:conditionalFormatting>
  <x:pageMargins left="0.7" right="0.7" top="0.75" bottom="0.75" header="0.3" footer="0.3"/>
</x:worksheet>
</file>